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8A26324-6406-4627-B554-887EF8827F9D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5-05-26" sheetId="1" r:id="rId1"/>
    <sheet name="Martes 26-05-26" sheetId="2" r:id="rId2"/>
    <sheet name="Miercoles 27-05-26" sheetId="3" r:id="rId3"/>
    <sheet name="Jueves 28-05-26" sheetId="4" r:id="rId4"/>
    <sheet name="Viernes 28-05-26" sheetId="5" r:id="rId5"/>
    <sheet name="Sabado 30-05-26" sheetId="6" r:id="rId6"/>
    <sheet name="Domingo" sheetId="8" r:id="rId7"/>
    <sheet name="Cambios" sheetId="7" r:id="rId8"/>
  </sheets>
  <definedNames>
    <definedName name="_xlnm._FilterDatabase" localSheetId="0" hidden="1">'Lunes 25-05-26'!$B$4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15" i="6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9" i="5"/>
  <c r="C10" i="5" s="1"/>
  <c r="C11" i="5" s="1"/>
  <c r="C12" i="5" s="1"/>
  <c r="C13" i="5" s="1"/>
  <c r="C14" i="5" s="1"/>
  <c r="C15" i="5" s="1"/>
  <c r="C16" i="5" s="1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9" i="1"/>
  <c r="K3" i="1"/>
  <c r="B10" i="2" l="1"/>
  <c r="C11" i="1"/>
  <c r="B10" i="1"/>
  <c r="B10" i="6"/>
  <c r="B10" i="8"/>
  <c r="B10" i="5"/>
  <c r="B10" i="3"/>
  <c r="B10" i="4"/>
  <c r="B11" i="2" l="1"/>
  <c r="C12" i="1"/>
  <c r="B11" i="3"/>
  <c r="B11" i="4"/>
  <c r="B11" i="1"/>
  <c r="B11" i="6"/>
  <c r="B11" i="8"/>
  <c r="B11" i="5"/>
  <c r="B12" i="2" l="1"/>
  <c r="C13" i="1"/>
  <c r="B12" i="6"/>
  <c r="B12" i="8"/>
  <c r="B12" i="1"/>
  <c r="B12" i="5"/>
  <c r="B12" i="4"/>
  <c r="B12" i="3"/>
  <c r="B13" i="2" l="1"/>
  <c r="C14" i="1"/>
  <c r="B13" i="1"/>
  <c r="B13" i="3"/>
  <c r="B13" i="5"/>
  <c r="B13" i="4"/>
  <c r="B13" i="6"/>
  <c r="B13" i="8"/>
  <c r="B14" i="2" l="1"/>
  <c r="C15" i="1"/>
  <c r="B14" i="3"/>
  <c r="B14" i="6"/>
  <c r="B14" i="1"/>
  <c r="B14" i="4"/>
  <c r="B14" i="5"/>
  <c r="B14" i="8"/>
  <c r="B15" i="2" l="1"/>
  <c r="C16" i="1"/>
  <c r="B15" i="6"/>
  <c r="B15" i="8"/>
  <c r="B15" i="3"/>
  <c r="B15" i="1"/>
  <c r="B15" i="4"/>
  <c r="B15" i="5"/>
  <c r="B16" i="2" l="1"/>
  <c r="C17" i="1"/>
  <c r="B16" i="1"/>
  <c r="B16" i="8"/>
  <c r="B16" i="5"/>
  <c r="B16" i="3"/>
  <c r="B16" i="6"/>
  <c r="B16" i="4"/>
  <c r="B17" i="2" l="1"/>
  <c r="C18" i="1"/>
  <c r="B17" i="6"/>
  <c r="B17" i="3"/>
  <c r="B17" i="8"/>
  <c r="B17" i="1"/>
  <c r="B17" i="4"/>
  <c r="B17" i="5"/>
  <c r="B18" i="2" l="1"/>
  <c r="C19" i="1"/>
  <c r="B18" i="6"/>
  <c r="B18" i="4"/>
  <c r="B18" i="3"/>
  <c r="B18" i="8"/>
  <c r="B18" i="5"/>
  <c r="B18" i="1"/>
  <c r="B19" i="2" l="1"/>
  <c r="C20" i="1"/>
  <c r="B19" i="8"/>
  <c r="B19" i="6"/>
  <c r="B19" i="3"/>
  <c r="B19" i="4"/>
  <c r="B19" i="5"/>
  <c r="B19" i="1"/>
  <c r="B20" i="2" l="1"/>
  <c r="C21" i="1"/>
  <c r="B20" i="6"/>
  <c r="B20" i="4"/>
  <c r="B20" i="3"/>
  <c r="B20" i="1"/>
  <c r="B20" i="8"/>
  <c r="B20" i="5"/>
  <c r="B21" i="2" l="1"/>
  <c r="C22" i="1"/>
  <c r="B21" i="1"/>
  <c r="B21" i="3"/>
  <c r="B21" i="5"/>
  <c r="B21" i="4"/>
  <c r="B21" i="6"/>
  <c r="B21" i="8"/>
  <c r="B22" i="2" l="1"/>
  <c r="C23" i="1"/>
  <c r="B22" i="3"/>
  <c r="B22" i="6"/>
  <c r="B22" i="5"/>
  <c r="B22" i="1"/>
  <c r="B22" i="4"/>
  <c r="B22" i="8"/>
  <c r="B23" i="2" l="1"/>
  <c r="C24" i="1"/>
  <c r="B23" i="1"/>
  <c r="B23" i="6"/>
  <c r="B23" i="4"/>
  <c r="B23" i="8"/>
  <c r="B23" i="5"/>
  <c r="B23" i="3"/>
  <c r="B24" i="2" l="1"/>
  <c r="B24" i="1"/>
  <c r="B24" i="8"/>
  <c r="B24" i="5"/>
  <c r="B24" i="6"/>
  <c r="B24" i="4"/>
  <c r="B24" i="3"/>
  <c r="K4" i="1"/>
</calcChain>
</file>

<file path=xl/sharedStrings.xml><?xml version="1.0" encoding="utf-8"?>
<sst xmlns="http://schemas.openxmlformats.org/spreadsheetml/2006/main" count="323" uniqueCount="143">
  <si>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</si>
  <si>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</si>
  <si>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</si>
  <si>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</si>
  <si>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</si>
  <si>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</si>
  <si>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</si>
  <si>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</si>
  <si>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</si>
  <si>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</si>
  <si>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</si>
  <si>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</si>
  <si>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</si>
  <si>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</si>
  <si>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</si>
  <si>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</si>
  <si>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</si>
  <si>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</si>
  <si>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</si>
  <si>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</si>
  <si>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</si>
  <si>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</si>
  <si>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</si>
  <si>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</si>
  <si>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</si>
  <si>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25 DE MAYO-26</t>
  </si>
  <si>
    <t xml:space="preserve">FILTROS DE GASOLINA CARTON </t>
  </si>
  <si>
    <t>X</t>
  </si>
  <si>
    <t>BALERO 6003</t>
  </si>
  <si>
    <t xml:space="preserve">BOMBA DE FRENO DELANTERO PULSAR </t>
  </si>
  <si>
    <t>PORTA PLACA DE METAL</t>
  </si>
  <si>
    <t>KID DE 150Z ITALIKA</t>
  </si>
  <si>
    <t>FILTRO DE AIRE D150</t>
  </si>
  <si>
    <t xml:space="preserve">SEGURO DE PIÑON </t>
  </si>
  <si>
    <t>ESPEJOS DE CUATRIMOTO</t>
  </si>
  <si>
    <t xml:space="preserve">RELEVADOR </t>
  </si>
  <si>
    <t>SALPICADERA DELANTERA FT150</t>
  </si>
  <si>
    <t xml:space="preserve">ACEITE AKRON </t>
  </si>
  <si>
    <t>BALATA DE TAMBOR GRANDE DS150</t>
  </si>
  <si>
    <t>ACEITE MOTUL 5000</t>
  </si>
  <si>
    <t xml:space="preserve">DIRECCIONALES UNIVERSALES </t>
  </si>
  <si>
    <t>STIKER</t>
  </si>
  <si>
    <t xml:space="preserve">POSAPIE UNIVERSAL </t>
  </si>
  <si>
    <t>Martes 26 DE MAYO-26</t>
  </si>
  <si>
    <t>CHICOTE DE CLUTH UNIVERSAL</t>
  </si>
  <si>
    <t>RED DE ACIENTO WS150</t>
  </si>
  <si>
    <t>ESPEJOS DE ATV200 ITALIKA</t>
  </si>
  <si>
    <t>PEDIDO MERCADO</t>
  </si>
  <si>
    <t>FILTRO DE AIRE R15</t>
  </si>
  <si>
    <t>CADENA 520 SENCILLA</t>
  </si>
  <si>
    <t>PASATAS DE CLUTH FT150</t>
  </si>
  <si>
    <t>PILA 12N5 -BS WAPEMEX</t>
  </si>
  <si>
    <t>PEDIDO NASAKI</t>
  </si>
  <si>
    <t xml:space="preserve">CUENTA DE SEMANA PASADA $ 16865 MENOS$ 6629 DE PEDIDO DE MERCADO LIBRE Y PEDIDO DE NASAKI QUEDA $ 10236 </t>
  </si>
  <si>
    <t>MANIJA DE WS150 SPORT</t>
  </si>
  <si>
    <t>Miercoles 27 DE MAYO-26</t>
  </si>
  <si>
    <t>ACEITE AKRON</t>
  </si>
  <si>
    <t>FABULOSO Y ROLLO</t>
  </si>
  <si>
    <t>ESPEJOS DE 150Z WAPEMEX</t>
  </si>
  <si>
    <t>FLOTADOR DE GASOLINA WS150</t>
  </si>
  <si>
    <t>Viernes 29 DE MAYO-26</t>
  </si>
  <si>
    <t>CHCICOTE DE CLUTH 125Z</t>
  </si>
  <si>
    <t>TIRAS LED AZUL</t>
  </si>
  <si>
    <t>BUJIA C9</t>
  </si>
  <si>
    <t>FILTRO DE AIRE DM200</t>
  </si>
  <si>
    <t>BUJE DE PLASTICO</t>
  </si>
  <si>
    <t>CAPUCHON DS150</t>
  </si>
  <si>
    <t>SEGURO DE CADENA 520</t>
  </si>
  <si>
    <t xml:space="preserve">LIQUIDO DE FRENOS </t>
  </si>
  <si>
    <t>PEDIDO OSCAR</t>
  </si>
  <si>
    <t xml:space="preserve">CUENTA SEMANA PASADA $ 10236 MENOS $ 65 DE ROLLO QUEDA $ 10171 MENOS $ 923 DE PEDIDO DE MERCADO QUEDA $ 9248  MENOS $ 1285 PEDIDO DE OSCAR QUEDA $ 7963 </t>
  </si>
  <si>
    <t>MERCADO</t>
  </si>
  <si>
    <t>MARTES 26 DE MAYO-26</t>
  </si>
  <si>
    <t>P.NASAKI</t>
  </si>
  <si>
    <t>FABULOSO</t>
  </si>
  <si>
    <t>MIERCOLES 27 DE MAYO-26</t>
  </si>
  <si>
    <t>P.OSCAR</t>
  </si>
  <si>
    <t>PAGOYAS</t>
  </si>
  <si>
    <t>TOTAL</t>
  </si>
  <si>
    <t xml:space="preserve">TOTAL DE EGRESOS </t>
  </si>
  <si>
    <t xml:space="preserve">CARGADOR DE CELULAR </t>
  </si>
  <si>
    <t>BOTON DE INTERMITENTE  DS150</t>
  </si>
  <si>
    <t>Jueves 28 DE MAYO-26</t>
  </si>
  <si>
    <t>PUÑOS DE 150Z</t>
  </si>
  <si>
    <t xml:space="preserve">ESPEJOS JUEGO </t>
  </si>
  <si>
    <t>SALPICADERTA DE 150Z</t>
  </si>
  <si>
    <t xml:space="preserve">PILA MOTONETA </t>
  </si>
  <si>
    <t>CARBUBLEN</t>
  </si>
  <si>
    <t>ACEITE MOTUL 7100</t>
  </si>
  <si>
    <t>CINTA DE AISLAR</t>
  </si>
  <si>
    <t>COMIDA</t>
  </si>
  <si>
    <t xml:space="preserve">PAGO </t>
  </si>
  <si>
    <t xml:space="preserve">CUENTA SEMANA PASADA $ 7963 MENOS $ 360 DE COMIDA Y PAGO DEL TRABAJADOR QUEDA $7603 </t>
  </si>
  <si>
    <t xml:space="preserve">FUSIBLES </t>
  </si>
  <si>
    <t>JUEVES 28 DE MAYO-26</t>
  </si>
  <si>
    <t>VIERNES 29 DE MAYO</t>
  </si>
  <si>
    <t>PAGO</t>
  </si>
  <si>
    <t xml:space="preserve">HARNES DE 4 PINES </t>
  </si>
  <si>
    <t>MASA TRASERA ATV 150 ITALIKA</t>
  </si>
  <si>
    <t xml:space="preserve">TUERCA </t>
  </si>
  <si>
    <t xml:space="preserve">BALATA DE DS150 </t>
  </si>
  <si>
    <t>FILTRO DE ACEIT GNS125</t>
  </si>
  <si>
    <t>ACEITE MOTUL 5100</t>
  </si>
  <si>
    <t>SLAIDER UNIVERSAL WAPEMEX</t>
  </si>
  <si>
    <t>FOCO DE STOP</t>
  </si>
  <si>
    <t>CAMARA 3.00.17</t>
  </si>
  <si>
    <t>MANIJA IZQUIERDA FT150</t>
  </si>
  <si>
    <t>BUJIA C7</t>
  </si>
  <si>
    <t>MIRILLA DE BOMBA UNIVERSAL</t>
  </si>
  <si>
    <t>CAPUCHON BUJIA FT150</t>
  </si>
  <si>
    <t xml:space="preserve">SEGURO DE CADENA 428 </t>
  </si>
  <si>
    <t>BALATA DE ATV ITALIKA</t>
  </si>
  <si>
    <t xml:space="preserve">FILTRO DE GASOLINA CARTON </t>
  </si>
  <si>
    <t>FILTRO DE ACEI GNS125</t>
  </si>
  <si>
    <r>
      <rPr>
        <b/>
        <sz val="14"/>
        <rFont val="Calibri"/>
        <family val="2"/>
        <scheme val="minor"/>
      </rPr>
      <t>CORTES DE LA SEMANA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25 DE MAYO-26                       $16865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$ 2783                MENOS$10462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26 DE MAYO-26                  $6403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$ 1551.5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27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$ 1011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28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$ 2050.5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29 DE MAYO-26
</t>
    </r>
    <r>
      <rPr>
        <b/>
        <sz val="16"/>
        <color rgb="FFFF0000"/>
        <rFont val="Calibri"/>
        <family val="2"/>
        <scheme val="minor"/>
      </rPr>
      <t xml:space="preserve">VENTA $ 2003
</t>
    </r>
    <r>
      <rPr>
        <b/>
        <sz val="20"/>
        <color theme="1"/>
        <rFont val="Calibri"/>
        <family val="2"/>
        <scheme val="minor"/>
      </rPr>
      <t xml:space="preserve">TOTAL $ 9399
TOTAL EN CAJA $ 15802 </t>
    </r>
    <r>
      <rPr>
        <sz val="11"/>
        <color theme="1"/>
        <rFont val="Calibri"/>
        <family val="2"/>
        <scheme val="minor"/>
      </rPr>
      <t xml:space="preserve">
</t>
    </r>
  </si>
  <si>
    <t>AMORTIGUADOR JUEGO FT150</t>
  </si>
  <si>
    <t>Sabado 30 DE MAYO-26</t>
  </si>
  <si>
    <t>ESPEJOS XR150</t>
  </si>
  <si>
    <t xml:space="preserve">LUZ </t>
  </si>
  <si>
    <t>BALATA DE TAMBOR DS150</t>
  </si>
  <si>
    <t>ROTULA INFERIOR ATV</t>
  </si>
  <si>
    <t xml:space="preserve">BUJIA C7 </t>
  </si>
  <si>
    <t>FILTRO DE GASOLINA CARTON</t>
  </si>
  <si>
    <t>RODILLO DE CENTRIFUGO DS150</t>
  </si>
  <si>
    <t xml:space="preserve">LIQUIDO DE FRENO </t>
  </si>
  <si>
    <t>BANDA 835 30 -30</t>
  </si>
  <si>
    <t>CADENA 530 ITALIKA</t>
  </si>
  <si>
    <t>PEDAL DE ARRANQUE FT150</t>
  </si>
  <si>
    <t xml:space="preserve">FULTRO DE GASOLINA CARTON </t>
  </si>
  <si>
    <t xml:space="preserve">PORTA FUSIBLE </t>
  </si>
  <si>
    <t>CADENA SENCILLA 520</t>
  </si>
  <si>
    <t xml:space="preserve"> ESCAPE FU PARA AMIGO DE DANIEL</t>
  </si>
  <si>
    <t xml:space="preserve">CUBRE TANQUE </t>
  </si>
  <si>
    <t>BALATA TRASERA 250Z</t>
  </si>
  <si>
    <t>ESPONJA DE FT150</t>
  </si>
  <si>
    <t xml:space="preserve">ESPEJOS DE FT150 ITALIKA </t>
  </si>
  <si>
    <t>CHCICOTE DE FRENO DELANTERO FT125</t>
  </si>
  <si>
    <t>MANIJAS DE FT125</t>
  </si>
  <si>
    <t>FILTRO DE ACEI R15</t>
  </si>
  <si>
    <t>BARILLA DE FRENO TRASERO FT150</t>
  </si>
  <si>
    <t>CUBREPUÑOS LED AZULES</t>
  </si>
  <si>
    <t>MANIJA IZQUIERDA  FT150 BASE</t>
  </si>
  <si>
    <r>
      <t xml:space="preserve">CUENTA DE AYER $ 15802 MENOS $ 456 DE LUZ QUEDA $ 15346
CUENTA DE HOY SABADO $ 4003 MENOS $ 300 PAGO DE YAS QUEDA $ 3703 MAS LO DE CAJA $ 15346 
</t>
    </r>
    <r>
      <rPr>
        <b/>
        <sz val="22"/>
        <color theme="1"/>
        <rFont val="Calibri"/>
        <family val="2"/>
        <scheme val="minor"/>
      </rPr>
      <t xml:space="preserve">TOTAL EN CAJA $ 19049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</si>
</sst>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2783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20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46172.793269791669</v>
      </c>
      <c r="C5">
        <f>IF(ISNUMBER(E5), IF(ISNUMBER(C4), C4+1, 1), "")</f>
        <v>1</v>
      </c>
      <c r="D5" t="s">
        <v>26</v>
      </c>
      <c r="E5">
        <v>2</v>
      </c>
      <c r="F5">
        <v>15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27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>
        <f t="shared" ref="C6:C36" si="0">IF(ISNUMBER(E6), IF(ISNUMBER(C5), C5+1, 1), "")</f>
        <v>2</v>
      </c>
      <c r="D6" t="s">
        <v>28</v>
      </c>
      <c r="E6">
        <v>2</v>
      </c>
      <c r="F6">
        <v>30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54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>
        <f t="shared" si="0"/>
        <v>3</v>
      </c>
      <c r="D7" t="s">
        <v>28</v>
      </c>
      <c r="E7">
        <v>2</v>
      </c>
      <c r="F7">
        <v>30</v>
      </c>
      <c r="G7" t="s">
        <v>27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54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>
        <f t="shared" si="0"/>
        <v>4</v>
      </c>
      <c r="D8" t="s">
        <v>29</v>
      </c>
      <c r="E8">
        <v>1</v>
      </c>
      <c r="F8">
        <v>380</v>
      </c>
      <c r="G8" t="s">
        <v>27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342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>
        <f t="shared" si="0"/>
        <v>5</v>
      </c>
      <c r="D9" t="s">
        <v>41</v>
      </c>
      <c r="E9">
        <v>1</v>
      </c>
      <c r="F9">
        <v>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>
        <f t="shared" si="0"/>
        <v>6</v>
      </c>
      <c r="D10" t="s">
        <v>30</v>
      </c>
      <c r="E10">
        <v>1</v>
      </c>
      <c r="F10">
        <v>320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320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>
        <f t="shared" si="0"/>
        <v>7</v>
      </c>
      <c r="D11" t="s">
        <v>31</v>
      </c>
      <c r="E11">
        <v>1</v>
      </c>
      <c r="F11">
        <v>445</v>
      </c>
      <c r="G11" t="s">
        <v>27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400.5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>
        <f t="shared" si="0"/>
        <v>8</v>
      </c>
      <c r="D12" t="s">
        <v>32</v>
      </c>
      <c r="E12">
        <v>1</v>
      </c>
      <c r="F12">
        <v>60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54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>
        <f t="shared" si="0"/>
        <v>9</v>
      </c>
      <c r="D13" t="s">
        <v>33</v>
      </c>
      <c r="E13">
        <v>1</v>
      </c>
      <c r="F13">
        <v>15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13.5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>
        <f t="shared" si="0"/>
        <v>10</v>
      </c>
      <c r="D14" t="s">
        <v>34</v>
      </c>
      <c r="E14">
        <v>1</v>
      </c>
      <c r="F14">
        <v>220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220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>
        <f t="shared" si="0"/>
        <v>11</v>
      </c>
      <c r="D15" t="s">
        <v>35</v>
      </c>
      <c r="E15">
        <v>1</v>
      </c>
      <c r="F15">
        <v>25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>
        <f t="shared" si="0"/>
        <v>12</v>
      </c>
      <c r="D16" t="s">
        <v>36</v>
      </c>
      <c r="E16">
        <v>1</v>
      </c>
      <c r="F16">
        <v>280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280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>
        <f t="shared" si="0"/>
        <v>13</v>
      </c>
      <c r="D17" t="s">
        <v>37</v>
      </c>
      <c r="E17">
        <v>1</v>
      </c>
      <c r="F17">
        <v>123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123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>
        <f t="shared" si="0"/>
        <v>14</v>
      </c>
      <c r="D18" t="s">
        <v>38</v>
      </c>
      <c r="E18">
        <v>1</v>
      </c>
      <c r="F18">
        <v>96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96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>
        <f t="shared" si="0"/>
        <v>15</v>
      </c>
      <c r="D19" t="s">
        <v>39</v>
      </c>
      <c r="E19">
        <v>1</v>
      </c>
      <c r="F19">
        <v>232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232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>
        <f t="shared" si="0"/>
        <v>16</v>
      </c>
      <c r="D20" t="s">
        <v>39</v>
      </c>
      <c r="E20">
        <v>1</v>
      </c>
      <c r="F20">
        <v>232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232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>
        <f t="shared" si="0"/>
        <v>17</v>
      </c>
      <c r="D21" t="s">
        <v>40</v>
      </c>
      <c r="E21">
        <v>1</v>
      </c>
      <c r="F21">
        <v>90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90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>
        <f t="shared" si="0"/>
        <v>18</v>
      </c>
      <c r="D22" t="s">
        <v>41</v>
      </c>
      <c r="E22">
        <v>1</v>
      </c>
      <c r="F22">
        <v>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>
        <f t="shared" si="0"/>
        <v>19</v>
      </c>
      <c r="D23" t="s">
        <v>42</v>
      </c>
      <c r="E23">
        <v>1</v>
      </c>
      <c r="F23">
        <v>100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100</v>
      </c>
    </row>
    <row r="24" spans="2:18" ht="15" customHeight="1" x14ac:dyDescent="0.25">
      <c r="B24" s="18">
        <f ca="1">IF(Tabla1[[#This Row],['#]]&lt;&gt;"", NOW(), "")</f>
        <v>46172.793270023147</v>
      </c>
      <c r="C24">
        <f t="shared" si="0"/>
        <v>20</v>
      </c>
      <c r="D24" t="s">
        <v>40</v>
      </c>
      <c r="E24">
        <v>1</v>
      </c>
      <c r="F24">
        <v>110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110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/>
      <c r="N27" s="27"/>
      <c r="O27" s="30"/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43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1551.5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23" t="s">
        <v>53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46172.793269791669</v>
      </c>
      <c r="C5">
        <f t="shared" ref="C5:C68" si="0">IF(ISNUMBER(E5), IF(ISNUMBER(C4), C4+1, 1), "")</f>
        <v>1</v>
      </c>
      <c r="D5" t="s">
        <v>44</v>
      </c>
      <c r="E5">
        <v>1</v>
      </c>
      <c r="F5">
        <v>15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>
        <f t="shared" si="0"/>
        <v>2</v>
      </c>
      <c r="D6" t="s">
        <v>44</v>
      </c>
      <c r="E6">
        <v>1</v>
      </c>
      <c r="F6">
        <v>15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>
        <f t="shared" si="0"/>
        <v>3</v>
      </c>
      <c r="D7" t="s">
        <v>45</v>
      </c>
      <c r="E7">
        <v>1</v>
      </c>
      <c r="F7">
        <v>115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115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>
        <f t="shared" si="0"/>
        <v>4</v>
      </c>
      <c r="D8" t="s">
        <v>46</v>
      </c>
      <c r="E8">
        <v>1</v>
      </c>
      <c r="F8">
        <v>220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220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>
        <f t="shared" si="0"/>
        <v>5</v>
      </c>
      <c r="D9" t="s">
        <v>48</v>
      </c>
      <c r="E9">
        <v>1</v>
      </c>
      <c r="F9">
        <v>180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180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>
        <f t="shared" si="0"/>
        <v>6</v>
      </c>
      <c r="D10" t="s">
        <v>49</v>
      </c>
      <c r="E10">
        <v>1</v>
      </c>
      <c r="F10">
        <v>298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268.5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>
        <f t="shared" si="0"/>
        <v>7</v>
      </c>
      <c r="D11" t="s">
        <v>37</v>
      </c>
      <c r="E11">
        <v>1</v>
      </c>
      <c r="F11">
        <v>123</v>
      </c>
      <c r="G11" t="s">
        <v>27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117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>
        <f t="shared" si="0"/>
        <v>8</v>
      </c>
      <c r="D12" t="s">
        <v>50</v>
      </c>
      <c r="E12">
        <v>1</v>
      </c>
      <c r="F12">
        <v>70</v>
      </c>
      <c r="G12" t="s">
        <v>27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63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>
        <f t="shared" si="0"/>
        <v>9</v>
      </c>
      <c r="D13" t="s">
        <v>51</v>
      </c>
      <c r="E13">
        <v>1</v>
      </c>
      <c r="F13">
        <v>510</v>
      </c>
      <c r="G13" t="s">
        <v>27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459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>
        <f t="shared" si="0"/>
        <v>10</v>
      </c>
      <c r="D14" t="s">
        <v>54</v>
      </c>
      <c r="E14">
        <v>1</v>
      </c>
      <c r="F14">
        <v>99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99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 t="str">
        <f t="shared" si="0"/>
        <v/>
      </c>
      <c r="H15" s="5" t="str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 t="str">
        <f t="shared" si="0"/>
        <v/>
      </c>
      <c r="H16" s="5" t="str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 t="str">
        <f t="shared" si="0"/>
        <v/>
      </c>
      <c r="H17" s="5" t="str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46172.793270023147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47</v>
      </c>
      <c r="N27" s="15">
        <v>2767</v>
      </c>
      <c r="O27" s="40"/>
      <c r="P27" s="41"/>
      <c r="Q27" s="41"/>
      <c r="R27" s="42"/>
    </row>
    <row r="28" spans="2:18" ht="30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52</v>
      </c>
      <c r="N28" s="15">
        <v>3862</v>
      </c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>
        <v>6629</v>
      </c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1041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23" t="s">
        <v>70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46172.793269791669</v>
      </c>
      <c r="C5">
        <f>IF(ISNUMBER(E5), IF(ISNUMBER(C4), C4+1, 1), "")</f>
        <v>1</v>
      </c>
      <c r="D5" t="s">
        <v>56</v>
      </c>
      <c r="E5">
        <v>1</v>
      </c>
      <c r="F5">
        <v>123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123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>
        <f t="shared" ref="C6" si="0">IF(ISNUMBER(E6), IF(ISNUMBER(C5), C5+1, 1), "")</f>
        <v>2</v>
      </c>
      <c r="D6" t="s">
        <v>58</v>
      </c>
      <c r="E6">
        <v>1</v>
      </c>
      <c r="F6">
        <v>100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100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>
        <f>IF(ISNUMBER(E7), IF(ISNUMBER(C6), C6+1, 1), "")</f>
        <v>3</v>
      </c>
      <c r="D7" t="s">
        <v>59</v>
      </c>
      <c r="E7">
        <v>1</v>
      </c>
      <c r="F7">
        <v>81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73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>
        <f t="shared" ref="C8:C68" si="1">IF(ISNUMBER(E8), IF(ISNUMBER(C7), C7+1, 1), "")</f>
        <v>4</v>
      </c>
      <c r="D8" t="s">
        <v>61</v>
      </c>
      <c r="E8">
        <v>1</v>
      </c>
      <c r="F8">
        <v>40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40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>
        <f t="shared" si="1"/>
        <v>5</v>
      </c>
      <c r="D9" t="s">
        <v>62</v>
      </c>
      <c r="E9">
        <v>2</v>
      </c>
      <c r="F9">
        <v>15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>
        <f t="shared" si="1"/>
        <v>6</v>
      </c>
      <c r="D10" t="s">
        <v>41</v>
      </c>
      <c r="E10">
        <v>1</v>
      </c>
      <c r="F10">
        <v>5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>
        <f t="shared" si="1"/>
        <v>7</v>
      </c>
      <c r="D11" t="s">
        <v>63</v>
      </c>
      <c r="E11">
        <v>1</v>
      </c>
      <c r="F11">
        <v>50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>
        <f t="shared" si="1"/>
        <v>8</v>
      </c>
      <c r="D12" t="s">
        <v>64</v>
      </c>
      <c r="E12">
        <v>1</v>
      </c>
      <c r="F12">
        <v>71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71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>
        <f t="shared" si="1"/>
        <v>9</v>
      </c>
      <c r="D13" t="s">
        <v>63</v>
      </c>
      <c r="E13">
        <v>1</v>
      </c>
      <c r="F13">
        <v>50</v>
      </c>
      <c r="G13" t="s">
        <v>27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>
        <f t="shared" si="1"/>
        <v>10</v>
      </c>
      <c r="D14" t="s">
        <v>65</v>
      </c>
      <c r="E14">
        <v>1</v>
      </c>
      <c r="F14">
        <v>20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>
        <f t="shared" si="1"/>
        <v>11</v>
      </c>
      <c r="D15" t="s">
        <v>66</v>
      </c>
      <c r="E15">
        <v>1</v>
      </c>
      <c r="F15">
        <v>20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>
        <f t="shared" si="1"/>
        <v>12</v>
      </c>
      <c r="D16" t="s">
        <v>67</v>
      </c>
      <c r="E16">
        <v>2</v>
      </c>
      <c r="F16">
        <v>22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40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>
        <f t="shared" si="1"/>
        <v>13</v>
      </c>
      <c r="D17" t="s">
        <v>68</v>
      </c>
      <c r="E17">
        <v>1</v>
      </c>
      <c r="F17">
        <v>55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>
        <f t="shared" si="1"/>
        <v>14</v>
      </c>
      <c r="D18" t="s">
        <v>80</v>
      </c>
      <c r="E18">
        <v>1</v>
      </c>
      <c r="F18">
        <v>220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220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>
        <f t="shared" si="1"/>
        <v>15</v>
      </c>
      <c r="D19" t="s">
        <v>37</v>
      </c>
      <c r="E19">
        <v>1</v>
      </c>
      <c r="F19">
        <v>123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123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>
        <f t="shared" si="1"/>
        <v>16</v>
      </c>
      <c r="D20" t="s">
        <v>81</v>
      </c>
      <c r="E20">
        <v>2</v>
      </c>
      <c r="F20">
        <v>15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46172.793270023147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/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45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57</v>
      </c>
      <c r="N27" s="15">
        <v>65</v>
      </c>
      <c r="O27" s="40"/>
      <c r="P27" s="41"/>
      <c r="Q27" s="41"/>
      <c r="R27" s="42"/>
    </row>
    <row r="28" spans="2:18" ht="45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47</v>
      </c>
      <c r="N28" s="15">
        <v>923</v>
      </c>
      <c r="O28" s="40"/>
      <c r="P28" s="41"/>
      <c r="Q28" s="41"/>
      <c r="R28" s="42"/>
    </row>
    <row r="29" spans="2:18" ht="30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 t="s">
        <v>69</v>
      </c>
      <c r="N29" s="15">
        <v>1285</v>
      </c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2050.5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8</v>
      </c>
      <c r="M4" s="23" t="s">
        <v>92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46172.793269791669</v>
      </c>
      <c r="C5">
        <f t="shared" ref="C5:C68" si="0">IF(ISNUMBER(E5), IF(ISNUMBER(C4), C4+1, 1), "")</f>
        <v>1</v>
      </c>
      <c r="D5" t="s">
        <v>83</v>
      </c>
      <c r="E5">
        <v>1</v>
      </c>
      <c r="F5">
        <v>65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65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>
        <f t="shared" si="0"/>
        <v>2</v>
      </c>
      <c r="D6" t="s">
        <v>84</v>
      </c>
      <c r="E6">
        <v>1</v>
      </c>
      <c r="F6">
        <v>170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170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>
        <f t="shared" si="0"/>
        <v>3</v>
      </c>
      <c r="D7" t="s">
        <v>85</v>
      </c>
      <c r="E7">
        <v>1</v>
      </c>
      <c r="F7">
        <v>355</v>
      </c>
      <c r="G7" t="s">
        <v>27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319.5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>
        <f t="shared" si="0"/>
        <v>4</v>
      </c>
      <c r="D8" t="s">
        <v>115</v>
      </c>
      <c r="E8">
        <v>1</v>
      </c>
      <c r="F8">
        <v>669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669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>
        <f t="shared" si="0"/>
        <v>5</v>
      </c>
      <c r="D9" t="s">
        <v>86</v>
      </c>
      <c r="E9">
        <v>1</v>
      </c>
      <c r="F9">
        <v>500</v>
      </c>
      <c r="G9" t="s">
        <v>27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450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>
        <f t="shared" si="0"/>
        <v>6</v>
      </c>
      <c r="D10" t="s">
        <v>87</v>
      </c>
      <c r="E10">
        <v>1</v>
      </c>
      <c r="F10">
        <v>75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75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>
        <f t="shared" si="0"/>
        <v>7</v>
      </c>
      <c r="D11" t="s">
        <v>88</v>
      </c>
      <c r="E11">
        <v>1</v>
      </c>
      <c r="F11">
        <v>280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280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>
        <f t="shared" si="0"/>
        <v>8</v>
      </c>
      <c r="D12" t="s">
        <v>89</v>
      </c>
      <c r="E12">
        <v>1</v>
      </c>
      <c r="F12">
        <v>22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22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46172.793270023147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90</v>
      </c>
      <c r="N27" s="15">
        <v>60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91</v>
      </c>
      <c r="N28" s="15">
        <v>300</v>
      </c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60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2003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23" t="s">
        <v>114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46172.793269791669</v>
      </c>
      <c r="C5">
        <f t="shared" ref="C5:C68" si="0">IF(ISNUMBER(E5), IF(ISNUMBER(C4), C4+1, 1), "")</f>
        <v>1</v>
      </c>
      <c r="D5" t="s">
        <v>93</v>
      </c>
      <c r="E5">
        <v>4</v>
      </c>
      <c r="F5">
        <v>3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>
        <f t="shared" si="0"/>
        <v>2</v>
      </c>
      <c r="D6" t="s">
        <v>97</v>
      </c>
      <c r="E6">
        <v>1</v>
      </c>
      <c r="F6">
        <v>32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29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>
        <f t="shared" si="0"/>
        <v>3</v>
      </c>
      <c r="D7" t="s">
        <v>98</v>
      </c>
      <c r="E7">
        <v>1</v>
      </c>
      <c r="F7">
        <v>390</v>
      </c>
      <c r="G7" t="s">
        <v>27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351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>
        <f t="shared" si="0"/>
        <v>4</v>
      </c>
      <c r="D8" t="s">
        <v>98</v>
      </c>
      <c r="E8">
        <v>1</v>
      </c>
      <c r="F8">
        <v>390</v>
      </c>
      <c r="G8" t="s">
        <v>27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351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>
        <f t="shared" si="0"/>
        <v>5</v>
      </c>
      <c r="D9" t="s">
        <v>103</v>
      </c>
      <c r="E9">
        <v>1</v>
      </c>
      <c r="F9">
        <v>320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288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>
        <f t="shared" si="0"/>
        <v>6</v>
      </c>
      <c r="D10" t="s">
        <v>99</v>
      </c>
      <c r="E10">
        <v>1</v>
      </c>
      <c r="F10">
        <v>20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>
        <f t="shared" si="0"/>
        <v>7</v>
      </c>
      <c r="D11" t="s">
        <v>63</v>
      </c>
      <c r="E11">
        <v>2</v>
      </c>
      <c r="F11">
        <v>50</v>
      </c>
      <c r="G11" t="s">
        <v>27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90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>
        <f t="shared" si="0"/>
        <v>8</v>
      </c>
      <c r="D12" t="s">
        <v>100</v>
      </c>
      <c r="E12">
        <v>1</v>
      </c>
      <c r="F12">
        <v>100</v>
      </c>
      <c r="G12" t="s">
        <v>27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90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>
        <f t="shared" si="0"/>
        <v>9</v>
      </c>
      <c r="D13" t="s">
        <v>101</v>
      </c>
      <c r="E13">
        <v>1</v>
      </c>
      <c r="F13">
        <v>25</v>
      </c>
      <c r="G13" t="s">
        <v>27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22.5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>
        <f t="shared" si="0"/>
        <v>10</v>
      </c>
      <c r="D14" t="s">
        <v>64</v>
      </c>
      <c r="E14">
        <v>1</v>
      </c>
      <c r="F14">
        <v>71</v>
      </c>
      <c r="G14" t="s">
        <v>27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64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>
        <f t="shared" si="0"/>
        <v>11</v>
      </c>
      <c r="D15" t="s">
        <v>102</v>
      </c>
      <c r="E15">
        <v>1</v>
      </c>
      <c r="F15">
        <v>250</v>
      </c>
      <c r="G15" t="s">
        <v>27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237.5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>
        <f t="shared" si="0"/>
        <v>12</v>
      </c>
      <c r="D16" t="s">
        <v>104</v>
      </c>
      <c r="E16">
        <v>1</v>
      </c>
      <c r="F16">
        <v>20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>
        <f t="shared" si="0"/>
        <v>13</v>
      </c>
      <c r="D17" t="s">
        <v>105</v>
      </c>
      <c r="E17">
        <v>1</v>
      </c>
      <c r="F17">
        <v>70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70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>
        <f t="shared" si="0"/>
        <v>14</v>
      </c>
      <c r="D18" t="s">
        <v>106</v>
      </c>
      <c r="E18">
        <v>1</v>
      </c>
      <c r="F18">
        <v>87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87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>
        <f t="shared" si="0"/>
        <v>15</v>
      </c>
      <c r="D19" t="s">
        <v>107</v>
      </c>
      <c r="E19">
        <v>2</v>
      </c>
      <c r="F19">
        <v>50</v>
      </c>
      <c r="G19" t="s">
        <v>27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90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>
        <f t="shared" si="0"/>
        <v>16</v>
      </c>
      <c r="D20" t="s">
        <v>108</v>
      </c>
      <c r="E20">
        <v>1</v>
      </c>
      <c r="F20">
        <v>50</v>
      </c>
      <c r="G20" t="s">
        <v>27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45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>
        <f t="shared" si="0"/>
        <v>17</v>
      </c>
      <c r="D21" t="s">
        <v>109</v>
      </c>
      <c r="E21">
        <v>1</v>
      </c>
      <c r="F21">
        <v>20</v>
      </c>
      <c r="G21" t="s">
        <v>27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18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>
        <f t="shared" si="0"/>
        <v>18</v>
      </c>
      <c r="D22" t="s">
        <v>110</v>
      </c>
      <c r="E22">
        <v>1</v>
      </c>
      <c r="F22">
        <v>28</v>
      </c>
      <c r="G22" t="s">
        <v>27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25.5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>
        <f t="shared" si="0"/>
        <v>19</v>
      </c>
      <c r="D23" t="s">
        <v>111</v>
      </c>
      <c r="E23">
        <v>1</v>
      </c>
      <c r="F23">
        <v>42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42</v>
      </c>
    </row>
    <row r="24" spans="2:18" ht="15" customHeight="1" x14ac:dyDescent="0.25">
      <c r="B24" s="18">
        <f ca="1">IF(Tabla1[[#This Row],['#]]&lt;&gt;"", NOW(), "")</f>
        <v>46172.793270023147</v>
      </c>
      <c r="C24">
        <f t="shared" si="0"/>
        <v>20</v>
      </c>
      <c r="D24" t="s">
        <v>112</v>
      </c>
      <c r="E24">
        <v>1</v>
      </c>
      <c r="F24">
        <v>15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15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113</v>
      </c>
      <c r="E25">
        <v>1</v>
      </c>
      <c r="F25">
        <v>25</v>
      </c>
      <c r="G25" t="s">
        <v>27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22.5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41</v>
      </c>
      <c r="E26">
        <v>3</v>
      </c>
      <c r="F26">
        <v>5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71</v>
      </c>
      <c r="N27" s="15">
        <v>2767</v>
      </c>
      <c r="O27" s="40" t="s">
        <v>72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73</v>
      </c>
      <c r="N28" s="15">
        <v>3862</v>
      </c>
      <c r="O28" s="40" t="s">
        <v>72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74</v>
      </c>
      <c r="N29" s="15">
        <v>65</v>
      </c>
      <c r="O29" s="40" t="s">
        <v>75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71</v>
      </c>
      <c r="N30" s="15">
        <v>923</v>
      </c>
      <c r="O30" s="40" t="s">
        <v>75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76</v>
      </c>
      <c r="N31" s="15">
        <v>1285</v>
      </c>
      <c r="O31" s="40" t="s">
        <v>75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90</v>
      </c>
      <c r="N32" s="15">
        <v>60</v>
      </c>
      <c r="O32" s="40" t="s">
        <v>94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96</v>
      </c>
      <c r="N33" s="15">
        <v>300</v>
      </c>
      <c r="O33" s="40" t="s">
        <v>94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77</v>
      </c>
      <c r="N34" s="15">
        <v>1200</v>
      </c>
      <c r="O34" s="40" t="s">
        <v>95</v>
      </c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78</v>
      </c>
      <c r="N35" s="15">
        <v>10462</v>
      </c>
      <c r="O35" s="40" t="s">
        <v>79</v>
      </c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8" sqref="D3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116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4003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33</v>
      </c>
      <c r="M4" s="23" t="s">
        <v>142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46172.793269791669</v>
      </c>
      <c r="C5">
        <f t="shared" ref="C5:C68" si="0">IF(ISNUMBER(E5), IF(ISNUMBER(C4), C4+1, 1), "")</f>
        <v>1</v>
      </c>
      <c r="D5" t="s">
        <v>37</v>
      </c>
      <c r="E5">
        <v>1</v>
      </c>
      <c r="F5">
        <v>123</v>
      </c>
      <c r="G5" t="s">
        <v>27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117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>
        <f t="shared" si="0"/>
        <v>2</v>
      </c>
      <c r="D6" t="s">
        <v>117</v>
      </c>
      <c r="E6">
        <v>1</v>
      </c>
      <c r="F6">
        <v>215</v>
      </c>
      <c r="G6" t="s">
        <v>27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193.5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>
        <f t="shared" si="0"/>
        <v>3</v>
      </c>
      <c r="D7" t="s">
        <v>49</v>
      </c>
      <c r="E7">
        <v>1</v>
      </c>
      <c r="F7">
        <v>298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298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>
        <f t="shared" si="0"/>
        <v>4</v>
      </c>
      <c r="D8" t="s">
        <v>119</v>
      </c>
      <c r="E8">
        <v>1</v>
      </c>
      <c r="F8">
        <v>70</v>
      </c>
      <c r="G8" t="s">
        <v>27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>
        <f t="shared" si="0"/>
        <v>5</v>
      </c>
      <c r="D9" t="s">
        <v>120</v>
      </c>
      <c r="E9">
        <v>1</v>
      </c>
      <c r="F9">
        <v>263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237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>
        <f t="shared" si="0"/>
        <v>6</v>
      </c>
      <c r="D10" t="s">
        <v>37</v>
      </c>
      <c r="E10">
        <v>1</v>
      </c>
      <c r="F10">
        <v>123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117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>
        <f t="shared" si="0"/>
        <v>7</v>
      </c>
      <c r="D11" t="s">
        <v>121</v>
      </c>
      <c r="E11">
        <v>1</v>
      </c>
      <c r="F11">
        <v>50</v>
      </c>
      <c r="G11" t="s">
        <v>27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45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>
        <f t="shared" si="0"/>
        <v>8</v>
      </c>
      <c r="D12" t="s">
        <v>122</v>
      </c>
      <c r="E12">
        <v>1</v>
      </c>
      <c r="F12">
        <v>15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>
        <f t="shared" si="0"/>
        <v>9</v>
      </c>
      <c r="D13" t="s">
        <v>123</v>
      </c>
      <c r="E13">
        <v>1</v>
      </c>
      <c r="F13">
        <v>35</v>
      </c>
      <c r="G13" t="s">
        <v>27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31.5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>
        <f t="shared" si="0"/>
        <v>10</v>
      </c>
      <c r="D14" t="s">
        <v>124</v>
      </c>
      <c r="E14">
        <v>1</v>
      </c>
      <c r="F14">
        <v>55</v>
      </c>
      <c r="G14" t="s">
        <v>27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49.5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>
        <f t="shared" si="0"/>
        <v>11</v>
      </c>
      <c r="D15" t="s">
        <v>134</v>
      </c>
      <c r="E15">
        <v>2</v>
      </c>
      <c r="F15">
        <v>28</v>
      </c>
      <c r="G15" t="s">
        <v>27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50.5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>
        <f t="shared" si="0"/>
        <v>12</v>
      </c>
      <c r="D16" t="s">
        <v>125</v>
      </c>
      <c r="E16">
        <v>1</v>
      </c>
      <c r="F16">
        <v>122</v>
      </c>
      <c r="G16" t="s">
        <v>27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110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>
        <f t="shared" si="0"/>
        <v>13</v>
      </c>
      <c r="D17" t="s">
        <v>126</v>
      </c>
      <c r="E17">
        <v>1</v>
      </c>
      <c r="F17">
        <v>330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330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>
        <f t="shared" si="0"/>
        <v>14</v>
      </c>
      <c r="D18" t="s">
        <v>121</v>
      </c>
      <c r="E18">
        <v>2</v>
      </c>
      <c r="F18">
        <v>50</v>
      </c>
      <c r="G18" t="s">
        <v>27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90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>
        <f t="shared" si="0"/>
        <v>15</v>
      </c>
      <c r="D19" t="s">
        <v>127</v>
      </c>
      <c r="E19">
        <v>1</v>
      </c>
      <c r="F19">
        <v>79</v>
      </c>
      <c r="G19" t="s">
        <v>27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71.5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>
        <f t="shared" si="0"/>
        <v>16</v>
      </c>
      <c r="D20" t="s">
        <v>128</v>
      </c>
      <c r="E20">
        <v>1</v>
      </c>
      <c r="F20">
        <v>15</v>
      </c>
      <c r="G20" t="s">
        <v>27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13.5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>
        <f t="shared" si="0"/>
        <v>17</v>
      </c>
      <c r="D21" t="s">
        <v>129</v>
      </c>
      <c r="E21">
        <v>1</v>
      </c>
      <c r="F21">
        <v>15</v>
      </c>
      <c r="G21" t="s">
        <v>27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13.5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>
        <f t="shared" si="0"/>
        <v>18</v>
      </c>
      <c r="D22" t="s">
        <v>130</v>
      </c>
      <c r="E22">
        <v>1</v>
      </c>
      <c r="F22">
        <v>298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298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>
        <f t="shared" si="0"/>
        <v>19</v>
      </c>
      <c r="D23" t="s">
        <v>131</v>
      </c>
      <c r="E23">
        <v>1</v>
      </c>
      <c r="F23">
        <v>650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650</v>
      </c>
    </row>
    <row r="24" spans="2:18" ht="15" customHeight="1" x14ac:dyDescent="0.25">
      <c r="B24" s="18">
        <f ca="1">IF(Tabla1[[#This Row],['#]]&lt;&gt;"", NOW(), "")</f>
        <v>46172.793270023147</v>
      </c>
      <c r="C24">
        <f t="shared" si="0"/>
        <v>20</v>
      </c>
      <c r="D24" t="s">
        <v>132</v>
      </c>
      <c r="E24">
        <v>1</v>
      </c>
      <c r="F24">
        <v>80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80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133</v>
      </c>
      <c r="E25">
        <v>1</v>
      </c>
      <c r="F25">
        <v>70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70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37</v>
      </c>
      <c r="E26">
        <v>1</v>
      </c>
      <c r="F26">
        <v>123</v>
      </c>
      <c r="G26" t="s">
        <v>27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117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99</v>
      </c>
      <c r="E27">
        <v>1</v>
      </c>
      <c r="F27">
        <v>5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5</v>
      </c>
      <c r="M27" s="13" t="s">
        <v>118</v>
      </c>
      <c r="N27" s="15">
        <v>456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135</v>
      </c>
      <c r="E28">
        <v>1</v>
      </c>
      <c r="F28">
        <v>150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150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136</v>
      </c>
      <c r="E29">
        <v>1</v>
      </c>
      <c r="F29">
        <v>52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52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137</v>
      </c>
      <c r="E30">
        <v>1</v>
      </c>
      <c r="F30">
        <v>130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130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138</v>
      </c>
      <c r="E31">
        <v>1</v>
      </c>
      <c r="F31">
        <v>90</v>
      </c>
      <c r="G31" t="s">
        <v>27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81</v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139</v>
      </c>
      <c r="E32">
        <v>1</v>
      </c>
      <c r="F32">
        <v>30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30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64</v>
      </c>
      <c r="E33">
        <v>1</v>
      </c>
      <c r="F33">
        <v>71</v>
      </c>
      <c r="G33" t="s">
        <v>27</v>
      </c>
      <c r="H33" s="5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>64</v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140</v>
      </c>
      <c r="E34">
        <v>1</v>
      </c>
      <c r="F34">
        <v>320</v>
      </c>
      <c r="H34" s="5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>320</v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141</v>
      </c>
      <c r="E35">
        <v>1</v>
      </c>
      <c r="F35">
        <v>87</v>
      </c>
      <c r="H35" s="5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>87</v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>
        <f t="shared" si="0"/>
        <v>32</v>
      </c>
      <c r="D36" t="s">
        <v>41</v>
      </c>
      <c r="E36">
        <v>1</v>
      </c>
      <c r="F36">
        <v>5</v>
      </c>
      <c r="H36" s="5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>5</v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>
        <f t="shared" si="0"/>
        <v>33</v>
      </c>
      <c r="D37" t="s">
        <v>41</v>
      </c>
      <c r="E37">
        <v>4</v>
      </c>
      <c r="F37">
        <v>5</v>
      </c>
      <c r="H37" s="5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>20</v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46172.793269791669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46172.793269791669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46172.793269791669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46172.793269791669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46172.793269791669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46172.793269791669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46172.793269791669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46172.793269791669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46172.793269791669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46172.793269791669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46172.793269791669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46172.793269791669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46172.793269791669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46172.793270023147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46172.793270023147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46172.793270023147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46172.793270023147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46172.793270023147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46172.793270023147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25-05-26</vt:lpstr>
      <vt:lpstr>Martes 26-05-26</vt:lpstr>
      <vt:lpstr>Miercoles 27-05-26</vt:lpstr>
      <vt:lpstr>Jueves 28-05-26</vt:lpstr>
      <vt:lpstr>Viernes 28-05-26</vt:lpstr>
      <vt:lpstr>Sabado 30-05-26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2026-05-31T01:03:24Z</dcterms:modified>
</cp:coreProperties>
</file>