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206D595C-F2A5-47EA-8B03-F0726CB3CED4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11-05-26" sheetId="1" r:id="rId1"/>
    <sheet name="Martes 12-05-26" sheetId="2" r:id="rId2"/>
    <sheet name="Miercoles 13-05-26" sheetId="3" r:id="rId3"/>
    <sheet name="Jueves 14-05-26" sheetId="4" r:id="rId4"/>
    <sheet name="Viernes 15-05-26" sheetId="5" r:id="rId5"/>
    <sheet name="Sabado 16-05-26" sheetId="6" r:id="rId6"/>
    <sheet name="Domingo" sheetId="8" r:id="rId7"/>
    <sheet name="Cambios" sheetId="7" r:id="rId8"/>
  </sheets>
  <definedNames>
    <definedName name="_xlnm._FilterDatabase" localSheetId="0" hidden="1">'Lunes 11-05-26'!$B$4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<sst xmlns="http://schemas.openxmlformats.org/spreadsheetml/2006/main" count="296" uniqueCount="141">
  <si>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</si>
  <si>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</si>
  <si>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</si>
  <si>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</si>
  <si>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</si>
  <si>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</si>
  <si>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</si>
  <si>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</si>
  <si>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</si>
  <si>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</si>
  <si>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</si>
  <si>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</si>
  <si>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</si>
  <si>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</si>
  <si>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</si>
  <si>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</si>
  <si>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</si>
  <si>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</si>
  <si>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</si>
  <si>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</si>
  <si>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</si>
  <si>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</si>
  <si>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</si>
  <si>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</si>
  <si>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</si>
  <si>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11 DE MAYO-26</t>
  </si>
  <si>
    <t>RIND DE 150Z ACOMPLETO</t>
  </si>
  <si>
    <t>ARAÑA DE VELOCIMETRO DE 150Z</t>
  </si>
  <si>
    <t>PUÑOS DE FT150</t>
  </si>
  <si>
    <t>ACEITE MOTUL 5100</t>
  </si>
  <si>
    <t xml:space="preserve">CHICOTE DE CLUTH UNIVERSAL </t>
  </si>
  <si>
    <t>X</t>
  </si>
  <si>
    <t xml:space="preserve">AORCADOR UNIVERSAL CLUTH </t>
  </si>
  <si>
    <t>ACEITE LUBER</t>
  </si>
  <si>
    <t>ACEITE AKRON</t>
  </si>
  <si>
    <t>BUJIA D8</t>
  </si>
  <si>
    <t>BALATAS DE DISCO DS150</t>
  </si>
  <si>
    <t>CHICOTE DE ACELERADOR FT125</t>
  </si>
  <si>
    <t>CHICOTE DE FRENO DELA FT125</t>
  </si>
  <si>
    <t xml:space="preserve">DIRECCIONALES UNIVERSALES </t>
  </si>
  <si>
    <t>BALATA DE TAMBOR CS125</t>
  </si>
  <si>
    <t xml:space="preserve">MARCADOR DE LLANTAS </t>
  </si>
  <si>
    <t xml:space="preserve">FILTRO DE GASOLINA PIEDRA </t>
  </si>
  <si>
    <t>CAPUCHON DE BUJIA FT150</t>
  </si>
  <si>
    <t>POSAPIES TRASEROS FT150</t>
  </si>
  <si>
    <t>TIRAS LED</t>
  </si>
  <si>
    <t>SALPICADERA DELANTERA FT125</t>
  </si>
  <si>
    <t>CDI FT150</t>
  </si>
  <si>
    <t>JUNTA DE CARTEL 250Z</t>
  </si>
  <si>
    <t xml:space="preserve">ACEITE AKRON </t>
  </si>
  <si>
    <t>SEGURO DE CADENA 428</t>
  </si>
  <si>
    <t>Martes 12 DE MAYO-26</t>
  </si>
  <si>
    <t>PILA DE MOTONETA NASAKI</t>
  </si>
  <si>
    <t>RED DE ACIENTO WS150</t>
  </si>
  <si>
    <t>PARADOR LATERAL DE 125Z</t>
  </si>
  <si>
    <t xml:space="preserve">ACEITE  AKRON </t>
  </si>
  <si>
    <t>POSAPIES DELANTERO FZ16</t>
  </si>
  <si>
    <t xml:space="preserve">PORTA FUSIBLES </t>
  </si>
  <si>
    <t xml:space="preserve">PEDIDO MERCADO LIBRE </t>
  </si>
  <si>
    <t>BALATA DELANTERO DM200 DISCO</t>
  </si>
  <si>
    <t xml:space="preserve">ACEITE LUBER </t>
  </si>
  <si>
    <t xml:space="preserve">TOTAL </t>
  </si>
  <si>
    <t>CUENTA SEMANA PASADA $ 9506 MENOS $ 3358 DE PEDIDO MERCADO LIBRE Y PEDIDO NASAKI QUEDA $ 6148</t>
  </si>
  <si>
    <t>FILTRO DE ACEI PULSAR 200NS</t>
  </si>
  <si>
    <t>BUJIA C7</t>
  </si>
  <si>
    <t>MANIJA DERECHA FT125 CON BASE</t>
  </si>
  <si>
    <t>Miercoles 13 DE AMYO-26</t>
  </si>
  <si>
    <t>ROLLO Y FABULOSO</t>
  </si>
  <si>
    <t xml:space="preserve">ACEITE YAMALUBE </t>
  </si>
  <si>
    <t xml:space="preserve">BOTON DE INTERMITENTE </t>
  </si>
  <si>
    <t>ARNES BOTON DE INTERMITENTE</t>
  </si>
  <si>
    <t>PEDIDO OSCAR</t>
  </si>
  <si>
    <t>LLAVE DE PASO GASOLINA WS150</t>
  </si>
  <si>
    <t>CHCICOTE DE CLUTH UNIVERSAL</t>
  </si>
  <si>
    <t>TAZAS DE DIRECCIKON 250Z</t>
  </si>
  <si>
    <t>DISCO DE FRENO TRASERO 250Z</t>
  </si>
  <si>
    <t xml:space="preserve">CUENTA DE AYER $6148 MENOS $ 556 QUEDA $ 5592 </t>
  </si>
  <si>
    <t>Jueves 14 DE MAYO-26</t>
  </si>
  <si>
    <t>BANDA POWER LINK 835-20-30</t>
  </si>
  <si>
    <t>BASE DE RUEDA TRASERA ATV</t>
  </si>
  <si>
    <t>CADENA 428X 136  WAPEMEX</t>
  </si>
  <si>
    <t>BALATA DE TAMBOR DS150</t>
  </si>
  <si>
    <t>BALERO 6302</t>
  </si>
  <si>
    <t>BALATA DE DISCO DS150</t>
  </si>
  <si>
    <t>Viernes 15 DE MAYO-26</t>
  </si>
  <si>
    <t>MERCADO</t>
  </si>
  <si>
    <t>PEDIDO NASAKI</t>
  </si>
  <si>
    <t>P.NASAKI</t>
  </si>
  <si>
    <t>ROLLO</t>
  </si>
  <si>
    <t>MARTES 12 DE MAYO-26</t>
  </si>
  <si>
    <t>MIERCOLES 13 DE MAYO-26</t>
  </si>
  <si>
    <t>P.OSCAR</t>
  </si>
  <si>
    <t>VIERNES 15 DE MAYO-26</t>
  </si>
  <si>
    <t xml:space="preserve">PAGOYAS </t>
  </si>
  <si>
    <t>TOTAL</t>
  </si>
  <si>
    <t xml:space="preserve">TOTAL DE EGRESOS </t>
  </si>
  <si>
    <t>BALATA DE DISCO ATV 150</t>
  </si>
  <si>
    <t>TORNILLOS DE SPROKET FT150</t>
  </si>
  <si>
    <t>CAMARA 120-80-18</t>
  </si>
  <si>
    <t xml:space="preserve">ARNES DE 4 PINES </t>
  </si>
  <si>
    <t>RODILLOS DE CENTRIFUJO DS150</t>
  </si>
  <si>
    <t xml:space="preserve">PASTAS </t>
  </si>
  <si>
    <t>BOMBA DE FRENO TRASERA ATV</t>
  </si>
  <si>
    <t xml:space="preserve">FOCO DE DIRECCIONAL </t>
  </si>
  <si>
    <t>RID TRASERO FT150</t>
  </si>
  <si>
    <t xml:space="preserve">CORTADOR DE CADENA DISTRIBUCCION </t>
  </si>
  <si>
    <t>FILTRO DE ACEI FZ16</t>
  </si>
  <si>
    <t xml:space="preserve">MIRILLA DE FRENO </t>
  </si>
  <si>
    <t>PARADOR LATERAL RESORTE</t>
  </si>
  <si>
    <t>TORNILLO M10</t>
  </si>
  <si>
    <t>TUERCA</t>
  </si>
  <si>
    <t xml:space="preserve">CASCO ROSA </t>
  </si>
  <si>
    <r>
      <rPr>
        <b/>
        <sz val="14"/>
        <color theme="1"/>
        <rFont val="Calibri"/>
        <family val="2"/>
        <scheme val="minor"/>
      </rPr>
      <t xml:space="preserve">CORTES DE LA SEMANA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LUNES 11 DE MAYO-26                    $9506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$ 2922.5          MENOS $5414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MARTES 12 DE MAYO-26                 $4092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$ 1522.5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13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$ 969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14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$ 1306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VIERNES 15 DE MAYO-26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$3317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theme="1"/>
        <rFont val="Calibri"/>
        <family val="2"/>
        <scheme val="minor"/>
      </rPr>
      <t>TOTAL $ 10037
TOTAL EN CAJA $ 14129</t>
    </r>
  </si>
  <si>
    <t>Sabado 16 DE MAYO-26</t>
  </si>
  <si>
    <t>SWITH ATV ITALIKA</t>
  </si>
  <si>
    <t>TAZAS DE DIRECCION DM200</t>
  </si>
  <si>
    <t>LIQUIDO DE FRENO</t>
  </si>
  <si>
    <t>MIRILLA DE FRENO UNIVERSAL</t>
  </si>
  <si>
    <t>MIRILLAS DE FRENO UNIVERSAL</t>
  </si>
  <si>
    <t>FOCO H6 HALOGENO</t>
  </si>
  <si>
    <t xml:space="preserve">GOMA DE CALIPER </t>
  </si>
  <si>
    <t>RELEVADOR DE FT150</t>
  </si>
  <si>
    <t>REPUESTOS DE CARBURADOR DS150</t>
  </si>
  <si>
    <t>ERNES H4</t>
  </si>
  <si>
    <t>PASTAS DE CLUTH AT110</t>
  </si>
  <si>
    <t>TAZAS DE DIRECCION WS150 SPORT</t>
  </si>
  <si>
    <t>LONA PARA CUBRIR MOTO</t>
  </si>
  <si>
    <t>BALTA DE TAMBOR CS125</t>
  </si>
  <si>
    <t>BALATA DE DISCO 17-Z</t>
  </si>
  <si>
    <t>STIKER</t>
  </si>
  <si>
    <t>TORNILLO M6</t>
  </si>
  <si>
    <t xml:space="preserve">GOMAS DE IMPACTO HONDA CARGO </t>
  </si>
  <si>
    <t>PIPETA DE CARBURADOR DM200</t>
  </si>
  <si>
    <t xml:space="preserve">MANGUERA GASOLINA </t>
  </si>
  <si>
    <t>CAPUCHON DE BUJIA DS150</t>
  </si>
  <si>
    <t xml:space="preserve">FUSIBLES SUELTOS </t>
  </si>
  <si>
    <t>CHICOTE DE CLUTH DM200</t>
  </si>
  <si>
    <t xml:space="preserve">PROTECTOR DE CALZADO </t>
  </si>
  <si>
    <t>HUESO DE CADENA DM200</t>
  </si>
  <si>
    <t xml:space="preserve">RESORTE DE LA PATA </t>
  </si>
  <si>
    <r>
      <t xml:space="preserve">CUENTA DE HOY SABADO $ 2207.5 MENOS $ 300 DE PAGO DE YAS QUEDA $ 1907.5  MAS LO DE AYER EN CAJA $ 14129 
</t>
    </r>
    <r>
      <rPr>
        <b/>
        <sz val="24"/>
        <color theme="1"/>
        <rFont val="Calibri"/>
        <family val="2"/>
        <scheme val="minor"/>
      </rPr>
      <t xml:space="preserve">TOTAL EN CAJA $16036.5 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</si>
</sst>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4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1" fillId="0" borderId="0" xfId="0" applyFont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2" t="s">
        <v>25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2" t="s">
        <v>17</v>
      </c>
      <c r="K3" s="6">
        <f>SUM(Tabla1[Importa])</f>
        <v>2922.5</v>
      </c>
      <c r="M3" s="25" t="s">
        <v>6</v>
      </c>
      <c r="N3" s="25"/>
      <c r="O3" s="25"/>
      <c r="P3" s="25"/>
      <c r="Q3" s="25"/>
      <c r="R3" s="25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24</v>
      </c>
      <c r="M4" s="24"/>
      <c r="N4" s="24"/>
      <c r="O4" s="24"/>
      <c r="P4" s="24"/>
      <c r="Q4" s="24"/>
      <c r="R4" s="24"/>
    </row>
    <row r="5" spans="2:18" x14ac:dyDescent="0.25">
      <c r="B5" s="18">
        <f ca="1">IF(Tabla1[[#This Row],['#]]&lt;&gt;"", NOW(), "")</f>
        <v>46158.806318750001</v>
      </c>
      <c r="C5">
        <f>IF(ISNUMBER(E5), IF(ISNUMBER(C4), C4+1, 1), "")</f>
        <v>1</v>
      </c>
      <c r="D5" t="s">
        <v>26</v>
      </c>
      <c r="E5">
        <v>1</v>
      </c>
      <c r="F5">
        <v>950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950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46158.806318750001</v>
      </c>
      <c r="C6">
        <f t="shared" ref="C6:C36" si="0">IF(ISNUMBER(E6), IF(ISNUMBER(C5), C5+1, 1), "")</f>
        <v>2</v>
      </c>
      <c r="D6" t="s">
        <v>27</v>
      </c>
      <c r="E6">
        <v>1</v>
      </c>
      <c r="F6">
        <v>186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186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46158.806318750001</v>
      </c>
      <c r="C7">
        <f t="shared" si="0"/>
        <v>3</v>
      </c>
      <c r="D7" t="s">
        <v>28</v>
      </c>
      <c r="E7">
        <v>1</v>
      </c>
      <c r="F7">
        <v>65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65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46158.806318750001</v>
      </c>
      <c r="C8">
        <f t="shared" si="0"/>
        <v>4</v>
      </c>
      <c r="D8" t="s">
        <v>29</v>
      </c>
      <c r="E8">
        <v>1</v>
      </c>
      <c r="F8">
        <v>250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250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46158.806318750001</v>
      </c>
      <c r="C9">
        <f t="shared" si="0"/>
        <v>5</v>
      </c>
      <c r="D9" t="s">
        <v>30</v>
      </c>
      <c r="E9">
        <v>5</v>
      </c>
      <c r="F9">
        <v>15</v>
      </c>
      <c r="G9" t="s">
        <v>31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67.5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46158.806318750001</v>
      </c>
      <c r="C10">
        <f t="shared" si="0"/>
        <v>6</v>
      </c>
      <c r="D10" t="s">
        <v>32</v>
      </c>
      <c r="E10">
        <v>5</v>
      </c>
      <c r="F10">
        <v>5</v>
      </c>
      <c r="G10" t="s">
        <v>31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22.5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46158.806318750001</v>
      </c>
      <c r="C11">
        <f t="shared" si="0"/>
        <v>7</v>
      </c>
      <c r="D11" t="s">
        <v>33</v>
      </c>
      <c r="E11">
        <v>1</v>
      </c>
      <c r="F11">
        <v>90</v>
      </c>
      <c r="G11" t="s">
        <v>31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85.5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46158.806318750001</v>
      </c>
      <c r="C12">
        <f t="shared" si="0"/>
        <v>8</v>
      </c>
      <c r="D12" t="s">
        <v>46</v>
      </c>
      <c r="E12">
        <v>1</v>
      </c>
      <c r="F12">
        <v>250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250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46158.806318750001</v>
      </c>
      <c r="C13">
        <f t="shared" si="0"/>
        <v>9</v>
      </c>
      <c r="D13" t="s">
        <v>34</v>
      </c>
      <c r="E13">
        <v>1</v>
      </c>
      <c r="F13">
        <v>123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123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46158.806318750001</v>
      </c>
      <c r="C14">
        <f t="shared" si="0"/>
        <v>10</v>
      </c>
      <c r="D14" t="s">
        <v>35</v>
      </c>
      <c r="E14">
        <v>1</v>
      </c>
      <c r="F14">
        <v>50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50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46158.806318750001</v>
      </c>
      <c r="C15">
        <f t="shared" si="0"/>
        <v>11</v>
      </c>
      <c r="D15" t="s">
        <v>36</v>
      </c>
      <c r="E15">
        <v>2</v>
      </c>
      <c r="F15">
        <v>36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72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46158.806318750001</v>
      </c>
      <c r="C16">
        <f t="shared" si="0"/>
        <v>12</v>
      </c>
      <c r="D16" t="s">
        <v>37</v>
      </c>
      <c r="E16">
        <v>1</v>
      </c>
      <c r="F16">
        <v>35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35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46158.806318750001</v>
      </c>
      <c r="C17">
        <f t="shared" si="0"/>
        <v>13</v>
      </c>
      <c r="D17" t="s">
        <v>38</v>
      </c>
      <c r="E17">
        <v>1</v>
      </c>
      <c r="F17">
        <v>52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52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46158.806318750001</v>
      </c>
      <c r="C18">
        <f t="shared" si="0"/>
        <v>14</v>
      </c>
      <c r="D18" t="s">
        <v>39</v>
      </c>
      <c r="E18">
        <v>1</v>
      </c>
      <c r="F18">
        <v>90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90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46158.806318750001</v>
      </c>
      <c r="C19">
        <f t="shared" si="0"/>
        <v>15</v>
      </c>
      <c r="D19" t="s">
        <v>40</v>
      </c>
      <c r="E19">
        <v>1</v>
      </c>
      <c r="F19">
        <v>78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78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46158.806318750001</v>
      </c>
      <c r="C20">
        <f t="shared" si="0"/>
        <v>16</v>
      </c>
      <c r="D20" t="s">
        <v>41</v>
      </c>
      <c r="E20">
        <v>1</v>
      </c>
      <c r="F20">
        <v>70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70</v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46158.806318750001</v>
      </c>
      <c r="C21">
        <f t="shared" si="0"/>
        <v>17</v>
      </c>
      <c r="D21" t="s">
        <v>42</v>
      </c>
      <c r="E21">
        <v>1</v>
      </c>
      <c r="F21">
        <v>20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20</v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46158.806318750001</v>
      </c>
      <c r="C22">
        <f t="shared" si="0"/>
        <v>18</v>
      </c>
      <c r="D22" t="s">
        <v>43</v>
      </c>
      <c r="E22">
        <v>1</v>
      </c>
      <c r="F22">
        <v>20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20</v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46158.806318750001</v>
      </c>
      <c r="C23">
        <f t="shared" si="0"/>
        <v>19</v>
      </c>
      <c r="D23" t="s">
        <v>44</v>
      </c>
      <c r="E23">
        <v>1</v>
      </c>
      <c r="F23">
        <v>82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82</v>
      </c>
    </row>
    <row r="24" spans="2:18" ht="15" customHeight="1" x14ac:dyDescent="0.25">
      <c r="B24" s="18">
        <f ca="1">IF(Tabla1[[#This Row],['#]]&lt;&gt;"", NOW(), "")</f>
        <v>46158.806318750001</v>
      </c>
      <c r="C24">
        <f t="shared" si="0"/>
        <v>20</v>
      </c>
      <c r="D24" t="s">
        <v>45</v>
      </c>
      <c r="E24">
        <v>2</v>
      </c>
      <c r="F24">
        <v>15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30</v>
      </c>
      <c r="M24" s="20" t="s">
        <v>19</v>
      </c>
      <c r="N24" s="20"/>
      <c r="O24" s="20"/>
      <c r="P24" s="20"/>
      <c r="Q24" s="20"/>
      <c r="R24" s="20"/>
    </row>
    <row r="25" spans="2:18" x14ac:dyDescent="0.25">
      <c r="B25" s="18">
        <f ca="1">IF(Tabla1[[#This Row],['#]]&lt;&gt;"", NOW(), "")</f>
        <v>46158.806318750001</v>
      </c>
      <c r="C25">
        <f t="shared" si="0"/>
        <v>21</v>
      </c>
      <c r="D25" t="s">
        <v>47</v>
      </c>
      <c r="E25">
        <v>1</v>
      </c>
      <c r="F25">
        <v>150</v>
      </c>
      <c r="G25" t="s">
        <v>31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135</v>
      </c>
      <c r="M25" s="21"/>
      <c r="N25" s="21"/>
      <c r="O25" s="21"/>
      <c r="P25" s="21"/>
      <c r="Q25" s="21"/>
      <c r="R25" s="21"/>
    </row>
    <row r="26" spans="2:18" ht="15" customHeight="1" x14ac:dyDescent="0.25">
      <c r="B26" s="18">
        <f ca="1">IF(Tabla1[[#This Row],['#]]&lt;&gt;"", NOW(), "")</f>
        <v>46158.806318750001</v>
      </c>
      <c r="C26">
        <f t="shared" si="0"/>
        <v>22</v>
      </c>
      <c r="D26" t="s">
        <v>48</v>
      </c>
      <c r="E26">
        <v>1</v>
      </c>
      <c r="F26">
        <v>42</v>
      </c>
      <c r="G26" t="s">
        <v>31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38</v>
      </c>
      <c r="M26" s="39" t="s">
        <v>20</v>
      </c>
      <c r="N26" s="39"/>
      <c r="O26" s="14" t="s">
        <v>21</v>
      </c>
      <c r="P26" s="39" t="s">
        <v>22</v>
      </c>
      <c r="Q26" s="39"/>
      <c r="R26" s="39"/>
    </row>
    <row r="27" spans="2:18" x14ac:dyDescent="0.25">
      <c r="B27" s="18">
        <f ca="1">IF(Tabla1[[#This Row],['#]]&lt;&gt;"", NOW(), "")</f>
        <v>46158.806318750001</v>
      </c>
      <c r="C27">
        <f t="shared" si="0"/>
        <v>23</v>
      </c>
      <c r="D27" t="s">
        <v>49</v>
      </c>
      <c r="E27">
        <v>1</v>
      </c>
      <c r="F27">
        <v>123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123</v>
      </c>
      <c r="M27" s="27"/>
      <c r="N27" s="28"/>
      <c r="O27" s="31"/>
      <c r="P27" s="33"/>
      <c r="Q27" s="34"/>
      <c r="R27" s="35"/>
    </row>
    <row r="28" spans="2:18" x14ac:dyDescent="0.25">
      <c r="B28" s="18">
        <f ca="1">IF(Tabla1[[#This Row],['#]]&lt;&gt;"", NOW(), "")</f>
        <v>46158.806318750001</v>
      </c>
      <c r="C28">
        <f t="shared" si="0"/>
        <v>24</v>
      </c>
      <c r="D28" t="s">
        <v>50</v>
      </c>
      <c r="E28">
        <v>1</v>
      </c>
      <c r="F28">
        <v>28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28</v>
      </c>
      <c r="M28" s="29"/>
      <c r="N28" s="30"/>
      <c r="O28" s="32"/>
      <c r="P28" s="36"/>
      <c r="Q28" s="37"/>
      <c r="R28" s="38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/>
      </c>
      <c r="M29" s="27"/>
      <c r="N29" s="28"/>
      <c r="O29" s="31"/>
      <c r="P29" s="33"/>
      <c r="Q29" s="34"/>
      <c r="R29" s="35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/>
      </c>
      <c r="M30" s="29"/>
      <c r="N30" s="30"/>
      <c r="O30" s="32"/>
      <c r="P30" s="36"/>
      <c r="Q30" s="37"/>
      <c r="R30" s="38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7"/>
      <c r="N31" s="28"/>
      <c r="O31" s="31"/>
      <c r="P31" s="33"/>
      <c r="Q31" s="34"/>
      <c r="R31" s="35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9"/>
      <c r="N32" s="30"/>
      <c r="O32" s="32"/>
      <c r="P32" s="36"/>
      <c r="Q32" s="37"/>
      <c r="R32" s="38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7"/>
      <c r="N33" s="28"/>
      <c r="O33" s="31"/>
      <c r="P33" s="33"/>
      <c r="Q33" s="34"/>
      <c r="R33" s="35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9"/>
      <c r="N34" s="30"/>
      <c r="O34" s="32"/>
      <c r="P34" s="36"/>
      <c r="Q34" s="37"/>
      <c r="R34" s="38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7"/>
      <c r="N35" s="28"/>
      <c r="O35" s="31"/>
      <c r="P35" s="33"/>
      <c r="Q35" s="34"/>
      <c r="R35" s="35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9"/>
      <c r="N36" s="30"/>
      <c r="O36" s="32"/>
      <c r="P36" s="36"/>
      <c r="Q36" s="37"/>
      <c r="R36" s="38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7"/>
      <c r="N37" s="28"/>
      <c r="O37" s="31"/>
      <c r="P37" s="33"/>
      <c r="Q37" s="34"/>
      <c r="R37" s="35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9"/>
      <c r="N38" s="30"/>
      <c r="O38" s="32"/>
      <c r="P38" s="36"/>
      <c r="Q38" s="37"/>
      <c r="R38" s="38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7"/>
      <c r="N39" s="28"/>
      <c r="O39" s="31"/>
      <c r="P39" s="33"/>
      <c r="Q39" s="34"/>
      <c r="R39" s="35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9"/>
      <c r="N40" s="30"/>
      <c r="O40" s="32"/>
      <c r="P40" s="36"/>
      <c r="Q40" s="37"/>
      <c r="R40" s="38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7"/>
      <c r="N41" s="28"/>
      <c r="O41" s="31"/>
      <c r="P41" s="33"/>
      <c r="Q41" s="34"/>
      <c r="R41" s="35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9"/>
      <c r="N42" s="30"/>
      <c r="O42" s="32"/>
      <c r="P42" s="36"/>
      <c r="Q42" s="37"/>
      <c r="R42" s="38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7"/>
      <c r="N43" s="28"/>
      <c r="O43" s="31"/>
      <c r="P43" s="33"/>
      <c r="Q43" s="34"/>
      <c r="R43" s="35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9"/>
      <c r="N44" s="30"/>
      <c r="O44" s="32"/>
      <c r="P44" s="36"/>
      <c r="Q44" s="37"/>
      <c r="R44" s="38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7"/>
      <c r="N45" s="28"/>
      <c r="O45" s="31"/>
      <c r="P45" s="33"/>
      <c r="Q45" s="34"/>
      <c r="R45" s="35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9"/>
      <c r="N46" s="30"/>
      <c r="O46" s="32"/>
      <c r="P46" s="36"/>
      <c r="Q46" s="37"/>
      <c r="R46" s="38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7"/>
      <c r="N47" s="28"/>
      <c r="O47" s="31"/>
      <c r="P47" s="33"/>
      <c r="Q47" s="34"/>
      <c r="R47" s="35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9"/>
      <c r="N48" s="30"/>
      <c r="O48" s="32"/>
      <c r="P48" s="36"/>
      <c r="Q48" s="37"/>
      <c r="R48" s="38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7"/>
      <c r="N49" s="28"/>
      <c r="O49" s="31"/>
      <c r="P49" s="33"/>
      <c r="Q49" s="34"/>
      <c r="R49" s="35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9"/>
      <c r="N50" s="30"/>
      <c r="O50" s="32"/>
      <c r="P50" s="36"/>
      <c r="Q50" s="37"/>
      <c r="R50" s="38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7"/>
      <c r="N51" s="28"/>
      <c r="O51" s="31"/>
      <c r="P51" s="33"/>
      <c r="Q51" s="34"/>
      <c r="R51" s="35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9"/>
      <c r="N52" s="30"/>
      <c r="O52" s="32"/>
      <c r="P52" s="36"/>
      <c r="Q52" s="37"/>
      <c r="R52" s="38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M29" sqref="M29:M30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51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SUM(Tabla110[Importa])</f>
        <v>1522.5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12</v>
      </c>
      <c r="M4" s="24" t="s">
        <v>62</v>
      </c>
      <c r="N4" s="24"/>
      <c r="O4" s="24"/>
      <c r="P4" s="24"/>
      <c r="Q4" s="24"/>
      <c r="R4" s="24"/>
    </row>
    <row r="5" spans="2:18" x14ac:dyDescent="0.25">
      <c r="B5" s="18">
        <f ca="1">IF(Tabla110[[#This Row],['#]]&lt;&gt;"", NOW(), "")</f>
        <v>46158.806318750001</v>
      </c>
      <c r="C5">
        <f t="shared" ref="C5:C68" si="0">IF(ISNUMBER(E5), IF(ISNUMBER(C4), C4+1, 1), "")</f>
        <v>1</v>
      </c>
      <c r="D5" t="s">
        <v>52</v>
      </c>
      <c r="E5">
        <v>1</v>
      </c>
      <c r="F5">
        <v>500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500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46158.806318750001</v>
      </c>
      <c r="C6">
        <f t="shared" si="0"/>
        <v>2</v>
      </c>
      <c r="D6" t="s">
        <v>53</v>
      </c>
      <c r="E6">
        <v>1</v>
      </c>
      <c r="F6">
        <v>115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115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46158.806318750001</v>
      </c>
      <c r="C7">
        <f t="shared" si="0"/>
        <v>3</v>
      </c>
      <c r="D7" t="s">
        <v>54</v>
      </c>
      <c r="E7">
        <v>1</v>
      </c>
      <c r="F7">
        <v>65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65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46158.806318750001</v>
      </c>
      <c r="C8">
        <f t="shared" si="0"/>
        <v>4</v>
      </c>
      <c r="D8" t="s">
        <v>55</v>
      </c>
      <c r="E8">
        <v>1</v>
      </c>
      <c r="F8">
        <v>123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123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46158.806318750001</v>
      </c>
      <c r="C9">
        <f t="shared" si="0"/>
        <v>5</v>
      </c>
      <c r="D9" t="s">
        <v>56</v>
      </c>
      <c r="E9">
        <v>1</v>
      </c>
      <c r="F9">
        <v>170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170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46158.806318750001</v>
      </c>
      <c r="C10">
        <f t="shared" si="0"/>
        <v>6</v>
      </c>
      <c r="D10" t="s">
        <v>57</v>
      </c>
      <c r="E10">
        <v>2</v>
      </c>
      <c r="F10">
        <v>15</v>
      </c>
      <c r="G10" t="s">
        <v>31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27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46158.806318750001</v>
      </c>
      <c r="C11">
        <f t="shared" si="0"/>
        <v>7</v>
      </c>
      <c r="D11" t="s">
        <v>59</v>
      </c>
      <c r="E11">
        <v>1</v>
      </c>
      <c r="F11">
        <v>48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48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46158.806318750001</v>
      </c>
      <c r="C12">
        <f t="shared" si="0"/>
        <v>8</v>
      </c>
      <c r="D12" t="s">
        <v>60</v>
      </c>
      <c r="E12">
        <v>1</v>
      </c>
      <c r="F12">
        <v>90</v>
      </c>
      <c r="G12" t="s">
        <v>31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85.5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46158.806318750001</v>
      </c>
      <c r="C13">
        <f t="shared" si="0"/>
        <v>9</v>
      </c>
      <c r="D13" t="s">
        <v>29</v>
      </c>
      <c r="E13">
        <v>1</v>
      </c>
      <c r="F13">
        <v>250</v>
      </c>
      <c r="G13" t="s">
        <v>31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237.5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46158.806318750001</v>
      </c>
      <c r="C14">
        <f t="shared" si="0"/>
        <v>10</v>
      </c>
      <c r="D14" t="s">
        <v>64</v>
      </c>
      <c r="E14">
        <v>1</v>
      </c>
      <c r="F14">
        <v>50</v>
      </c>
      <c r="G14" t="s">
        <v>31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45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46158.806318750001</v>
      </c>
      <c r="C15">
        <f t="shared" si="0"/>
        <v>11</v>
      </c>
      <c r="D15" t="s">
        <v>63</v>
      </c>
      <c r="E15">
        <v>1</v>
      </c>
      <c r="F15">
        <v>48</v>
      </c>
      <c r="G15" t="s">
        <v>31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43.5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46158.806318750001</v>
      </c>
      <c r="C16">
        <f t="shared" si="0"/>
        <v>12</v>
      </c>
      <c r="D16" t="s">
        <v>65</v>
      </c>
      <c r="E16">
        <v>1</v>
      </c>
      <c r="F16">
        <v>70</v>
      </c>
      <c r="G16" t="s">
        <v>31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63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46158.806318750001</v>
      </c>
      <c r="C17" t="str">
        <f t="shared" si="0"/>
        <v/>
      </c>
      <c r="H17" s="5" t="str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/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46158.806318750001</v>
      </c>
      <c r="C18" t="str">
        <f t="shared" si="0"/>
        <v/>
      </c>
      <c r="H18" s="5" t="str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/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46158.806318750001</v>
      </c>
      <c r="C19" t="str">
        <f t="shared" si="0"/>
        <v/>
      </c>
      <c r="H19" s="5" t="str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/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46158.806318750001</v>
      </c>
      <c r="C20" t="str">
        <f t="shared" si="0"/>
        <v/>
      </c>
      <c r="H20" s="5" t="str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/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46158.806318750001</v>
      </c>
      <c r="C21" t="str">
        <f t="shared" si="0"/>
        <v/>
      </c>
      <c r="H21" s="5" t="str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46158.806318750001</v>
      </c>
      <c r="C22" t="str">
        <f t="shared" si="0"/>
        <v/>
      </c>
      <c r="H22" s="5" t="str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46158.806318750001</v>
      </c>
      <c r="C23" t="str">
        <f t="shared" si="0"/>
        <v/>
      </c>
      <c r="H23" s="5" t="str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46158.806318750001</v>
      </c>
      <c r="C24" t="str">
        <f t="shared" si="0"/>
        <v/>
      </c>
      <c r="H24" s="5" t="str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x14ac:dyDescent="0.25">
      <c r="B25" s="18">
        <f ca="1">IF(Tabla1[[#This Row],['#]]&lt;&gt;"", NOW(), "")</f>
        <v>46158.806318750001</v>
      </c>
      <c r="C25" t="str">
        <f t="shared" si="0"/>
        <v/>
      </c>
      <c r="H25" s="5" t="str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x14ac:dyDescent="0.25">
      <c r="B26" s="18">
        <f ca="1">IF(Tabla1[[#This Row],['#]]&lt;&gt;"", NOW(), "")</f>
        <v>46158.806318750001</v>
      </c>
      <c r="C26" t="str">
        <f t="shared" si="0"/>
        <v/>
      </c>
      <c r="H26" s="5" t="str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45" x14ac:dyDescent="0.25">
      <c r="B27" s="18">
        <f ca="1">IF(Tabla1[[#This Row],['#]]&lt;&gt;"", NOW(), "")</f>
        <v>46158.806318750001</v>
      </c>
      <c r="C27" t="str">
        <f t="shared" si="0"/>
        <v/>
      </c>
      <c r="H27" s="5" t="str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/>
      </c>
      <c r="M27" s="13" t="s">
        <v>58</v>
      </c>
      <c r="N27" s="15">
        <v>1548</v>
      </c>
      <c r="O27" s="41"/>
      <c r="P27" s="42"/>
      <c r="Q27" s="42"/>
      <c r="R27" s="43"/>
    </row>
    <row r="28" spans="2:18" ht="30" x14ac:dyDescent="0.25">
      <c r="B28" s="18">
        <f ca="1">IF(Tabla1[[#This Row],['#]]&lt;&gt;"", NOW(), "")</f>
        <v>46158.806318750001</v>
      </c>
      <c r="C28" t="str">
        <f t="shared" si="0"/>
        <v/>
      </c>
      <c r="H28" s="5" t="str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/>
      </c>
      <c r="M28" s="13" t="s">
        <v>86</v>
      </c>
      <c r="N28" s="15">
        <v>1810</v>
      </c>
      <c r="O28" s="41"/>
      <c r="P28" s="42"/>
      <c r="Q28" s="42"/>
      <c r="R28" s="43"/>
    </row>
    <row r="29" spans="2:18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>
        <v>3358</v>
      </c>
      <c r="O29" s="41" t="s">
        <v>61</v>
      </c>
      <c r="P29" s="42"/>
      <c r="Q29" s="42"/>
      <c r="R29" s="43"/>
    </row>
    <row r="30" spans="2:18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14" sqref="D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2" t="s">
        <v>66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SUM(Tabla111[Importa])</f>
        <v>969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9</v>
      </c>
      <c r="M4" s="24" t="s">
        <v>76</v>
      </c>
      <c r="N4" s="24"/>
      <c r="O4" s="24"/>
      <c r="P4" s="24"/>
      <c r="Q4" s="24"/>
      <c r="R4" s="24"/>
    </row>
    <row r="5" spans="2:18" x14ac:dyDescent="0.25">
      <c r="B5" s="18">
        <f ca="1">IF(Tabla111[[#This Row],['#]]&lt;&gt;"", NOW(), "")</f>
        <v>46158.806318750001</v>
      </c>
      <c r="C5">
        <f>IF(ISNUMBER(E5), IF(ISNUMBER(C4), C4+1, 1), "")</f>
        <v>1</v>
      </c>
      <c r="D5" t="s">
        <v>35</v>
      </c>
      <c r="E5">
        <v>1</v>
      </c>
      <c r="F5">
        <v>50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50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46158.806318750001</v>
      </c>
      <c r="C6">
        <f t="shared" ref="C6" si="0">IF(ISNUMBER(E6), IF(ISNUMBER(C5), C5+1, 1), "")</f>
        <v>2</v>
      </c>
      <c r="D6" t="s">
        <v>68</v>
      </c>
      <c r="E6">
        <v>1</v>
      </c>
      <c r="F6">
        <v>150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150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46158.806318750001</v>
      </c>
      <c r="C7">
        <f>IF(ISNUMBER(E7), IF(ISNUMBER(C6), C6+1, 1), "")</f>
        <v>3</v>
      </c>
      <c r="D7" t="s">
        <v>68</v>
      </c>
      <c r="E7">
        <v>1</v>
      </c>
      <c r="F7">
        <v>150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150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46158.806318750001</v>
      </c>
      <c r="C8">
        <f t="shared" ref="C8:C68" si="1">IF(ISNUMBER(E8), IF(ISNUMBER(C7), C7+1, 1), "")</f>
        <v>4</v>
      </c>
      <c r="D8" t="s">
        <v>69</v>
      </c>
      <c r="E8">
        <v>1</v>
      </c>
      <c r="F8">
        <v>15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15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46158.806318750001</v>
      </c>
      <c r="C9">
        <f t="shared" si="1"/>
        <v>5</v>
      </c>
      <c r="D9" t="s">
        <v>70</v>
      </c>
      <c r="E9">
        <v>1</v>
      </c>
      <c r="F9">
        <v>15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15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46158.806318750001</v>
      </c>
      <c r="C10">
        <f t="shared" si="1"/>
        <v>6</v>
      </c>
      <c r="D10" t="s">
        <v>72</v>
      </c>
      <c r="E10">
        <v>1</v>
      </c>
      <c r="F10">
        <v>70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70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46158.806318750001</v>
      </c>
      <c r="C11">
        <f t="shared" si="1"/>
        <v>7</v>
      </c>
      <c r="D11" t="s">
        <v>73</v>
      </c>
      <c r="E11">
        <v>1</v>
      </c>
      <c r="F11">
        <v>15</v>
      </c>
      <c r="G11" t="s">
        <v>31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13.5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46158.806318750001</v>
      </c>
      <c r="C12">
        <f t="shared" si="1"/>
        <v>8</v>
      </c>
      <c r="D12" t="s">
        <v>74</v>
      </c>
      <c r="E12">
        <v>1</v>
      </c>
      <c r="F12">
        <v>226</v>
      </c>
      <c r="G12" t="s">
        <v>31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203.5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46158.806318750001</v>
      </c>
      <c r="C13">
        <f t="shared" si="1"/>
        <v>9</v>
      </c>
      <c r="D13" t="s">
        <v>75</v>
      </c>
      <c r="E13">
        <v>1</v>
      </c>
      <c r="F13">
        <v>302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302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46158.806318750001</v>
      </c>
      <c r="C14" t="str">
        <f t="shared" si="1"/>
        <v/>
      </c>
      <c r="H14" s="5" t="str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/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46158.806318750001</v>
      </c>
      <c r="C15" t="str">
        <f t="shared" si="1"/>
        <v/>
      </c>
      <c r="H15" s="5" t="str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/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46158.806318750001</v>
      </c>
      <c r="C16" t="str">
        <f t="shared" si="1"/>
        <v/>
      </c>
      <c r="H16" s="5" t="str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/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46158.806318750001</v>
      </c>
      <c r="C17" t="str">
        <f t="shared" si="1"/>
        <v/>
      </c>
      <c r="H17" s="5" t="str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/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46158.806318750001</v>
      </c>
      <c r="C18" t="str">
        <f t="shared" si="1"/>
        <v/>
      </c>
      <c r="H18" s="5" t="str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/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46158.806318750001</v>
      </c>
      <c r="C19" t="str">
        <f t="shared" si="1"/>
        <v/>
      </c>
      <c r="H19" s="5" t="str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/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46158.806318750001</v>
      </c>
      <c r="C20" t="str">
        <f t="shared" si="1"/>
        <v/>
      </c>
      <c r="H20" s="5" t="str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/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46158.806318750001</v>
      </c>
      <c r="C21" t="str">
        <f t="shared" si="1"/>
        <v/>
      </c>
      <c r="H21" s="5" t="str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46158.806318750001</v>
      </c>
      <c r="C22" t="str">
        <f t="shared" si="1"/>
        <v/>
      </c>
      <c r="H22" s="5" t="str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46158.806318750001</v>
      </c>
      <c r="C23" t="str">
        <f t="shared" si="1"/>
        <v/>
      </c>
      <c r="H23" s="5" t="str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46158.806318750001</v>
      </c>
      <c r="C24" t="str">
        <f t="shared" si="1"/>
        <v/>
      </c>
      <c r="H24" s="5" t="str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x14ac:dyDescent="0.25">
      <c r="B25" s="18">
        <f ca="1">IF(Tabla1[[#This Row],['#]]&lt;&gt;"", NOW(), "")</f>
        <v>46158.806318750001</v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46158.806318750001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45" x14ac:dyDescent="0.25">
      <c r="B27" s="18">
        <f ca="1">IF(Tabla1[[#This Row],['#]]&lt;&gt;"", NOW(), "")</f>
        <v>46158.806318750001</v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67</v>
      </c>
      <c r="N27" s="15">
        <v>66</v>
      </c>
      <c r="O27" s="41"/>
      <c r="P27" s="42"/>
      <c r="Q27" s="42"/>
      <c r="R27" s="43"/>
    </row>
    <row r="28" spans="2:18" ht="30" x14ac:dyDescent="0.25">
      <c r="B28" s="18">
        <f ca="1">IF(Tabla1[[#This Row],['#]]&lt;&gt;"", NOW(), "")</f>
        <v>46158.806318750001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 t="s">
        <v>71</v>
      </c>
      <c r="N28" s="15">
        <v>490</v>
      </c>
      <c r="O28" s="41"/>
      <c r="P28" s="42"/>
      <c r="Q28" s="42"/>
      <c r="R28" s="43"/>
    </row>
    <row r="29" spans="2:18" x14ac:dyDescent="0.25">
      <c r="B29" s="18" t="str">
        <f ca="1">IF(Tabla1[[#This Row],['#]]&lt;&gt;"", NOW(), "")</f>
        <v/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 t="s">
        <v>61</v>
      </c>
      <c r="N29" s="15">
        <v>556</v>
      </c>
      <c r="O29" s="41"/>
      <c r="P29" s="42"/>
      <c r="Q29" s="42"/>
      <c r="R29" s="43"/>
    </row>
    <row r="30" spans="2:18" x14ac:dyDescent="0.25">
      <c r="B30" s="18" t="str">
        <f ca="1">IF(Tabla1[[#This Row],['#]]&lt;&gt;"", NOW(), "")</f>
        <v/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2" t="s">
        <v>77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SUM(Tabla112[Importa])</f>
        <v>1306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10</v>
      </c>
      <c r="M4" s="24"/>
      <c r="N4" s="24"/>
      <c r="O4" s="24"/>
      <c r="P4" s="24"/>
      <c r="Q4" s="24"/>
      <c r="R4" s="24"/>
    </row>
    <row r="5" spans="2:18" x14ac:dyDescent="0.25">
      <c r="B5" s="18">
        <f ca="1">IF(Tabla112[[#This Row],['#]]&lt;&gt;"", NOW(), "")</f>
        <v>46158.806318750001</v>
      </c>
      <c r="C5">
        <f t="shared" ref="C5:C68" si="0">IF(ISNUMBER(E5), IF(ISNUMBER(C4), C4+1, 1), "")</f>
        <v>1</v>
      </c>
      <c r="D5" t="s">
        <v>78</v>
      </c>
      <c r="E5">
        <v>1</v>
      </c>
      <c r="F5">
        <v>350</v>
      </c>
      <c r="G5" t="s">
        <v>31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315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46158.806318750001</v>
      </c>
      <c r="C6">
        <f t="shared" si="0"/>
        <v>2</v>
      </c>
      <c r="D6" t="s">
        <v>34</v>
      </c>
      <c r="E6">
        <v>1</v>
      </c>
      <c r="F6">
        <v>123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123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46158.806318750001</v>
      </c>
      <c r="C7">
        <f t="shared" si="0"/>
        <v>3</v>
      </c>
      <c r="D7" t="s">
        <v>64</v>
      </c>
      <c r="E7" s="19">
        <v>2</v>
      </c>
      <c r="F7">
        <v>50</v>
      </c>
      <c r="G7" t="s">
        <v>31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90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46158.806318750001</v>
      </c>
      <c r="C8">
        <f t="shared" si="0"/>
        <v>4</v>
      </c>
      <c r="D8" t="s">
        <v>79</v>
      </c>
      <c r="E8">
        <v>1</v>
      </c>
      <c r="F8">
        <v>390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390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46158.806318750001</v>
      </c>
      <c r="C9">
        <f t="shared" si="0"/>
        <v>5</v>
      </c>
      <c r="D9" t="s">
        <v>80</v>
      </c>
      <c r="E9">
        <v>1</v>
      </c>
      <c r="F9">
        <v>190</v>
      </c>
      <c r="G9" t="s">
        <v>31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171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46158.806318750001</v>
      </c>
      <c r="C10">
        <f t="shared" si="0"/>
        <v>6</v>
      </c>
      <c r="D10" t="s">
        <v>81</v>
      </c>
      <c r="E10">
        <v>1</v>
      </c>
      <c r="F10">
        <v>70</v>
      </c>
      <c r="G10" t="s">
        <v>31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63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46158.806318750001</v>
      </c>
      <c r="C11">
        <f t="shared" si="0"/>
        <v>7</v>
      </c>
      <c r="D11" t="s">
        <v>82</v>
      </c>
      <c r="E11">
        <v>2</v>
      </c>
      <c r="F11">
        <v>30</v>
      </c>
      <c r="G11" t="s">
        <v>31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54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46158.806318750001</v>
      </c>
      <c r="C12">
        <f t="shared" si="0"/>
        <v>8</v>
      </c>
      <c r="D12" t="s">
        <v>83</v>
      </c>
      <c r="E12">
        <v>1</v>
      </c>
      <c r="F12">
        <v>36</v>
      </c>
      <c r="G12" t="s">
        <v>31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32.5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46158.806318750001</v>
      </c>
      <c r="C13">
        <f t="shared" si="0"/>
        <v>9</v>
      </c>
      <c r="D13" t="s">
        <v>50</v>
      </c>
      <c r="E13">
        <v>1</v>
      </c>
      <c r="F13">
        <v>28</v>
      </c>
      <c r="G13" t="s">
        <v>31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25.5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46158.806318750001</v>
      </c>
      <c r="C14">
        <f t="shared" si="0"/>
        <v>10</v>
      </c>
      <c r="D14" t="s">
        <v>96</v>
      </c>
      <c r="E14">
        <v>1</v>
      </c>
      <c r="F14">
        <v>42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42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46158.806318750001</v>
      </c>
      <c r="C15" t="str">
        <f t="shared" si="0"/>
        <v/>
      </c>
      <c r="H15" s="5" t="str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/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46158.806318750001</v>
      </c>
      <c r="C16" t="str">
        <f t="shared" si="0"/>
        <v/>
      </c>
      <c r="H16" s="5" t="str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/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46158.806318750001</v>
      </c>
      <c r="C17" t="str">
        <f t="shared" si="0"/>
        <v/>
      </c>
      <c r="H17" s="5" t="str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/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46158.806318750001</v>
      </c>
      <c r="C18" t="str">
        <f t="shared" si="0"/>
        <v/>
      </c>
      <c r="H18" s="5" t="str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/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46158.806318750001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46158.806318750001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46158.806318750001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46158.806318750001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46158.806318750001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46158.806318750001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>
        <f ca="1">IF(Tabla1[[#This Row],['#]]&lt;&gt;"", NOW(), "")</f>
        <v>46158.806318750001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46158.806318750001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>
        <f ca="1">IF(Tabla1[[#This Row],['#]]&lt;&gt;"", NOW(), "")</f>
        <v>46158.806318750001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1"/>
      <c r="P27" s="42"/>
      <c r="Q27" s="42"/>
      <c r="R27" s="43"/>
    </row>
    <row r="28" spans="2:18" ht="15" customHeight="1" x14ac:dyDescent="0.25">
      <c r="B28" s="18">
        <f ca="1">IF(Tabla1[[#This Row],['#]]&lt;&gt;"", NOW(), "")</f>
        <v>46158.806318750001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21" sqref="D2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84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SUM(Tabla113[Importa])</f>
        <v>3317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16</v>
      </c>
      <c r="M4" s="24" t="s">
        <v>112</v>
      </c>
      <c r="N4" s="24"/>
      <c r="O4" s="24"/>
      <c r="P4" s="24"/>
      <c r="Q4" s="24"/>
      <c r="R4" s="24"/>
    </row>
    <row r="5" spans="2:18" x14ac:dyDescent="0.25">
      <c r="B5" s="18">
        <f ca="1">IF(Tabla113[[#This Row],['#]]&lt;&gt;"", NOW(), "")</f>
        <v>46158.806318750001</v>
      </c>
      <c r="C5">
        <f t="shared" ref="C5:C68" si="0">IF(ISNUMBER(E5), IF(ISNUMBER(C4), C4+1, 1), "")</f>
        <v>1</v>
      </c>
      <c r="D5" t="s">
        <v>98</v>
      </c>
      <c r="E5">
        <v>1</v>
      </c>
      <c r="F5">
        <v>100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100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46158.806318750001</v>
      </c>
      <c r="C6">
        <f t="shared" si="0"/>
        <v>2</v>
      </c>
      <c r="D6" t="s">
        <v>97</v>
      </c>
      <c r="E6">
        <v>1</v>
      </c>
      <c r="F6">
        <v>25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25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46158.806318750001</v>
      </c>
      <c r="C7">
        <f t="shared" si="0"/>
        <v>3</v>
      </c>
      <c r="D7" t="s">
        <v>99</v>
      </c>
      <c r="E7">
        <v>2</v>
      </c>
      <c r="F7">
        <v>32</v>
      </c>
      <c r="G7" t="s">
        <v>31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58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46158.806318750001</v>
      </c>
      <c r="C8">
        <f t="shared" si="0"/>
        <v>4</v>
      </c>
      <c r="D8" t="s">
        <v>100</v>
      </c>
      <c r="E8">
        <v>1</v>
      </c>
      <c r="F8">
        <v>35</v>
      </c>
      <c r="G8" t="s">
        <v>31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31.5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46158.806318750001</v>
      </c>
      <c r="C9">
        <f t="shared" si="0"/>
        <v>5</v>
      </c>
      <c r="D9" t="s">
        <v>101</v>
      </c>
      <c r="E9">
        <v>1</v>
      </c>
      <c r="F9">
        <v>132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132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46158.806318750001</v>
      </c>
      <c r="C10">
        <f t="shared" si="0"/>
        <v>6</v>
      </c>
      <c r="D10" t="s">
        <v>102</v>
      </c>
      <c r="E10">
        <v>1</v>
      </c>
      <c r="F10">
        <v>400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400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46158.806318750001</v>
      </c>
      <c r="C11">
        <f t="shared" si="0"/>
        <v>7</v>
      </c>
      <c r="D11" t="s">
        <v>103</v>
      </c>
      <c r="E11">
        <v>1</v>
      </c>
      <c r="F11">
        <v>12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12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46158.806318750001</v>
      </c>
      <c r="C12">
        <f t="shared" si="0"/>
        <v>8</v>
      </c>
      <c r="D12" t="s">
        <v>104</v>
      </c>
      <c r="E12">
        <v>1</v>
      </c>
      <c r="F12">
        <v>1242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1242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46158.806318750001</v>
      </c>
      <c r="C13">
        <f t="shared" si="0"/>
        <v>9</v>
      </c>
      <c r="D13" t="s">
        <v>105</v>
      </c>
      <c r="E13">
        <v>1</v>
      </c>
      <c r="F13">
        <v>250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250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46158.806318750001</v>
      </c>
      <c r="C14">
        <f t="shared" si="0"/>
        <v>10</v>
      </c>
      <c r="D14" t="s">
        <v>106</v>
      </c>
      <c r="E14">
        <v>1</v>
      </c>
      <c r="F14">
        <v>32</v>
      </c>
      <c r="G14" t="s">
        <v>31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29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46158.806318750001</v>
      </c>
      <c r="C15">
        <f t="shared" si="0"/>
        <v>11</v>
      </c>
      <c r="D15" t="s">
        <v>107</v>
      </c>
      <c r="E15">
        <v>1</v>
      </c>
      <c r="F15">
        <v>50</v>
      </c>
      <c r="G15" t="s">
        <v>31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45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46158.806318750001</v>
      </c>
      <c r="C16">
        <f t="shared" si="0"/>
        <v>12</v>
      </c>
      <c r="D16" t="s">
        <v>28</v>
      </c>
      <c r="E16">
        <v>1</v>
      </c>
      <c r="F16">
        <v>65</v>
      </c>
      <c r="G16" t="s">
        <v>31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58.5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46158.806318750001</v>
      </c>
      <c r="C17">
        <f t="shared" si="0"/>
        <v>13</v>
      </c>
      <c r="D17" t="s">
        <v>108</v>
      </c>
      <c r="E17">
        <v>1</v>
      </c>
      <c r="F17">
        <v>20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20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46158.806318750001</v>
      </c>
      <c r="C18">
        <f t="shared" si="0"/>
        <v>14</v>
      </c>
      <c r="D18" t="s">
        <v>109</v>
      </c>
      <c r="E18">
        <v>1</v>
      </c>
      <c r="F18">
        <v>10</v>
      </c>
      <c r="H18" s="5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>10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46158.806318750001</v>
      </c>
      <c r="C19">
        <f t="shared" si="0"/>
        <v>15</v>
      </c>
      <c r="D19" t="s">
        <v>110</v>
      </c>
      <c r="E19">
        <v>1</v>
      </c>
      <c r="F19">
        <v>4</v>
      </c>
      <c r="H19" s="5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>4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46158.806318750001</v>
      </c>
      <c r="C20">
        <f t="shared" si="0"/>
        <v>16</v>
      </c>
      <c r="D20" t="s">
        <v>111</v>
      </c>
      <c r="E20">
        <v>1</v>
      </c>
      <c r="F20">
        <v>900</v>
      </c>
      <c r="H20" s="5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>900</v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46158.806318750001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46158.806318750001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46158.806318750001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46158.806318750001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>
        <f ca="1">IF(Tabla1[[#This Row],['#]]&lt;&gt;"", NOW(), "")</f>
        <v>46158.806318750001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46158.806318750001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>
        <f ca="1">IF(Tabla1[[#This Row],['#]]&lt;&gt;"", NOW(), "")</f>
        <v>46158.806318750001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85</v>
      </c>
      <c r="N27" s="15">
        <v>1548</v>
      </c>
      <c r="O27" s="41" t="s">
        <v>89</v>
      </c>
      <c r="P27" s="42"/>
      <c r="Q27" s="42"/>
      <c r="R27" s="43"/>
    </row>
    <row r="28" spans="2:18" ht="15" customHeight="1" x14ac:dyDescent="0.25">
      <c r="B28" s="18">
        <f ca="1">IF(Tabla1[[#This Row],['#]]&lt;&gt;"", NOW(), "")</f>
        <v>46158.806318750001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87</v>
      </c>
      <c r="N28" s="15">
        <v>1810</v>
      </c>
      <c r="O28" s="41" t="s">
        <v>89</v>
      </c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88</v>
      </c>
      <c r="N29" s="15">
        <v>66</v>
      </c>
      <c r="O29" s="41" t="s">
        <v>90</v>
      </c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91</v>
      </c>
      <c r="N30" s="15">
        <v>490</v>
      </c>
      <c r="O30" s="41" t="s">
        <v>90</v>
      </c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93</v>
      </c>
      <c r="N31" s="15">
        <v>1500</v>
      </c>
      <c r="O31" s="41" t="s">
        <v>92</v>
      </c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 t="s">
        <v>94</v>
      </c>
      <c r="N32" s="15">
        <v>5414</v>
      </c>
      <c r="O32" s="41" t="s">
        <v>95</v>
      </c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workbookViewId="0">
      <selection activeCell="D35" sqref="D3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2" t="s">
        <v>113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SUM(Tabla114[Importa])</f>
        <v>2207.5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28</v>
      </c>
      <c r="M4" s="24" t="s">
        <v>140</v>
      </c>
      <c r="N4" s="24"/>
      <c r="O4" s="24"/>
      <c r="P4" s="24"/>
      <c r="Q4" s="24"/>
      <c r="R4" s="24"/>
    </row>
    <row r="5" spans="2:18" x14ac:dyDescent="0.25">
      <c r="B5" s="18">
        <f ca="1">IF(Tabla114[[#This Row],['#]]&lt;&gt;"", NOW(), "")</f>
        <v>46158.806318750001</v>
      </c>
      <c r="C5">
        <f t="shared" ref="C5:C68" si="0">IF(ISNUMBER(E5), IF(ISNUMBER(C4), C4+1, 1), "")</f>
        <v>1</v>
      </c>
      <c r="D5" t="s">
        <v>114</v>
      </c>
      <c r="E5">
        <v>1</v>
      </c>
      <c r="F5">
        <v>261</v>
      </c>
      <c r="G5" t="s">
        <v>31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235</v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46158.806318750001</v>
      </c>
      <c r="C6">
        <f t="shared" si="0"/>
        <v>2</v>
      </c>
      <c r="D6" t="s">
        <v>115</v>
      </c>
      <c r="E6">
        <v>1</v>
      </c>
      <c r="F6">
        <v>83</v>
      </c>
      <c r="G6" t="s">
        <v>31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75</v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46158.806318750001</v>
      </c>
      <c r="C7">
        <f t="shared" si="0"/>
        <v>3</v>
      </c>
      <c r="D7" t="s">
        <v>116</v>
      </c>
      <c r="E7">
        <v>1</v>
      </c>
      <c r="F7">
        <v>55</v>
      </c>
      <c r="G7" t="s">
        <v>31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49.5</v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46158.806318750001</v>
      </c>
      <c r="C8">
        <f t="shared" si="0"/>
        <v>4</v>
      </c>
      <c r="D8" t="s">
        <v>117</v>
      </c>
      <c r="E8">
        <v>1</v>
      </c>
      <c r="F8">
        <v>50</v>
      </c>
      <c r="G8" t="s">
        <v>31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45</v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46158.806318750001</v>
      </c>
      <c r="C9">
        <f t="shared" si="0"/>
        <v>5</v>
      </c>
      <c r="D9" t="s">
        <v>118</v>
      </c>
      <c r="E9">
        <v>2</v>
      </c>
      <c r="F9">
        <v>50</v>
      </c>
      <c r="G9" t="s">
        <v>31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90</v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46158.806318750001</v>
      </c>
      <c r="C10">
        <f t="shared" si="0"/>
        <v>6</v>
      </c>
      <c r="D10" t="s">
        <v>119</v>
      </c>
      <c r="E10">
        <v>2</v>
      </c>
      <c r="F10">
        <v>50</v>
      </c>
      <c r="G10" t="s">
        <v>31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90</v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46158.806318750001</v>
      </c>
      <c r="C11">
        <f t="shared" si="0"/>
        <v>7</v>
      </c>
      <c r="D11" t="s">
        <v>120</v>
      </c>
      <c r="E11">
        <v>2</v>
      </c>
      <c r="F11">
        <v>25</v>
      </c>
      <c r="G11" t="s">
        <v>31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45</v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46158.806318750001</v>
      </c>
      <c r="C12">
        <f t="shared" si="0"/>
        <v>8</v>
      </c>
      <c r="D12" t="s">
        <v>121</v>
      </c>
      <c r="E12">
        <v>1</v>
      </c>
      <c r="F12">
        <v>25</v>
      </c>
      <c r="G12" t="s">
        <v>31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22.5</v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46158.806318750001</v>
      </c>
      <c r="C13">
        <f t="shared" si="0"/>
        <v>9</v>
      </c>
      <c r="D13" t="s">
        <v>122</v>
      </c>
      <c r="E13">
        <v>1</v>
      </c>
      <c r="F13">
        <v>110</v>
      </c>
      <c r="G13" t="s">
        <v>31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99</v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46158.806318750001</v>
      </c>
      <c r="C14">
        <f t="shared" si="0"/>
        <v>10</v>
      </c>
      <c r="D14" t="s">
        <v>123</v>
      </c>
      <c r="E14">
        <v>1</v>
      </c>
      <c r="F14">
        <v>24</v>
      </c>
      <c r="G14" t="s">
        <v>31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22</v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46158.806318750001</v>
      </c>
      <c r="C15">
        <f t="shared" si="0"/>
        <v>11</v>
      </c>
      <c r="D15" t="s">
        <v>124</v>
      </c>
      <c r="E15">
        <v>1</v>
      </c>
      <c r="F15">
        <v>70</v>
      </c>
      <c r="G15" t="s">
        <v>31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63</v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46158.806318750001</v>
      </c>
      <c r="C16">
        <f t="shared" si="0"/>
        <v>12</v>
      </c>
      <c r="D16" t="s">
        <v>125</v>
      </c>
      <c r="E16">
        <v>1</v>
      </c>
      <c r="F16">
        <v>199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199</v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46158.806318750001</v>
      </c>
      <c r="C17">
        <f t="shared" si="0"/>
        <v>13</v>
      </c>
      <c r="D17" t="s">
        <v>126</v>
      </c>
      <c r="E17">
        <v>1</v>
      </c>
      <c r="F17">
        <v>300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300</v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46158.806318750001</v>
      </c>
      <c r="C18">
        <f t="shared" si="0"/>
        <v>14</v>
      </c>
      <c r="D18" t="s">
        <v>127</v>
      </c>
      <c r="E18">
        <v>1</v>
      </c>
      <c r="F18">
        <v>78</v>
      </c>
      <c r="G18" t="s">
        <v>31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70.5</v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46158.806318750001</v>
      </c>
      <c r="C19">
        <f t="shared" si="0"/>
        <v>15</v>
      </c>
      <c r="D19" t="s">
        <v>128</v>
      </c>
      <c r="E19">
        <v>1</v>
      </c>
      <c r="F19">
        <v>42</v>
      </c>
      <c r="G19" t="s">
        <v>31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38</v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46158.806318750001</v>
      </c>
      <c r="C20">
        <f t="shared" si="0"/>
        <v>16</v>
      </c>
      <c r="D20" t="s">
        <v>129</v>
      </c>
      <c r="E20">
        <v>1</v>
      </c>
      <c r="F20">
        <v>5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5</v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46158.806318750001</v>
      </c>
      <c r="C21">
        <f t="shared" si="0"/>
        <v>17</v>
      </c>
      <c r="D21" t="s">
        <v>130</v>
      </c>
      <c r="E21">
        <v>1</v>
      </c>
      <c r="F21">
        <v>6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6</v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46158.806318750001</v>
      </c>
      <c r="C22">
        <f t="shared" si="0"/>
        <v>18</v>
      </c>
      <c r="D22" t="s">
        <v>49</v>
      </c>
      <c r="E22">
        <v>1</v>
      </c>
      <c r="F22">
        <v>123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123</v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46158.806318750001</v>
      </c>
      <c r="C23">
        <f t="shared" si="0"/>
        <v>19</v>
      </c>
      <c r="D23" t="s">
        <v>131</v>
      </c>
      <c r="E23">
        <v>2</v>
      </c>
      <c r="F23">
        <v>48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96</v>
      </c>
    </row>
    <row r="24" spans="2:18" ht="15" customHeight="1" x14ac:dyDescent="0.25">
      <c r="B24" s="18">
        <f ca="1">IF(Tabla1[[#This Row],['#]]&lt;&gt;"", NOW(), "")</f>
        <v>46158.806318750001</v>
      </c>
      <c r="C24">
        <f t="shared" si="0"/>
        <v>20</v>
      </c>
      <c r="D24" t="s">
        <v>132</v>
      </c>
      <c r="E24">
        <v>1</v>
      </c>
      <c r="F24">
        <v>85</v>
      </c>
      <c r="G24" t="s">
        <v>31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76.5</v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>
        <f ca="1">IF(Tabla1[[#This Row],['#]]&lt;&gt;"", NOW(), "")</f>
        <v>46158.806318750001</v>
      </c>
      <c r="C25">
        <f t="shared" si="0"/>
        <v>21</v>
      </c>
      <c r="D25" t="s">
        <v>133</v>
      </c>
      <c r="E25">
        <v>1</v>
      </c>
      <c r="F25">
        <v>15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15</v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46158.806318750001</v>
      </c>
      <c r="C26">
        <f t="shared" si="0"/>
        <v>22</v>
      </c>
      <c r="D26" t="s">
        <v>83</v>
      </c>
      <c r="E26">
        <v>1</v>
      </c>
      <c r="F26">
        <v>36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36</v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>
        <f ca="1">IF(Tabla1[[#This Row],['#]]&lt;&gt;"", NOW(), "")</f>
        <v>46158.806318750001</v>
      </c>
      <c r="C27">
        <f t="shared" si="0"/>
        <v>23</v>
      </c>
      <c r="D27" t="s">
        <v>134</v>
      </c>
      <c r="E27">
        <v>1</v>
      </c>
      <c r="F27">
        <v>20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20</v>
      </c>
      <c r="M27" s="13"/>
      <c r="N27" s="15"/>
      <c r="O27" s="41"/>
      <c r="P27" s="42"/>
      <c r="Q27" s="42"/>
      <c r="R27" s="43"/>
    </row>
    <row r="28" spans="2:18" ht="15" customHeight="1" x14ac:dyDescent="0.25">
      <c r="B28" s="18">
        <f ca="1">IF(Tabla1[[#This Row],['#]]&lt;&gt;"", NOW(), "")</f>
        <v>46158.806318750001</v>
      </c>
      <c r="C28">
        <f t="shared" si="0"/>
        <v>24</v>
      </c>
      <c r="D28" t="s">
        <v>135</v>
      </c>
      <c r="E28">
        <v>3</v>
      </c>
      <c r="F28">
        <v>3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9</v>
      </c>
      <c r="M28" s="13"/>
      <c r="N28" s="15"/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>
        <f t="shared" si="0"/>
        <v>25</v>
      </c>
      <c r="D29" t="s">
        <v>136</v>
      </c>
      <c r="E29">
        <v>1</v>
      </c>
      <c r="F29">
        <v>45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45</v>
      </c>
      <c r="M29" s="13"/>
      <c r="N29" s="15"/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D30" t="s">
        <v>137</v>
      </c>
      <c r="E30">
        <v>1</v>
      </c>
      <c r="F30">
        <v>15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15</v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D31" t="s">
        <v>83</v>
      </c>
      <c r="E31">
        <v>3</v>
      </c>
      <c r="F31">
        <v>36</v>
      </c>
      <c r="G31" t="s">
        <v>31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97.5</v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1</v>
      </c>
      <c r="D32" t="s">
        <v>138</v>
      </c>
      <c r="E32">
        <v>1</v>
      </c>
      <c r="F32">
        <v>110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110</v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</v>
      </c>
      <c r="D33" t="s">
        <v>39</v>
      </c>
      <c r="E33">
        <v>1</v>
      </c>
      <c r="F33">
        <v>90</v>
      </c>
      <c r="H33" s="5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>90</v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>
        <f t="shared" si="0"/>
        <v>3</v>
      </c>
      <c r="D34" t="s">
        <v>139</v>
      </c>
      <c r="E34">
        <v>1</v>
      </c>
      <c r="F34">
        <v>20</v>
      </c>
      <c r="H34" s="5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>20</v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2" t="s">
        <v>14</v>
      </c>
      <c r="D2" s="22"/>
      <c r="E2" s="23"/>
      <c r="F2" s="23"/>
      <c r="G2" s="23"/>
      <c r="H2" s="23"/>
      <c r="L2" s="8"/>
      <c r="M2" s="22" t="s">
        <v>5</v>
      </c>
      <c r="N2" s="23"/>
      <c r="O2" s="23"/>
      <c r="P2" s="23"/>
      <c r="Q2" s="23"/>
      <c r="R2" s="23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5" t="s">
        <v>6</v>
      </c>
      <c r="N3" s="25"/>
      <c r="O3" s="25"/>
      <c r="P3" s="25"/>
      <c r="Q3" s="25"/>
      <c r="R3" s="25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4"/>
      <c r="N4" s="24"/>
      <c r="O4" s="24"/>
      <c r="P4" s="24"/>
      <c r="Q4" s="24"/>
      <c r="R4" s="24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6" t="s">
        <v>11</v>
      </c>
      <c r="K5" s="26"/>
      <c r="M5" s="24"/>
      <c r="N5" s="24"/>
      <c r="O5" s="24"/>
      <c r="P5" s="24"/>
      <c r="Q5" s="24"/>
      <c r="R5" s="24"/>
    </row>
    <row r="6" spans="2:18" ht="15" customHeight="1" x14ac:dyDescent="0.25">
      <c r="B6" s="18">
        <f ca="1">IF(Tabla1[[#This Row],['#]]&lt;&gt;"", NOW(), "")</f>
        <v>46158.806318750001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6"/>
      <c r="K6" s="26"/>
      <c r="M6" s="24"/>
      <c r="N6" s="24"/>
      <c r="O6" s="24"/>
      <c r="P6" s="24"/>
      <c r="Q6" s="24"/>
      <c r="R6" s="24"/>
    </row>
    <row r="7" spans="2:18" x14ac:dyDescent="0.25">
      <c r="B7" s="18">
        <f ca="1">IF(Tabla1[[#This Row],['#]]&lt;&gt;"", NOW(), "")</f>
        <v>46158.806318750001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6"/>
      <c r="K7" s="26"/>
      <c r="M7" s="24"/>
      <c r="N7" s="24"/>
      <c r="O7" s="24"/>
      <c r="P7" s="24"/>
      <c r="Q7" s="24"/>
      <c r="R7" s="24"/>
    </row>
    <row r="8" spans="2:18" x14ac:dyDescent="0.25">
      <c r="B8" s="18">
        <f ca="1">IF(Tabla1[[#This Row],['#]]&lt;&gt;"", NOW(), "")</f>
        <v>46158.806318750001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6"/>
      <c r="K8" s="26"/>
      <c r="M8" s="24"/>
      <c r="N8" s="24"/>
      <c r="O8" s="24"/>
      <c r="P8" s="24"/>
      <c r="Q8" s="24"/>
      <c r="R8" s="24"/>
    </row>
    <row r="9" spans="2:18" x14ac:dyDescent="0.25">
      <c r="B9" s="18">
        <f ca="1">IF(Tabla1[[#This Row],['#]]&lt;&gt;"", NOW(), "")</f>
        <v>46158.806318750001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6"/>
      <c r="K9" s="26"/>
      <c r="M9" s="24"/>
      <c r="N9" s="24"/>
      <c r="O9" s="24"/>
      <c r="P9" s="24"/>
      <c r="Q9" s="24"/>
      <c r="R9" s="24"/>
    </row>
    <row r="10" spans="2:18" x14ac:dyDescent="0.25">
      <c r="B10" s="18">
        <f ca="1">IF(Tabla1[[#This Row],['#]]&lt;&gt;"", NOW(), "")</f>
        <v>46158.806318750001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6"/>
      <c r="K10" s="26"/>
      <c r="M10" s="24"/>
      <c r="N10" s="24"/>
      <c r="O10" s="24"/>
      <c r="P10" s="24"/>
      <c r="Q10" s="24"/>
      <c r="R10" s="24"/>
    </row>
    <row r="11" spans="2:18" x14ac:dyDescent="0.25">
      <c r="B11" s="18">
        <f ca="1">IF(Tabla1[[#This Row],['#]]&lt;&gt;"", NOW(), "")</f>
        <v>46158.806318750001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6"/>
      <c r="K11" s="26"/>
      <c r="M11" s="24"/>
      <c r="N11" s="24"/>
      <c r="O11" s="24"/>
      <c r="P11" s="24"/>
      <c r="Q11" s="24"/>
      <c r="R11" s="24"/>
    </row>
    <row r="12" spans="2:18" x14ac:dyDescent="0.25">
      <c r="B12" s="18">
        <f ca="1">IF(Tabla1[[#This Row],['#]]&lt;&gt;"", NOW(), "")</f>
        <v>46158.806318750001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6"/>
      <c r="K12" s="26"/>
      <c r="M12" s="24"/>
      <c r="N12" s="24"/>
      <c r="O12" s="24"/>
      <c r="P12" s="24"/>
      <c r="Q12" s="24"/>
      <c r="R12" s="24"/>
    </row>
    <row r="13" spans="2:18" x14ac:dyDescent="0.25">
      <c r="B13" s="18">
        <f ca="1">IF(Tabla1[[#This Row],['#]]&lt;&gt;"", NOW(), "")</f>
        <v>46158.806318750001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6"/>
      <c r="K13" s="26"/>
      <c r="M13" s="24"/>
      <c r="N13" s="24"/>
      <c r="O13" s="24"/>
      <c r="P13" s="24"/>
      <c r="Q13" s="24"/>
      <c r="R13" s="24"/>
    </row>
    <row r="14" spans="2:18" x14ac:dyDescent="0.25">
      <c r="B14" s="18">
        <f ca="1">IF(Tabla1[[#This Row],['#]]&lt;&gt;"", NOW(), "")</f>
        <v>46158.806318750001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6"/>
      <c r="K14" s="26"/>
      <c r="M14" s="24"/>
      <c r="N14" s="24"/>
      <c r="O14" s="24"/>
      <c r="P14" s="24"/>
      <c r="Q14" s="24"/>
      <c r="R14" s="24"/>
    </row>
    <row r="15" spans="2:18" x14ac:dyDescent="0.25">
      <c r="B15" s="18">
        <f ca="1">IF(Tabla1[[#This Row],['#]]&lt;&gt;"", NOW(), "")</f>
        <v>46158.806318750001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4"/>
      <c r="N15" s="24"/>
      <c r="O15" s="24"/>
      <c r="P15" s="24"/>
      <c r="Q15" s="24"/>
      <c r="R15" s="24"/>
    </row>
    <row r="16" spans="2:18" x14ac:dyDescent="0.25">
      <c r="B16" s="18">
        <f ca="1">IF(Tabla1[[#This Row],['#]]&lt;&gt;"", NOW(), "")</f>
        <v>46158.806318750001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4"/>
      <c r="N16" s="24"/>
      <c r="O16" s="24"/>
      <c r="P16" s="24"/>
      <c r="Q16" s="24"/>
      <c r="R16" s="24"/>
    </row>
    <row r="17" spans="2:18" x14ac:dyDescent="0.25">
      <c r="B17" s="18">
        <f ca="1">IF(Tabla1[[#This Row],['#]]&lt;&gt;"", NOW(), "")</f>
        <v>46158.806318750001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4"/>
      <c r="N17" s="24"/>
      <c r="O17" s="24"/>
      <c r="P17" s="24"/>
      <c r="Q17" s="24"/>
      <c r="R17" s="24"/>
    </row>
    <row r="18" spans="2:18" x14ac:dyDescent="0.25">
      <c r="B18" s="18">
        <f ca="1">IF(Tabla1[[#This Row],['#]]&lt;&gt;"", NOW(), "")</f>
        <v>46158.806318750001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4"/>
      <c r="N18" s="24"/>
      <c r="O18" s="24"/>
      <c r="P18" s="24"/>
      <c r="Q18" s="24"/>
      <c r="R18" s="24"/>
    </row>
    <row r="19" spans="2:18" x14ac:dyDescent="0.25">
      <c r="B19" s="18">
        <f ca="1">IF(Tabla1[[#This Row],['#]]&lt;&gt;"", NOW(), "")</f>
        <v>46158.806318750001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4"/>
      <c r="N19" s="24"/>
      <c r="O19" s="24"/>
      <c r="P19" s="24"/>
      <c r="Q19" s="24"/>
      <c r="R19" s="24"/>
    </row>
    <row r="20" spans="2:18" x14ac:dyDescent="0.25">
      <c r="B20" s="18">
        <f ca="1">IF(Tabla1[[#This Row],['#]]&lt;&gt;"", NOW(), "")</f>
        <v>46158.806318750001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4"/>
      <c r="N20" s="24"/>
      <c r="O20" s="24"/>
      <c r="P20" s="24"/>
      <c r="Q20" s="24"/>
      <c r="R20" s="24"/>
    </row>
    <row r="21" spans="2:18" x14ac:dyDescent="0.25">
      <c r="B21" s="18">
        <f ca="1">IF(Tabla1[[#This Row],['#]]&lt;&gt;"", NOW(), "")</f>
        <v>46158.806318750001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4"/>
      <c r="N21" s="24"/>
      <c r="O21" s="24"/>
      <c r="P21" s="24"/>
      <c r="Q21" s="24"/>
      <c r="R21" s="24"/>
    </row>
    <row r="22" spans="2:18" x14ac:dyDescent="0.25">
      <c r="B22" s="18">
        <f ca="1">IF(Tabla1[[#This Row],['#]]&lt;&gt;"", NOW(), "")</f>
        <v>46158.806318750001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4"/>
      <c r="N22" s="24"/>
      <c r="O22" s="24"/>
      <c r="P22" s="24"/>
      <c r="Q22" s="24"/>
      <c r="R22" s="24"/>
    </row>
    <row r="23" spans="2:18" x14ac:dyDescent="0.25">
      <c r="B23" s="18">
        <f ca="1">IF(Tabla1[[#This Row],['#]]&lt;&gt;"", NOW(), "")</f>
        <v>46158.806318750001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46158.806318750001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20" t="s">
        <v>19</v>
      </c>
      <c r="N24" s="40"/>
      <c r="O24" s="40"/>
      <c r="P24" s="40"/>
      <c r="Q24" s="40"/>
      <c r="R24" s="40"/>
    </row>
    <row r="25" spans="2:18" ht="15" customHeight="1" x14ac:dyDescent="0.25">
      <c r="B25" s="18">
        <f ca="1">IF(Tabla1[[#This Row],['#]]&lt;&gt;"", NOW(), "")</f>
        <v>46158.806318750001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5"/>
      <c r="N25" s="25"/>
      <c r="O25" s="25"/>
      <c r="P25" s="25"/>
      <c r="Q25" s="25"/>
      <c r="R25" s="25"/>
    </row>
    <row r="26" spans="2:18" ht="15" customHeight="1" x14ac:dyDescent="0.25">
      <c r="B26" s="18">
        <f ca="1">IF(Tabla1[[#This Row],['#]]&lt;&gt;"", NOW(), "")</f>
        <v>46158.806318750001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9" t="s">
        <v>22</v>
      </c>
      <c r="P26" s="39"/>
      <c r="Q26" s="39"/>
      <c r="R26" s="39"/>
    </row>
    <row r="27" spans="2:18" ht="15" customHeight="1" x14ac:dyDescent="0.25">
      <c r="B27" s="18">
        <f ca="1">IF(Tabla1[[#This Row],['#]]&lt;&gt;"", NOW(), "")</f>
        <v>46158.806318750001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1"/>
      <c r="P27" s="42"/>
      <c r="Q27" s="42"/>
      <c r="R27" s="43"/>
    </row>
    <row r="28" spans="2:18" ht="15" customHeight="1" x14ac:dyDescent="0.25">
      <c r="B28" s="18">
        <f ca="1">IF(Tabla1[[#This Row],['#]]&lt;&gt;"", NOW(), "")</f>
        <v>46158.806318750001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1"/>
      <c r="P28" s="42"/>
      <c r="Q28" s="42"/>
      <c r="R28" s="43"/>
    </row>
    <row r="29" spans="2:18" ht="15" customHeight="1" x14ac:dyDescent="0.25">
      <c r="B29" s="18" t="str">
        <f ca="1">IF(Tabla1[[#This Row],['#]]&lt;&gt;"", NOW(), "")</f>
        <v/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1"/>
      <c r="P29" s="42"/>
      <c r="Q29" s="42"/>
      <c r="R29" s="43"/>
    </row>
    <row r="30" spans="2:18" ht="15" customHeight="1" x14ac:dyDescent="0.25">
      <c r="B30" s="18" t="str">
        <f ca="1">IF(Tabla1[[#This Row],['#]]&lt;&gt;"", NOW(), "")</f>
        <v/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1"/>
      <c r="P30" s="42"/>
      <c r="Q30" s="42"/>
      <c r="R30" s="43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1"/>
      <c r="P31" s="42"/>
      <c r="Q31" s="42"/>
      <c r="R31" s="43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1"/>
      <c r="P32" s="42"/>
      <c r="Q32" s="42"/>
      <c r="R32" s="43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1"/>
      <c r="P33" s="42"/>
      <c r="Q33" s="42"/>
      <c r="R33" s="43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1"/>
      <c r="P34" s="42"/>
      <c r="Q34" s="42"/>
      <c r="R34" s="43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1"/>
      <c r="P35" s="42"/>
      <c r="Q35" s="42"/>
      <c r="R35" s="43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1"/>
      <c r="P36" s="42"/>
      <c r="Q36" s="42"/>
      <c r="R36" s="43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1"/>
      <c r="P37" s="42"/>
      <c r="Q37" s="42"/>
      <c r="R37" s="43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1"/>
      <c r="P38" s="42"/>
      <c r="Q38" s="42"/>
      <c r="R38" s="43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1"/>
      <c r="P39" s="42"/>
      <c r="Q39" s="42"/>
      <c r="R39" s="43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1"/>
      <c r="P40" s="42"/>
      <c r="Q40" s="42"/>
      <c r="R40" s="43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1"/>
      <c r="P41" s="42"/>
      <c r="Q41" s="42"/>
      <c r="R41" s="43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1"/>
      <c r="P42" s="42"/>
      <c r="Q42" s="42"/>
      <c r="R42" s="43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1"/>
      <c r="P43" s="42"/>
      <c r="Q43" s="42"/>
      <c r="R43" s="43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1"/>
      <c r="P44" s="42"/>
      <c r="Q44" s="42"/>
      <c r="R44" s="43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11-05-26</vt:lpstr>
      <vt:lpstr>Martes 12-05-26</vt:lpstr>
      <vt:lpstr>Miercoles 13-05-26</vt:lpstr>
      <vt:lpstr>Jueves 14-05-26</vt:lpstr>
      <vt:lpstr>Viernes 15-05-26</vt:lpstr>
      <vt:lpstr>Sabado 16-05-26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2026-05-17T01:21:07Z</dcterms:modified>
</cp:coreProperties>
</file>