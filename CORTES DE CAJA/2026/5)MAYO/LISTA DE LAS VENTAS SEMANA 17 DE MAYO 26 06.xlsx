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A3DFB3D-75DB-4FDF-8D31-2196D9E5D094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4-05-26" sheetId="1" r:id="rId1"/>
    <sheet name="Martes 05-05-26" sheetId="2" r:id="rId2"/>
    <sheet name="Miercoles 06-05-26" sheetId="3" r:id="rId3"/>
    <sheet name="Jueves 07-05-26" sheetId="4" r:id="rId4"/>
    <sheet name="Viernes 08-05-26" sheetId="5" r:id="rId5"/>
    <sheet name="Sabado 09-05-26" sheetId="6" r:id="rId6"/>
    <sheet name="Domingo" sheetId="8" r:id="rId7"/>
    <sheet name="Cambios" sheetId="7" r:id="rId8"/>
  </sheets>
  <definedNames>
    <definedName name="_xlnm._FilterDatabase" localSheetId="0" hidden="1">'Lunes 04-05-26'!$B$4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<sst xmlns="http://schemas.openxmlformats.org/spreadsheetml/2006/main" count="316" uniqueCount="149">
  <si>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</si>
  <si>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</si>
  <si>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</si>
  <si>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</si>
  <si>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</si>
  <si>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</si>
  <si>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</si>
  <si>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</si>
  <si>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</si>
  <si>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</si>
  <si>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</si>
  <si>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</si>
  <si>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</si>
  <si>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</si>
  <si>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</si>
  <si>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</si>
  <si>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</si>
  <si>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</si>
  <si>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</si>
  <si>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</si>
  <si>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</si>
  <si>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</si>
  <si>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</si>
  <si>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</si>
  <si>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</si>
  <si>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04 DE MAYO-26</t>
  </si>
  <si>
    <t>ACEITE REPSOL</t>
  </si>
  <si>
    <t>X</t>
  </si>
  <si>
    <t>FILTRO DE AIRE DM200</t>
  </si>
  <si>
    <t>BALATA TRASERA XTZ250</t>
  </si>
  <si>
    <t>BIRLOS DE FT150</t>
  </si>
  <si>
    <t>SEGURO MEGA</t>
  </si>
  <si>
    <t>BUJIA D8</t>
  </si>
  <si>
    <t>BUJE DE HUESO</t>
  </si>
  <si>
    <t>FILTRO DE GASOLINA CARTON</t>
  </si>
  <si>
    <t>MANIJA DECORATIVAS NASAKI</t>
  </si>
  <si>
    <t>SWUITH FT150</t>
  </si>
  <si>
    <t>BARRA DE POSAPIE FT150</t>
  </si>
  <si>
    <t>MANIJAS FT125 NASAKI</t>
  </si>
  <si>
    <t>CAPUCHON DE BUJIA DS150</t>
  </si>
  <si>
    <t>BUJIA C9</t>
  </si>
  <si>
    <t>FILTRO DE AIRE 150Z</t>
  </si>
  <si>
    <t>RELEVADOR DE FT150</t>
  </si>
  <si>
    <t>BUJIA C7</t>
  </si>
  <si>
    <t>TUBO MOVIL DS150</t>
  </si>
  <si>
    <t xml:space="preserve">GUANTES NEGROS </t>
  </si>
  <si>
    <t>CHICOTE DE CLUTH FT150</t>
  </si>
  <si>
    <t>REFLEJANTE DE RIND</t>
  </si>
  <si>
    <t>CAMRA 3.50.10</t>
  </si>
  <si>
    <t>FOCO DE CALABERA BLANCO</t>
  </si>
  <si>
    <t xml:space="preserve">PEDIDO MERCADO </t>
  </si>
  <si>
    <t>CUENTA SEMANA PASADA $ 16357 MENOS $ 2673 PEDIDO DE MERCADO LIBRE QUEDA $ 13684</t>
  </si>
  <si>
    <t>Martes 05 DE MAYO-26</t>
  </si>
  <si>
    <t>PILA QLINK 12N7</t>
  </si>
  <si>
    <t>REGULADOR DE FT150</t>
  </si>
  <si>
    <t>ARNES FT125</t>
  </si>
  <si>
    <t>MANOD IZQUIERDO 125Z</t>
  </si>
  <si>
    <t>MANDO DERECHO FT150</t>
  </si>
  <si>
    <t xml:space="preserve">TORNILLO </t>
  </si>
  <si>
    <t>STIKER</t>
  </si>
  <si>
    <t>BALAT DE DISCO DM200</t>
  </si>
  <si>
    <t>LUBRICANTE DE CADENA LUBER</t>
  </si>
  <si>
    <t xml:space="preserve">AORCADOR DE CLUTH </t>
  </si>
  <si>
    <t>BALERO 6203</t>
  </si>
  <si>
    <t>BALERO 6300</t>
  </si>
  <si>
    <t>Miercoles 06 DE MAYO-26</t>
  </si>
  <si>
    <t xml:space="preserve">PILA QLINK 6.5 </t>
  </si>
  <si>
    <t>ACEITE LUBER</t>
  </si>
  <si>
    <t>FILTRO DE AIRE WS150</t>
  </si>
  <si>
    <t xml:space="preserve">PEDIDO OSCAR </t>
  </si>
  <si>
    <t>POPOTE PARA RIND ANARANJADO</t>
  </si>
  <si>
    <t>SELLO DE ESCAPE DS150</t>
  </si>
  <si>
    <t>ESPEJOS DE 150Z</t>
  </si>
  <si>
    <t>CUBREPOLVO WS150</t>
  </si>
  <si>
    <t>RED DEACIENTO WS150</t>
  </si>
  <si>
    <t>CHICOTE DE CLUTH UNIVERSAL</t>
  </si>
  <si>
    <t>BALATA DE DISCO DS150</t>
  </si>
  <si>
    <t xml:space="preserve">PEDIDO NASAKI </t>
  </si>
  <si>
    <t>CUENTA DE SEMANA PASADA $13684 MENOS $ 1910 QUEDA $ 11774 MENOS $ 4501 DE PEDIDO NASAKI QUEDA $ 7273</t>
  </si>
  <si>
    <t xml:space="preserve">RETEN SUSPENSIÓN MOTONETA </t>
  </si>
  <si>
    <t xml:space="preserve">ESPEJOS DE HONDA </t>
  </si>
  <si>
    <t xml:space="preserve">ADAPTADORES DE ESPEJOS </t>
  </si>
  <si>
    <t>SEGURO DE PIÑON</t>
  </si>
  <si>
    <t>POSAPIES TRASEROS FT150</t>
  </si>
  <si>
    <t>PILA DE MOTONETA NASAKI</t>
  </si>
  <si>
    <t>Jueves 07 DE MAYO-26</t>
  </si>
  <si>
    <t>DISCO DE ATV 150 ITALIKA</t>
  </si>
  <si>
    <t xml:space="preserve">MARCHA PARA MOTONETA </t>
  </si>
  <si>
    <t>EJE DELANTERO DS150</t>
  </si>
  <si>
    <t xml:space="preserve">RESORTE </t>
  </si>
  <si>
    <t xml:space="preserve">MANGUERA DE FRENO </t>
  </si>
  <si>
    <t>BALATA TRASERA DE CROSMAX 250</t>
  </si>
  <si>
    <t xml:space="preserve">BASE PARA ESPEJOS </t>
  </si>
  <si>
    <t xml:space="preserve">ACEITE LUBER </t>
  </si>
  <si>
    <t>MERCADO</t>
  </si>
  <si>
    <t>Viernes 08 DE MAYO-26</t>
  </si>
  <si>
    <t>P.OSCAR</t>
  </si>
  <si>
    <t>P.NASAKI</t>
  </si>
  <si>
    <t>AKRON</t>
  </si>
  <si>
    <t xml:space="preserve">LUBER </t>
  </si>
  <si>
    <t>PAGOYAS</t>
  </si>
  <si>
    <t>LUNES 04 DE MAYO-26</t>
  </si>
  <si>
    <t>MIERCOLES 06 DE MAYO-26</t>
  </si>
  <si>
    <t>JUEVES 07 DE MAYO-26</t>
  </si>
  <si>
    <t>VIERNES 08 DE MAYO-26</t>
  </si>
  <si>
    <t xml:space="preserve">TOTAL </t>
  </si>
  <si>
    <t xml:space="preserve">TOTAL DE EGRESOS </t>
  </si>
  <si>
    <t xml:space="preserve">ARNES H4 </t>
  </si>
  <si>
    <t>PASTAS DE CLUTH DS150</t>
  </si>
  <si>
    <t xml:space="preserve">AKRON </t>
  </si>
  <si>
    <t>CAMARA 2.75.17</t>
  </si>
  <si>
    <r>
      <t>CUENTA SEMANA PASADA $ 7273 MENOS $ 2426 DE ACEITE AKRON QUEDA $ 4847 MENOS $ 2272 PEDIDO DE LUBER QUEDA $</t>
    </r>
    <r>
      <rPr>
        <b/>
        <sz val="20"/>
        <color theme="1"/>
        <rFont val="Calibri"/>
        <family val="2"/>
        <scheme val="minor"/>
      </rPr>
      <t xml:space="preserve"> 2575 </t>
    </r>
  </si>
  <si>
    <t>FOCO DE PELLIZCO</t>
  </si>
  <si>
    <t>HUESO DE CADENA DM200</t>
  </si>
  <si>
    <t>FILTRO DE AIRE PULSAR 200NS</t>
  </si>
  <si>
    <t xml:space="preserve">TERMINAL DE BACTERIA </t>
  </si>
  <si>
    <t>CABEZA DE CILINDRO DS150</t>
  </si>
  <si>
    <t>ACEITE MOTUL 7100-10W-40</t>
  </si>
  <si>
    <t>FLECHA DE ATV</t>
  </si>
  <si>
    <t>LIMPIADOR DE CARBURADOR AXPRO</t>
  </si>
  <si>
    <t xml:space="preserve">ACEITE REPSOL </t>
  </si>
  <si>
    <t xml:space="preserve">FILTRO DE GASOLINA CARTON </t>
  </si>
  <si>
    <t>LIGA DE DS150</t>
  </si>
  <si>
    <t xml:space="preserve">FOCO DE DIRECCIONAL </t>
  </si>
  <si>
    <t xml:space="preserve">FUSIBLE </t>
  </si>
  <si>
    <t>AMORTIGUADOR DS150</t>
  </si>
  <si>
    <t>TAMBOR DE ATV150</t>
  </si>
  <si>
    <t>CALIPER ATV150</t>
  </si>
  <si>
    <t>BOMBA DE ACEIT FT150 WAPEEMX</t>
  </si>
  <si>
    <t>PILA QLINK 12N7 3A</t>
  </si>
  <si>
    <t xml:space="preserve">RETEN DE MOTOR PULSAR 200NS </t>
  </si>
  <si>
    <t xml:space="preserve">CARGADOR DE CELULAR </t>
  </si>
  <si>
    <t>CAMARA 3.00.17</t>
  </si>
  <si>
    <t>RETEN DE MOOTOR PULSAR 200NS</t>
  </si>
  <si>
    <t>SWUITH DE FT150</t>
  </si>
  <si>
    <t>BARILLA DE DM200</t>
  </si>
  <si>
    <r>
      <rPr>
        <b/>
        <sz val="14"/>
        <color theme="1"/>
        <rFont val="Calibri"/>
        <family val="2"/>
        <scheme val="minor"/>
      </rPr>
      <t xml:space="preserve">CORTES DE LA SEMANA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04 DE MAYO-26                  $16357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$ 1771           MENOS $15282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05 DE MAYO-26             $ 1075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$ 1565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06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$ 2215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07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$ 2279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08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VENTA$ 5028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 $ 12858
TOTAL EN CAJA $ 13933</t>
    </r>
  </si>
  <si>
    <t>Sabado 09 DE MAYO-26</t>
  </si>
  <si>
    <t>NOTA7</t>
  </si>
  <si>
    <t>FOCO DE STOP</t>
  </si>
  <si>
    <t xml:space="preserve">SOPORTED E ESPEJOS </t>
  </si>
  <si>
    <t>TORNILLO DE FRENO TRASERO</t>
  </si>
  <si>
    <t>TORNILLO DE SEGURIDAD DE FRENO</t>
  </si>
  <si>
    <t>CAMARA 3.00.17 MAYA</t>
  </si>
  <si>
    <t xml:space="preserve">CADENA 428 X136 REFORZADA CON ORING </t>
  </si>
  <si>
    <t>CADENA DE DISTRIBUCION DS150</t>
  </si>
  <si>
    <t xml:space="preserve">EMPAQUE DE PIPETA </t>
  </si>
  <si>
    <t>CAMARA 3.50.18</t>
  </si>
  <si>
    <r>
      <t xml:space="preserve">CUENTA DE AYER$ 13933 MENOS $ 5230 DE PEDIDO DE MERCADO  QUEDA $ 8703 
CUENTA DE HOY SABADO $ 1103 MENOS $ 300 PAGO DE YAS QUEDA  $ 803 
</t>
    </r>
    <r>
      <rPr>
        <b/>
        <sz val="22"/>
        <color theme="1"/>
        <rFont val="Calibri"/>
        <family val="2"/>
        <scheme val="minor"/>
      </rPr>
      <t>TOTAL EN CAJA $ 9506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</si>
</sst>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1771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25</v>
      </c>
      <c r="M4" s="23" t="s">
        <v>51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46151.801464004631</v>
      </c>
      <c r="C5">
        <f>IF(ISNUMBER(E5), IF(ISNUMBER(C4), C4+1, 1), "")</f>
        <v>1</v>
      </c>
      <c r="D5" t="s">
        <v>26</v>
      </c>
      <c r="E5">
        <v>1</v>
      </c>
      <c r="F5">
        <v>142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135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71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64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>
        <f t="shared" si="0"/>
        <v>3</v>
      </c>
      <c r="D7" t="s">
        <v>29</v>
      </c>
      <c r="E7">
        <v>1</v>
      </c>
      <c r="F7">
        <v>120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120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>
        <f t="shared" si="0"/>
        <v>4</v>
      </c>
      <c r="D8" t="s">
        <v>30</v>
      </c>
      <c r="E8">
        <v>1</v>
      </c>
      <c r="F8">
        <v>25</v>
      </c>
      <c r="G8" t="s">
        <v>27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22.5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>
        <f t="shared" si="0"/>
        <v>5</v>
      </c>
      <c r="D9" t="s">
        <v>31</v>
      </c>
      <c r="E9">
        <v>1</v>
      </c>
      <c r="F9">
        <v>10</v>
      </c>
      <c r="G9" t="s">
        <v>27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9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>
        <f t="shared" si="0"/>
        <v>6</v>
      </c>
      <c r="D10" t="s">
        <v>32</v>
      </c>
      <c r="E10">
        <v>1</v>
      </c>
      <c r="F10">
        <v>50</v>
      </c>
      <c r="G10" t="s">
        <v>27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>
        <f t="shared" si="0"/>
        <v>7</v>
      </c>
      <c r="D11" t="s">
        <v>33</v>
      </c>
      <c r="E11">
        <v>1</v>
      </c>
      <c r="F11">
        <v>20</v>
      </c>
      <c r="G11" t="s">
        <v>27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18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>
        <f t="shared" si="0"/>
        <v>8</v>
      </c>
      <c r="D12" t="s">
        <v>34</v>
      </c>
      <c r="E12">
        <v>1</v>
      </c>
      <c r="F12">
        <v>15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>
        <f t="shared" si="0"/>
        <v>9</v>
      </c>
      <c r="D13" t="s">
        <v>35</v>
      </c>
      <c r="E13">
        <v>1</v>
      </c>
      <c r="F13">
        <v>130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130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>
        <f t="shared" si="0"/>
        <v>10</v>
      </c>
      <c r="D14" t="s">
        <v>36</v>
      </c>
      <c r="E14">
        <v>1</v>
      </c>
      <c r="F14">
        <v>170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170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>
        <f t="shared" si="0"/>
        <v>11</v>
      </c>
      <c r="D15" t="s">
        <v>37</v>
      </c>
      <c r="E15">
        <v>1</v>
      </c>
      <c r="F15">
        <v>266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266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>
        <f t="shared" si="0"/>
        <v>12</v>
      </c>
      <c r="D16" t="s">
        <v>38</v>
      </c>
      <c r="E16">
        <v>1</v>
      </c>
      <c r="F16">
        <v>130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130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>
        <f t="shared" si="0"/>
        <v>13</v>
      </c>
      <c r="D17" t="s">
        <v>39</v>
      </c>
      <c r="E17">
        <v>1</v>
      </c>
      <c r="F17">
        <v>20</v>
      </c>
      <c r="G17" t="s">
        <v>27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>
        <f t="shared" si="0"/>
        <v>14</v>
      </c>
      <c r="D18" t="s">
        <v>40</v>
      </c>
      <c r="E18">
        <v>1</v>
      </c>
      <c r="F18">
        <v>50</v>
      </c>
      <c r="G18" t="s">
        <v>27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45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>
        <f t="shared" si="0"/>
        <v>15</v>
      </c>
      <c r="D19" t="s">
        <v>41</v>
      </c>
      <c r="E19">
        <v>1</v>
      </c>
      <c r="F19">
        <v>53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53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>
        <f t="shared" si="0"/>
        <v>16</v>
      </c>
      <c r="D20" t="s">
        <v>34</v>
      </c>
      <c r="E20">
        <v>1</v>
      </c>
      <c r="F20">
        <v>15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>
        <f t="shared" si="0"/>
        <v>17</v>
      </c>
      <c r="D21" t="s">
        <v>42</v>
      </c>
      <c r="E21">
        <v>1</v>
      </c>
      <c r="F21">
        <v>25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25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>
        <f t="shared" si="0"/>
        <v>18</v>
      </c>
      <c r="D22" t="s">
        <v>43</v>
      </c>
      <c r="E22">
        <v>1</v>
      </c>
      <c r="F22">
        <v>50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>
        <f t="shared" si="0"/>
        <v>19</v>
      </c>
      <c r="D23" t="s">
        <v>44</v>
      </c>
      <c r="E23">
        <v>2</v>
      </c>
      <c r="F23">
        <v>15</v>
      </c>
      <c r="G23" t="s">
        <v>27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27</v>
      </c>
    </row>
    <row r="24" spans="2:18" ht="15" customHeight="1" x14ac:dyDescent="0.25">
      <c r="B24" s="18">
        <f ca="1">IF(Tabla1[[#This Row],['#]]&lt;&gt;"", NOW(), "")</f>
        <v>46151.801464004631</v>
      </c>
      <c r="C24">
        <f t="shared" si="0"/>
        <v>20</v>
      </c>
      <c r="D24" t="s">
        <v>45</v>
      </c>
      <c r="E24">
        <v>1</v>
      </c>
      <c r="F24">
        <v>185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185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46151.801464004631</v>
      </c>
      <c r="C25">
        <f t="shared" si="0"/>
        <v>21</v>
      </c>
      <c r="D25" t="s">
        <v>46</v>
      </c>
      <c r="E25">
        <v>1</v>
      </c>
      <c r="F25">
        <v>35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35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46151.801464004631</v>
      </c>
      <c r="C26">
        <f t="shared" si="0"/>
        <v>22</v>
      </c>
      <c r="D26" t="s">
        <v>47</v>
      </c>
      <c r="E26">
        <v>1</v>
      </c>
      <c r="F26">
        <v>45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45</v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>
        <f ca="1">IF(Tabla1[[#This Row],['#]]&lt;&gt;"", NOW(), "")</f>
        <v>46151.801464004631</v>
      </c>
      <c r="C27">
        <f t="shared" si="0"/>
        <v>23</v>
      </c>
      <c r="D27" t="s">
        <v>48</v>
      </c>
      <c r="E27">
        <v>1</v>
      </c>
      <c r="F27">
        <v>75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75</v>
      </c>
      <c r="M27" s="26" t="s">
        <v>50</v>
      </c>
      <c r="N27" s="27"/>
      <c r="O27" s="30">
        <v>2673</v>
      </c>
      <c r="P27" s="32"/>
      <c r="Q27" s="33"/>
      <c r="R27" s="34"/>
    </row>
    <row r="28" spans="2:18" x14ac:dyDescent="0.25">
      <c r="B28" s="18">
        <f ca="1">IF(Tabla1[[#This Row],['#]]&lt;&gt;"", NOW(), "")</f>
        <v>46151.801464004631</v>
      </c>
      <c r="C28">
        <f t="shared" si="0"/>
        <v>24</v>
      </c>
      <c r="D28" t="s">
        <v>49</v>
      </c>
      <c r="E28">
        <v>1</v>
      </c>
      <c r="F28">
        <v>25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25</v>
      </c>
      <c r="M28" s="28"/>
      <c r="N28" s="29"/>
      <c r="O28" s="31"/>
      <c r="P28" s="35"/>
      <c r="Q28" s="36"/>
      <c r="R28" s="37"/>
    </row>
    <row r="29" spans="2:18" x14ac:dyDescent="0.25">
      <c r="B29" s="18">
        <f ca="1">IF(Tabla1[[#This Row],['#]]&lt;&gt;"", NOW(), "")</f>
        <v>46151.801464004631</v>
      </c>
      <c r="C29">
        <f t="shared" si="0"/>
        <v>25</v>
      </c>
      <c r="D29" t="s">
        <v>32</v>
      </c>
      <c r="E29">
        <v>1</v>
      </c>
      <c r="F29">
        <v>50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50</v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52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1565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12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46151.801464004631</v>
      </c>
      <c r="C5">
        <f t="shared" ref="C5:C68" si="0">IF(ISNUMBER(E5), IF(ISNUMBER(C4), C4+1, 1), "")</f>
        <v>1</v>
      </c>
      <c r="D5" t="s">
        <v>53</v>
      </c>
      <c r="E5">
        <v>1</v>
      </c>
      <c r="F5">
        <v>700</v>
      </c>
      <c r="G5" t="s">
        <v>27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630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>
        <f t="shared" si="0"/>
        <v>2</v>
      </c>
      <c r="D6" t="s">
        <v>54</v>
      </c>
      <c r="E6">
        <v>1</v>
      </c>
      <c r="F6">
        <v>120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120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>
        <f t="shared" si="0"/>
        <v>3</v>
      </c>
      <c r="D7" t="s">
        <v>55</v>
      </c>
      <c r="E7">
        <v>1</v>
      </c>
      <c r="F7">
        <v>400</v>
      </c>
      <c r="G7" t="s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360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>
        <f t="shared" si="0"/>
        <v>4</v>
      </c>
      <c r="D8" t="s">
        <v>56</v>
      </c>
      <c r="E8">
        <v>1</v>
      </c>
      <c r="F8">
        <v>96</v>
      </c>
      <c r="G8" t="s">
        <v>27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86.5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>
        <f t="shared" si="0"/>
        <v>5</v>
      </c>
      <c r="D9" t="s">
        <v>57</v>
      </c>
      <c r="E9">
        <v>1</v>
      </c>
      <c r="F9">
        <v>120</v>
      </c>
      <c r="G9" t="s">
        <v>27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108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>
        <f t="shared" si="0"/>
        <v>6</v>
      </c>
      <c r="D10" t="s">
        <v>58</v>
      </c>
      <c r="E10">
        <v>2</v>
      </c>
      <c r="F10">
        <v>4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>
        <f t="shared" si="0"/>
        <v>7</v>
      </c>
      <c r="D11" t="s">
        <v>59</v>
      </c>
      <c r="E11">
        <v>1</v>
      </c>
      <c r="F11">
        <v>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>
        <f t="shared" si="0"/>
        <v>8</v>
      </c>
      <c r="D12" t="s">
        <v>60</v>
      </c>
      <c r="E12">
        <v>1</v>
      </c>
      <c r="F12">
        <v>42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42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>
        <f t="shared" si="0"/>
        <v>9</v>
      </c>
      <c r="D13" t="s">
        <v>61</v>
      </c>
      <c r="E13">
        <v>1</v>
      </c>
      <c r="F13">
        <v>90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90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>
        <f t="shared" si="0"/>
        <v>10</v>
      </c>
      <c r="D14" t="s">
        <v>62</v>
      </c>
      <c r="E14">
        <v>1</v>
      </c>
      <c r="F14">
        <v>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>
        <f t="shared" si="0"/>
        <v>11</v>
      </c>
      <c r="D15" t="s">
        <v>63</v>
      </c>
      <c r="E15">
        <v>2</v>
      </c>
      <c r="F15">
        <v>30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60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>
        <f t="shared" si="0"/>
        <v>12</v>
      </c>
      <c r="D16" t="s">
        <v>64</v>
      </c>
      <c r="E16">
        <v>2</v>
      </c>
      <c r="F16">
        <v>28</v>
      </c>
      <c r="G16" t="s">
        <v>27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50.5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 t="str">
        <f t="shared" si="0"/>
        <v/>
      </c>
      <c r="H17" s="5" t="str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46151.801464004631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46151.801464004631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46151.801464004631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>
        <f ca="1">IF(Tabla1[[#This Row],['#]]&lt;&gt;"", NOW(), "")</f>
        <v>46151.801464004631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46151.801464004631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46151.801464004631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65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2215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23" t="s">
        <v>78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46151.801464004631</v>
      </c>
      <c r="C5">
        <f>IF(ISNUMBER(E5), IF(ISNUMBER(C4), C4+1, 1), "")</f>
        <v>1</v>
      </c>
      <c r="D5" t="s">
        <v>66</v>
      </c>
      <c r="E5">
        <v>1</v>
      </c>
      <c r="F5">
        <v>645</v>
      </c>
      <c r="G5" t="s">
        <v>27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580.5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>
        <f>IF(ISNUMBER(E6), IF(ISNUMBER(C5), C5+1, 1), "")</f>
        <v>2</v>
      </c>
      <c r="D6" t="s">
        <v>67</v>
      </c>
      <c r="E6">
        <v>1</v>
      </c>
      <c r="F6">
        <v>90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85.5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>
        <f>IF(ISNUMBER(E7), IF(ISNUMBER(C6), C6+1, 1), "")</f>
        <v>3</v>
      </c>
      <c r="D7" t="s">
        <v>43</v>
      </c>
      <c r="E7">
        <v>1</v>
      </c>
      <c r="F7">
        <v>50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>
        <f t="shared" ref="C8:C68" si="0">IF(ISNUMBER(E8), IF(ISNUMBER(C7), C7+1, 1), "")</f>
        <v>4</v>
      </c>
      <c r="D8" t="s">
        <v>68</v>
      </c>
      <c r="E8">
        <v>1</v>
      </c>
      <c r="F8">
        <v>53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48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>
        <f t="shared" si="0"/>
        <v>5</v>
      </c>
      <c r="D9" t="s">
        <v>72</v>
      </c>
      <c r="E9">
        <v>1</v>
      </c>
      <c r="F9">
        <v>166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166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>
        <f t="shared" si="0"/>
        <v>6</v>
      </c>
      <c r="D10" t="s">
        <v>70</v>
      </c>
      <c r="E10">
        <v>1</v>
      </c>
      <c r="F10">
        <v>70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70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>
        <f t="shared" si="0"/>
        <v>7</v>
      </c>
      <c r="D11" t="s">
        <v>71</v>
      </c>
      <c r="E11">
        <v>1</v>
      </c>
      <c r="F11">
        <v>10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>
        <f t="shared" si="0"/>
        <v>8</v>
      </c>
      <c r="D12" t="s">
        <v>32</v>
      </c>
      <c r="E12">
        <v>1</v>
      </c>
      <c r="F12">
        <v>50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50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>
        <f t="shared" si="0"/>
        <v>9</v>
      </c>
      <c r="D13" t="s">
        <v>73</v>
      </c>
      <c r="E13">
        <v>1</v>
      </c>
      <c r="F13">
        <v>45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>
        <f t="shared" si="0"/>
        <v>10</v>
      </c>
      <c r="D14" t="s">
        <v>74</v>
      </c>
      <c r="E14">
        <v>1</v>
      </c>
      <c r="F14">
        <v>115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115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>
        <f t="shared" si="0"/>
        <v>11</v>
      </c>
      <c r="D15" t="s">
        <v>75</v>
      </c>
      <c r="E15">
        <v>1</v>
      </c>
      <c r="F15">
        <v>20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>
        <f t="shared" si="0"/>
        <v>12</v>
      </c>
      <c r="D16" t="s">
        <v>76</v>
      </c>
      <c r="E16">
        <v>1</v>
      </c>
      <c r="F16">
        <v>100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100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>
        <f t="shared" si="0"/>
        <v>13</v>
      </c>
      <c r="D17" t="s">
        <v>79</v>
      </c>
      <c r="E17">
        <v>1</v>
      </c>
      <c r="F17">
        <v>38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>
        <f t="shared" si="0"/>
        <v>14</v>
      </c>
      <c r="D18" t="s">
        <v>80</v>
      </c>
      <c r="E18">
        <v>1</v>
      </c>
      <c r="F18">
        <v>180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180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>
        <f t="shared" si="0"/>
        <v>15</v>
      </c>
      <c r="D19" t="s">
        <v>81</v>
      </c>
      <c r="E19">
        <v>1</v>
      </c>
      <c r="F19">
        <v>120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120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>
        <f t="shared" si="0"/>
        <v>16</v>
      </c>
      <c r="D20" t="s">
        <v>82</v>
      </c>
      <c r="E20">
        <v>1</v>
      </c>
      <c r="F20">
        <v>10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>
        <f t="shared" si="0"/>
        <v>17</v>
      </c>
      <c r="D21" t="s">
        <v>83</v>
      </c>
      <c r="E21">
        <v>1</v>
      </c>
      <c r="F21">
        <v>82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82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>
        <f t="shared" si="0"/>
        <v>18</v>
      </c>
      <c r="D22" t="s">
        <v>84</v>
      </c>
      <c r="E22">
        <v>1</v>
      </c>
      <c r="F22">
        <v>500</v>
      </c>
      <c r="G22" t="s">
        <v>27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450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46151.801464004631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46151.801464004631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46151.801464004631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46151.801464004631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69</v>
      </c>
      <c r="N27" s="15">
        <v>1910</v>
      </c>
      <c r="O27" s="40"/>
      <c r="P27" s="41"/>
      <c r="Q27" s="41"/>
      <c r="R27" s="42"/>
    </row>
    <row r="28" spans="2:18" ht="30" x14ac:dyDescent="0.25">
      <c r="B28" s="18">
        <f ca="1">IF(Tabla1[[#This Row],['#]]&lt;&gt;"", NOW(), "")</f>
        <v>46151.801464004631</v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77</v>
      </c>
      <c r="N28" s="15">
        <v>4501</v>
      </c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46151.801464004631</v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85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2279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3" t="s">
        <v>111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46151.801464004631</v>
      </c>
      <c r="C5">
        <f t="shared" ref="C5:C68" si="0">IF(ISNUMBER(E5), IF(ISNUMBER(C4), C4+1, 1), "")</f>
        <v>1</v>
      </c>
      <c r="D5" t="s">
        <v>86</v>
      </c>
      <c r="E5">
        <v>1</v>
      </c>
      <c r="F5">
        <v>540</v>
      </c>
      <c r="G5" t="s">
        <v>27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486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>
        <f t="shared" si="0"/>
        <v>2</v>
      </c>
      <c r="D6" t="s">
        <v>87</v>
      </c>
      <c r="E6">
        <v>1</v>
      </c>
      <c r="F6">
        <v>396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356.5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>
        <f t="shared" si="0"/>
        <v>3</v>
      </c>
      <c r="D7" t="s">
        <v>88</v>
      </c>
      <c r="E7">
        <v>1</v>
      </c>
      <c r="F7">
        <v>42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42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>
        <f t="shared" si="0"/>
        <v>4</v>
      </c>
      <c r="D8" t="s">
        <v>89</v>
      </c>
      <c r="E8">
        <v>1</v>
      </c>
      <c r="F8">
        <v>20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>
        <f t="shared" si="0"/>
        <v>5</v>
      </c>
      <c r="D9" t="s">
        <v>90</v>
      </c>
      <c r="E9">
        <v>1</v>
      </c>
      <c r="F9">
        <v>130</v>
      </c>
      <c r="G9" t="s">
        <v>27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117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>
        <f t="shared" si="0"/>
        <v>6</v>
      </c>
      <c r="D10" t="s">
        <v>26</v>
      </c>
      <c r="E10">
        <v>2</v>
      </c>
      <c r="F10">
        <v>142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270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>
        <f t="shared" si="0"/>
        <v>7</v>
      </c>
      <c r="D11" t="s">
        <v>28</v>
      </c>
      <c r="E11">
        <v>1</v>
      </c>
      <c r="F11">
        <v>71</v>
      </c>
      <c r="G11" t="s">
        <v>27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64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>
        <f t="shared" si="0"/>
        <v>8</v>
      </c>
      <c r="D12" t="s">
        <v>34</v>
      </c>
      <c r="E12">
        <v>1</v>
      </c>
      <c r="F12">
        <v>15</v>
      </c>
      <c r="G12" t="s">
        <v>27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>
        <f t="shared" si="0"/>
        <v>9</v>
      </c>
      <c r="D13" t="s">
        <v>76</v>
      </c>
      <c r="E13">
        <v>1</v>
      </c>
      <c r="F13">
        <v>100</v>
      </c>
      <c r="G13" t="s">
        <v>27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90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>
        <f t="shared" si="0"/>
        <v>10</v>
      </c>
      <c r="D14" t="s">
        <v>91</v>
      </c>
      <c r="E14">
        <v>1</v>
      </c>
      <c r="F14">
        <v>35</v>
      </c>
      <c r="G14" t="s">
        <v>27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31.5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>
        <f t="shared" si="0"/>
        <v>11</v>
      </c>
      <c r="D15" t="s">
        <v>92</v>
      </c>
      <c r="E15">
        <v>1</v>
      </c>
      <c r="F15">
        <v>120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120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>
        <f t="shared" si="0"/>
        <v>12</v>
      </c>
      <c r="D16" t="s">
        <v>93</v>
      </c>
      <c r="E16">
        <v>1</v>
      </c>
      <c r="F16">
        <v>90</v>
      </c>
      <c r="G16" t="s">
        <v>27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85.5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>
        <f t="shared" si="0"/>
        <v>13</v>
      </c>
      <c r="D17" t="s">
        <v>107</v>
      </c>
      <c r="E17">
        <v>1</v>
      </c>
      <c r="F17">
        <v>22</v>
      </c>
      <c r="G17" t="s">
        <v>27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>
        <f t="shared" si="0"/>
        <v>14</v>
      </c>
      <c r="D18" t="s">
        <v>108</v>
      </c>
      <c r="E18">
        <v>1</v>
      </c>
      <c r="F18">
        <v>291</v>
      </c>
      <c r="G18" t="s">
        <v>27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262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>
        <f t="shared" si="0"/>
        <v>15</v>
      </c>
      <c r="D19" t="s">
        <v>110</v>
      </c>
      <c r="E19">
        <v>1</v>
      </c>
      <c r="F19">
        <v>75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75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>
        <f t="shared" si="0"/>
        <v>16</v>
      </c>
      <c r="D20" t="s">
        <v>112</v>
      </c>
      <c r="E20">
        <v>1</v>
      </c>
      <c r="F20">
        <v>15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15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>
        <f t="shared" si="0"/>
        <v>17</v>
      </c>
      <c r="D21" t="s">
        <v>113</v>
      </c>
      <c r="E21">
        <v>1</v>
      </c>
      <c r="F21">
        <v>110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110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>
        <f t="shared" si="0"/>
        <v>18</v>
      </c>
      <c r="D22" t="s">
        <v>114</v>
      </c>
      <c r="E22">
        <v>1</v>
      </c>
      <c r="F22">
        <v>92</v>
      </c>
      <c r="G22" t="s">
        <v>27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83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>
        <f t="shared" si="0"/>
        <v>19</v>
      </c>
      <c r="D23" t="s">
        <v>115</v>
      </c>
      <c r="E23">
        <v>4</v>
      </c>
      <c r="F23">
        <v>5</v>
      </c>
      <c r="G23" t="s">
        <v>27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18</v>
      </c>
    </row>
    <row r="24" spans="2:18" ht="15" customHeight="1" x14ac:dyDescent="0.25">
      <c r="B24" s="18">
        <f ca="1">IF(Tabla1[[#This Row],['#]]&lt;&gt;"", NOW(), "")</f>
        <v>46151.801464004631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46151.801464004631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46151.801464004631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46151.801464004631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109</v>
      </c>
      <c r="N27" s="15">
        <v>2426</v>
      </c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46151.801464004631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99</v>
      </c>
      <c r="N28" s="15">
        <v>2272</v>
      </c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46151.801464004631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95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5028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24</v>
      </c>
      <c r="M4" s="23" t="s">
        <v>136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46151.801464004631</v>
      </c>
      <c r="C5">
        <f t="shared" ref="C5:C68" si="0">IF(ISNUMBER(E5), IF(ISNUMBER(C4), C4+1, 1), "")</f>
        <v>1</v>
      </c>
      <c r="D5" t="s">
        <v>116</v>
      </c>
      <c r="E5">
        <v>1</v>
      </c>
      <c r="F5">
        <v>525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472.5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>
        <f t="shared" si="0"/>
        <v>2</v>
      </c>
      <c r="D6" t="s">
        <v>117</v>
      </c>
      <c r="E6">
        <v>1</v>
      </c>
      <c r="F6">
        <v>280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266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>
        <f t="shared" si="0"/>
        <v>3</v>
      </c>
      <c r="D7" t="s">
        <v>118</v>
      </c>
      <c r="E7">
        <v>1</v>
      </c>
      <c r="F7">
        <v>1000</v>
      </c>
      <c r="G7" t="s">
        <v>27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900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>
        <f t="shared" si="0"/>
        <v>4</v>
      </c>
      <c r="D8" t="s">
        <v>119</v>
      </c>
      <c r="E8">
        <v>1</v>
      </c>
      <c r="F8">
        <v>75</v>
      </c>
      <c r="G8" t="s">
        <v>27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67.5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>
        <f t="shared" si="0"/>
        <v>5</v>
      </c>
      <c r="D9" t="s">
        <v>120</v>
      </c>
      <c r="E9">
        <v>1</v>
      </c>
      <c r="F9">
        <v>142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135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>
        <f t="shared" si="0"/>
        <v>6</v>
      </c>
      <c r="D10" t="s">
        <v>43</v>
      </c>
      <c r="E10">
        <v>2</v>
      </c>
      <c r="F10">
        <v>50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90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>
        <f t="shared" si="0"/>
        <v>7</v>
      </c>
      <c r="D11" t="s">
        <v>121</v>
      </c>
      <c r="E11">
        <v>1</v>
      </c>
      <c r="F11">
        <v>15</v>
      </c>
      <c r="G11" t="s">
        <v>27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13.5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>
        <f t="shared" si="0"/>
        <v>8</v>
      </c>
      <c r="D12" t="s">
        <v>122</v>
      </c>
      <c r="E12">
        <v>1</v>
      </c>
      <c r="F12">
        <v>20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20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>
        <f t="shared" si="0"/>
        <v>9</v>
      </c>
      <c r="D13" t="s">
        <v>123</v>
      </c>
      <c r="E13">
        <v>2</v>
      </c>
      <c r="F13">
        <v>12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24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>
        <f t="shared" si="0"/>
        <v>10</v>
      </c>
      <c r="D14" t="s">
        <v>124</v>
      </c>
      <c r="E14">
        <v>1</v>
      </c>
      <c r="F14">
        <v>3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3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>
        <f t="shared" si="0"/>
        <v>11</v>
      </c>
      <c r="D15" t="s">
        <v>125</v>
      </c>
      <c r="E15">
        <v>1</v>
      </c>
      <c r="F15">
        <v>500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500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>
        <f t="shared" si="0"/>
        <v>12</v>
      </c>
      <c r="D16" t="s">
        <v>126</v>
      </c>
      <c r="E16">
        <v>1</v>
      </c>
      <c r="F16">
        <v>500</v>
      </c>
      <c r="G16" t="s">
        <v>27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450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>
        <f t="shared" si="0"/>
        <v>13</v>
      </c>
      <c r="D17" t="s">
        <v>127</v>
      </c>
      <c r="E17">
        <v>1</v>
      </c>
      <c r="F17">
        <v>450</v>
      </c>
      <c r="G17" t="s">
        <v>27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405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>
        <f t="shared" si="0"/>
        <v>14</v>
      </c>
      <c r="D18" t="s">
        <v>128</v>
      </c>
      <c r="E18">
        <v>1</v>
      </c>
      <c r="F18">
        <v>69</v>
      </c>
      <c r="G18" t="s">
        <v>27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62.5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>
        <f t="shared" si="0"/>
        <v>15</v>
      </c>
      <c r="D19" t="s">
        <v>129</v>
      </c>
      <c r="E19">
        <v>1</v>
      </c>
      <c r="F19">
        <v>700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700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>
        <f t="shared" si="0"/>
        <v>16</v>
      </c>
      <c r="D20" t="s">
        <v>130</v>
      </c>
      <c r="E20">
        <v>1</v>
      </c>
      <c r="F20">
        <v>55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55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>
        <f t="shared" si="0"/>
        <v>17</v>
      </c>
      <c r="D21" t="s">
        <v>32</v>
      </c>
      <c r="E21">
        <v>4</v>
      </c>
      <c r="F21">
        <v>50</v>
      </c>
      <c r="G21" t="s">
        <v>27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180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>
        <f t="shared" si="0"/>
        <v>18</v>
      </c>
      <c r="D22" t="s">
        <v>131</v>
      </c>
      <c r="E22">
        <v>1</v>
      </c>
      <c r="F22">
        <v>220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220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>
        <f t="shared" si="0"/>
        <v>19</v>
      </c>
      <c r="D23" t="s">
        <v>132</v>
      </c>
      <c r="E23">
        <v>1</v>
      </c>
      <c r="F23">
        <v>60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60</v>
      </c>
    </row>
    <row r="24" spans="2:18" ht="15" customHeight="1" x14ac:dyDescent="0.25">
      <c r="B24" s="18">
        <f ca="1">IF(Tabla1[[#This Row],['#]]&lt;&gt;"", NOW(), "")</f>
        <v>46151.801464004631</v>
      </c>
      <c r="C24">
        <f t="shared" si="0"/>
        <v>20</v>
      </c>
      <c r="D24" t="s">
        <v>133</v>
      </c>
      <c r="E24">
        <v>1</v>
      </c>
      <c r="F24">
        <v>55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55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46151.801464004631</v>
      </c>
      <c r="C25">
        <f t="shared" si="0"/>
        <v>21</v>
      </c>
      <c r="D25" t="s">
        <v>120</v>
      </c>
      <c r="E25">
        <v>1</v>
      </c>
      <c r="F25">
        <v>142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142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46151.801464004631</v>
      </c>
      <c r="C26">
        <f t="shared" si="0"/>
        <v>22</v>
      </c>
      <c r="D26" t="s">
        <v>134</v>
      </c>
      <c r="E26">
        <v>1</v>
      </c>
      <c r="F26">
        <v>170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170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46151.801464004631</v>
      </c>
      <c r="C27">
        <f t="shared" si="0"/>
        <v>23</v>
      </c>
      <c r="D27" t="s">
        <v>59</v>
      </c>
      <c r="E27">
        <v>2</v>
      </c>
      <c r="F27">
        <v>5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10</v>
      </c>
      <c r="M27" s="13" t="s">
        <v>94</v>
      </c>
      <c r="N27" s="15">
        <v>2673</v>
      </c>
      <c r="O27" s="40" t="s">
        <v>101</v>
      </c>
      <c r="P27" s="41"/>
      <c r="Q27" s="41"/>
      <c r="R27" s="42"/>
    </row>
    <row r="28" spans="2:18" ht="15" customHeight="1" x14ac:dyDescent="0.25">
      <c r="B28" s="18">
        <f ca="1">IF(Tabla1[[#This Row],['#]]&lt;&gt;"", NOW(), "")</f>
        <v>46151.801464004631</v>
      </c>
      <c r="C28">
        <f t="shared" si="0"/>
        <v>24</v>
      </c>
      <c r="D28" t="s">
        <v>135</v>
      </c>
      <c r="E28">
        <v>1</v>
      </c>
      <c r="F28">
        <v>30</v>
      </c>
      <c r="G28" t="s">
        <v>27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27</v>
      </c>
      <c r="M28" s="13" t="s">
        <v>96</v>
      </c>
      <c r="N28" s="15">
        <v>1910</v>
      </c>
      <c r="O28" s="40" t="s">
        <v>102</v>
      </c>
      <c r="P28" s="41"/>
      <c r="Q28" s="41"/>
      <c r="R28" s="42"/>
    </row>
    <row r="29" spans="2:18" ht="15" customHeight="1" x14ac:dyDescent="0.25">
      <c r="B29" s="18">
        <f ca="1">IF(Tabla1[[#This Row],['#]]&lt;&gt;"", NOW(), "")</f>
        <v>46151.801464004631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97</v>
      </c>
      <c r="N29" s="15">
        <v>4501</v>
      </c>
      <c r="O29" s="40" t="s">
        <v>102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98</v>
      </c>
      <c r="N30" s="15">
        <v>2426</v>
      </c>
      <c r="O30" s="40" t="s">
        <v>103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99</v>
      </c>
      <c r="N31" s="15">
        <v>2272</v>
      </c>
      <c r="O31" s="40" t="s">
        <v>103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100</v>
      </c>
      <c r="N32" s="15">
        <v>1500</v>
      </c>
      <c r="O32" s="40" t="s">
        <v>104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105</v>
      </c>
      <c r="N33" s="15">
        <v>15282</v>
      </c>
      <c r="O33" s="40" t="s">
        <v>106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G21" sqref="G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137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1103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23" t="s">
        <v>148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46151.801464004631</v>
      </c>
      <c r="C5">
        <f t="shared" ref="C5:C68" si="0">IF(ISNUMBER(E5), IF(ISNUMBER(C4), C4+1, 1), "")</f>
        <v>1</v>
      </c>
      <c r="D5" t="s">
        <v>139</v>
      </c>
      <c r="E5">
        <v>1</v>
      </c>
      <c r="F5">
        <v>20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>
        <f t="shared" si="0"/>
        <v>2</v>
      </c>
      <c r="D6" t="s">
        <v>140</v>
      </c>
      <c r="E6">
        <v>1</v>
      </c>
      <c r="F6">
        <v>120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120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>
        <f t="shared" si="0"/>
        <v>3</v>
      </c>
      <c r="D7" t="s">
        <v>141</v>
      </c>
      <c r="E7">
        <v>1</v>
      </c>
      <c r="F7">
        <v>15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>
        <f t="shared" si="0"/>
        <v>4</v>
      </c>
      <c r="D8" t="s">
        <v>142</v>
      </c>
      <c r="E8">
        <v>1</v>
      </c>
      <c r="F8">
        <v>15</v>
      </c>
      <c r="G8" t="s">
        <v>27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13.5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>
        <f t="shared" si="0"/>
        <v>5</v>
      </c>
      <c r="D9" t="s">
        <v>143</v>
      </c>
      <c r="E9">
        <v>1</v>
      </c>
      <c r="F9">
        <v>70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70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>
        <f t="shared" si="0"/>
        <v>6</v>
      </c>
      <c r="D10" t="s">
        <v>144</v>
      </c>
      <c r="E10">
        <v>1</v>
      </c>
      <c r="F10">
        <v>484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436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>
        <f t="shared" si="0"/>
        <v>7</v>
      </c>
      <c r="D11" t="s">
        <v>145</v>
      </c>
      <c r="E11">
        <v>1</v>
      </c>
      <c r="F11">
        <v>68</v>
      </c>
      <c r="G11" t="s">
        <v>27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61.5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>
        <f t="shared" si="0"/>
        <v>8</v>
      </c>
      <c r="D12" t="s">
        <v>108</v>
      </c>
      <c r="E12">
        <v>1</v>
      </c>
      <c r="F12">
        <v>291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262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>
        <f t="shared" si="0"/>
        <v>9</v>
      </c>
      <c r="D13" t="s">
        <v>146</v>
      </c>
      <c r="E13">
        <v>2</v>
      </c>
      <c r="F13">
        <v>11</v>
      </c>
      <c r="G13" t="s">
        <v>27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>
        <f t="shared" si="0"/>
        <v>10</v>
      </c>
      <c r="D14" t="s">
        <v>147</v>
      </c>
      <c r="E14">
        <v>1</v>
      </c>
      <c r="F14">
        <v>85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85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46151.801464004631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46151.801464004631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46151.801464004631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46151.801464004631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138</v>
      </c>
      <c r="N27" s="15">
        <v>5230</v>
      </c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46151.801464004631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46151.801464004631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46151.801464004631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46151.801464004631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46151.801464004631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46151.801464004631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46151.801464004631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46151.801464004631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46151.801464004631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46151.801464004631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46151.801464004631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46151.801464004631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46151.801464004631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46151.801464004631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46151.801464004631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46151.801464004631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46151.801464004631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46151.801464004631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46151.801464004631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46151.801464004631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46151.801464004631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46151.801464004631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46151.801464004631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46151.801464004631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46151.801464004631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46151.801464004631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04-05-26</vt:lpstr>
      <vt:lpstr>Martes 05-05-26</vt:lpstr>
      <vt:lpstr>Miercoles 06-05-26</vt:lpstr>
      <vt:lpstr>Jueves 07-05-26</vt:lpstr>
      <vt:lpstr>Viernes 08-05-26</vt:lpstr>
      <vt:lpstr>Sabado 09-05-26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2026-05-10T01:18:51Z</dcterms:modified>
</cp:coreProperties>
</file>