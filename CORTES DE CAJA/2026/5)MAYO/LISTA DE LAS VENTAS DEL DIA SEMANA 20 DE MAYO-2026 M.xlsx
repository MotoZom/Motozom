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6E97DAEA-EB4D-4FD2-880A-49BF5BB47B8B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18-05-26" sheetId="1" r:id="rId1"/>
    <sheet name="Martes 19-05-26" sheetId="2" r:id="rId2"/>
    <sheet name="Miercoles 20-05-26" sheetId="3" r:id="rId3"/>
    <sheet name="Jueves 221-05-26" sheetId="4" r:id="rId4"/>
    <sheet name="Viernes 21-05-26" sheetId="5" r:id="rId5"/>
    <sheet name="Sabado 23-05-26" sheetId="6" r:id="rId6"/>
    <sheet name="Domingo" sheetId="8" r:id="rId7"/>
    <sheet name="Cambios" sheetId="7" r:id="rId8"/>
  </sheets>
  <definedNames>
    <definedName name="_xlnm._FilterDatabase" localSheetId="0" hidden="1">'Lunes 18-05-26'!$B$4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<sst xmlns="http://schemas.openxmlformats.org/spreadsheetml/2006/main" count="359" uniqueCount="169">
  <si>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</si>
  <si>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</si>
  <si>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</si>
  <si>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</si>
  <si>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</si>
  <si>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</si>
  <si>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</si>
  <si>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</si>
  <si>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</si>
  <si>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</si>
  <si>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</si>
  <si>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</si>
  <si>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</si>
  <si>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</si>
  <si>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</si>
  <si>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</si>
  <si>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</si>
  <si>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</si>
  <si>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</si>
  <si>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</si>
  <si>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</si>
  <si>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</si>
  <si>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</si>
  <si>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</si>
  <si>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</si>
  <si>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18 DE MAYO-26</t>
  </si>
  <si>
    <t>BUJIA D8 NGK</t>
  </si>
  <si>
    <t xml:space="preserve">RENTA </t>
  </si>
  <si>
    <t>FOCO H4 LED</t>
  </si>
  <si>
    <t>MANIJA IZQUIERDA 150Z</t>
  </si>
  <si>
    <t xml:space="preserve">JUNTA DE ESTATOR </t>
  </si>
  <si>
    <t>X</t>
  </si>
  <si>
    <t xml:space="preserve">PILA WAPEMEX 12N6 6.5 </t>
  </si>
  <si>
    <t>STIKER</t>
  </si>
  <si>
    <t>BALERO 6004</t>
  </si>
  <si>
    <t>FUSIBLE</t>
  </si>
  <si>
    <t xml:space="preserve">CADENA 428 X 126 </t>
  </si>
  <si>
    <t xml:space="preserve">FUNDA PARA MOTO </t>
  </si>
  <si>
    <t xml:space="preserve">SEGURO DE PIÑON </t>
  </si>
  <si>
    <t>CAMARA 2.75.17</t>
  </si>
  <si>
    <t>LLANTA 2.75.17</t>
  </si>
  <si>
    <t>CHICOTE DE VELOCIMETRO WS150</t>
  </si>
  <si>
    <t>CHICOTE DE FRENO TRASERO WS150</t>
  </si>
  <si>
    <t>PILA PARA MOTONETA NASAKI</t>
  </si>
  <si>
    <t>TERMINAL DE BACTERIA</t>
  </si>
  <si>
    <t xml:space="preserve">FILTRO DE GASOLINA CARTON </t>
  </si>
  <si>
    <t>PEDIDO WAPEMEX</t>
  </si>
  <si>
    <t>ACEITE REPSOL</t>
  </si>
  <si>
    <t>FOCO SE STOP</t>
  </si>
  <si>
    <t>BANDA 743-20-30 WAPEMEX</t>
  </si>
  <si>
    <t>FILTRO DE AIRE CS125</t>
  </si>
  <si>
    <t xml:space="preserve">GRAPAS Y PIJAS </t>
  </si>
  <si>
    <t xml:space="preserve">SELLADOR DE ROSCA ALTA RESSTENCIA </t>
  </si>
  <si>
    <t xml:space="preserve">TOTAL </t>
  </si>
  <si>
    <t xml:space="preserve">CUENTA SEMANA PASADA $ 16036.5 MENOS $ 4076 DE RENTA Y PEDIDO DE WAPEMEX QUEDA $ 11960.5 </t>
  </si>
  <si>
    <t xml:space="preserve">AUXILIARES DE BUHO </t>
  </si>
  <si>
    <t xml:space="preserve">CADENA 520 FUE PARA DANIEL </t>
  </si>
  <si>
    <t>BALATA DE TAMBOR DS150</t>
  </si>
  <si>
    <t>Martes 19 DE MAYO-26</t>
  </si>
  <si>
    <t>BUJIA C7</t>
  </si>
  <si>
    <t xml:space="preserve">ACEITE AKRON </t>
  </si>
  <si>
    <t>FILTRO DE AIRE DM200</t>
  </si>
  <si>
    <t xml:space="preserve">FILTRO DE CARTON GASOLINA </t>
  </si>
  <si>
    <t xml:space="preserve">PASTAS </t>
  </si>
  <si>
    <t>RAYOS DELANTEROS DM200</t>
  </si>
  <si>
    <t xml:space="preserve">MANGUERA DE GASOLINA </t>
  </si>
  <si>
    <t>DIRECCIONALES TRASERAS WS175 SPORT</t>
  </si>
  <si>
    <t xml:space="preserve">CHCICOTE DE CLUTH UNIVERSAL </t>
  </si>
  <si>
    <t>ACEITE MOTUL 5000</t>
  </si>
  <si>
    <t>BUJIA C9</t>
  </si>
  <si>
    <t>FILTRO DE ACEI ZUZUKI125</t>
  </si>
  <si>
    <t>TORNILLOS</t>
  </si>
  <si>
    <t>ACEITE LUBER</t>
  </si>
  <si>
    <t>BUJIA D8</t>
  </si>
  <si>
    <t>AMORTIGUADOR DE VENTO CROXMAS</t>
  </si>
  <si>
    <t>AORCADOR DE CLUTH</t>
  </si>
  <si>
    <t>BALERO 6302</t>
  </si>
  <si>
    <t xml:space="preserve">GOMA DE POSAPIE </t>
  </si>
  <si>
    <t>Miercoles 20 DE MAYO-26</t>
  </si>
  <si>
    <t>CUBRE POLVO PARA BARRAS WS150</t>
  </si>
  <si>
    <t xml:space="preserve">PEDIDO DE OSCAR </t>
  </si>
  <si>
    <t xml:space="preserve">TORNILLO CABEZA </t>
  </si>
  <si>
    <t>RETEN 37-50-11</t>
  </si>
  <si>
    <t>BALATS DE DS150</t>
  </si>
  <si>
    <t xml:space="preserve">ARNES PRINCIPAL FT125 WAPEMEX </t>
  </si>
  <si>
    <t>SWUITH UNIVERSAL</t>
  </si>
  <si>
    <t xml:space="preserve">ESPEJOS DE FT150 ITALIKA </t>
  </si>
  <si>
    <t>CHCICOTED E CLUTH FZ16</t>
  </si>
  <si>
    <t xml:space="preserve">CUENTA DE SEMANA PASADA $ 11960.5 MENOS $ 440 DE PEDIDO OSCAR QUEDA $ 11520.5 </t>
  </si>
  <si>
    <t>GOMA DE CALIPER</t>
  </si>
  <si>
    <t>TIRA LED</t>
  </si>
  <si>
    <t>ARBOL DE LEVAS FT150</t>
  </si>
  <si>
    <t>JUNTA DE CILINDRO FT150</t>
  </si>
  <si>
    <t>VALVULA DE MOTRO FT150</t>
  </si>
  <si>
    <t>RETEN 34-50-11</t>
  </si>
  <si>
    <t>JUNTA DE FT150 CARTEL</t>
  </si>
  <si>
    <t>LLANTA 110-70-17</t>
  </si>
  <si>
    <t>Jueves 21 DE MAYO-26</t>
  </si>
  <si>
    <t>FILTRO DE GASOLINA PIEDRA</t>
  </si>
  <si>
    <t>BUJE DE SPROKET FT150</t>
  </si>
  <si>
    <t>FILTRO DE AIRE D125</t>
  </si>
  <si>
    <t>RETEN DE VALVULA DS150</t>
  </si>
  <si>
    <t xml:space="preserve">MANDO DERECHO ROKEMAN </t>
  </si>
  <si>
    <t>Viernes 21 DE MAYO-26</t>
  </si>
  <si>
    <t>MERCADO</t>
  </si>
  <si>
    <t>P.NASAKI</t>
  </si>
  <si>
    <t>RENTA</t>
  </si>
  <si>
    <t>P.WAPEM</t>
  </si>
  <si>
    <t>LUNES 18 DE MAYO-26</t>
  </si>
  <si>
    <t>P.OSCAR</t>
  </si>
  <si>
    <t>MIERCOLES 20 DE MAYO-26</t>
  </si>
  <si>
    <t xml:space="preserve">JUEVES 21 DE MAYO-26 </t>
  </si>
  <si>
    <t xml:space="preserve">FUSIBLES </t>
  </si>
  <si>
    <t>PAGOYAS</t>
  </si>
  <si>
    <t>VIERNES 22 DE MAYO-26</t>
  </si>
  <si>
    <t>TOTAL</t>
  </si>
  <si>
    <t xml:space="preserve">AUMENTO DE AMORTIGUADOR </t>
  </si>
  <si>
    <t>TORNILLO</t>
  </si>
  <si>
    <t>GOMA DE PARADOR CENTAL</t>
  </si>
  <si>
    <t>AJUSTADOR DE CADENA DM200</t>
  </si>
  <si>
    <t xml:space="preserve">LUBRICANTE DE CADENA </t>
  </si>
  <si>
    <t xml:space="preserve">CANDADO 520 </t>
  </si>
  <si>
    <t>CAMARA3.0017</t>
  </si>
  <si>
    <t>CAMARA 3.0018</t>
  </si>
  <si>
    <t>TAPON DE GASOLINA  FT150</t>
  </si>
  <si>
    <t>SWITH UNIVERSAL TORNILLO</t>
  </si>
  <si>
    <t xml:space="preserve">CUENTA DE SEMANA PASADA$ 11520.5 MENOS $ 4278 DE PEDIDO DE MERCADO QUEDA $ 7242.5  MENOS $ 5136 DE PEDIDO DE NASAKI$ 2106.5 </t>
  </si>
  <si>
    <t>ACEITE MOTUL 3000</t>
  </si>
  <si>
    <t>GOMAS DE IMPACTO FT150</t>
  </si>
  <si>
    <t>RESORTE DE PATA FT150</t>
  </si>
  <si>
    <t>CLUTH COMPLETO FT150</t>
  </si>
  <si>
    <t>LEVA DE FRENO FT150</t>
  </si>
  <si>
    <t>JUNTA CE CLUTH FT150</t>
  </si>
  <si>
    <t>JUNTAS DE MOTRO DM200</t>
  </si>
  <si>
    <t>TAZAS DE DIRECCION FT150</t>
  </si>
  <si>
    <t>RETEN DE SUSPENSIÓN 31-43-10.5</t>
  </si>
  <si>
    <t>BALATA TRASERA PARA PULSAR 160NS</t>
  </si>
  <si>
    <t xml:space="preserve">EXPRORADORAS DE LUPA </t>
  </si>
  <si>
    <t>REPUESTO DE CARBURADOR DS150</t>
  </si>
  <si>
    <t>BUJE DE MOTONETA</t>
  </si>
  <si>
    <t>KID DE CILINDRO DM200 WAPEMEX</t>
  </si>
  <si>
    <t>VALVULAS DE MOTOR  DM200</t>
  </si>
  <si>
    <t>RETEN DE VALVULAS FT150</t>
  </si>
  <si>
    <t xml:space="preserve">TROMPA DE ELEFANTE </t>
  </si>
  <si>
    <t xml:space="preserve">DIRECCIONALES UNIVERSALES </t>
  </si>
  <si>
    <t xml:space="preserve">MANGUERA DE FRENO UNIVERSAL </t>
  </si>
  <si>
    <t>CHCICOTE DE CLUTH FT150 WAPEMEX</t>
  </si>
  <si>
    <t>SALPICADERA DELANTERA FT150</t>
  </si>
  <si>
    <r>
      <rPr>
        <b/>
        <sz val="14"/>
        <color theme="1"/>
        <rFont val="Calibri"/>
        <family val="2"/>
        <scheme val="minor"/>
      </rPr>
      <t xml:space="preserve">CORTES DE LA SEMANA   SEMANA PASADA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18 DE MAYO-26                     $16036.5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$ 3863               MENOS$15430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MARTES 19 DE MAYO-26                 $ 606.5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$ 2697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20 DE MAYO-26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VENTA$ 2299.5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21 DE MAYO-26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$ 1947.5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VIERNES 22 DE MAYO-26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$ 2133.5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 xml:space="preserve">TOTAL $12940.5 
TOTAL EN CAJA $ 13547 </t>
    </r>
  </si>
  <si>
    <t>Sabado 23 DE MAYO-26</t>
  </si>
  <si>
    <t>BOMBA DE FRENO ATV 150</t>
  </si>
  <si>
    <t>MANIJA IZQUIERDA DE SZ150</t>
  </si>
  <si>
    <t>PILA 12N9 3B CUATRIMOTO</t>
  </si>
  <si>
    <t>BALATA DE DISCO 150Z</t>
  </si>
  <si>
    <t>CAMARA 80-100-21</t>
  </si>
  <si>
    <t>RAYO DELANTERO DM200</t>
  </si>
  <si>
    <t xml:space="preserve">FARO DE FT150 </t>
  </si>
  <si>
    <t xml:space="preserve">VELOCIMETRO DIGITAL </t>
  </si>
  <si>
    <t xml:space="preserve">DIRECCIONAL UNIVERSAL </t>
  </si>
  <si>
    <t>FILTRO DE AIRE FT200</t>
  </si>
  <si>
    <t>FILTRO DE ACEI FZ16</t>
  </si>
  <si>
    <t xml:space="preserve">ACEITE YAMALUBE </t>
  </si>
  <si>
    <t>PEDAL  DE ARRANQUE FT150</t>
  </si>
  <si>
    <t xml:space="preserve">PUÑOS AZULES </t>
  </si>
  <si>
    <t>JUNTA DE CARTER FT150</t>
  </si>
  <si>
    <t>PORTA SPROKET FT150</t>
  </si>
  <si>
    <t>FILTRO DE AIRE FT125</t>
  </si>
  <si>
    <t>CAMARA 130-90-10</t>
  </si>
  <si>
    <r>
      <t xml:space="preserve">CUENTA DE HOY SABADO $ 3618  MENOS $ 300 DE PAGO DE YAS QUEDA $3318 MAS LO DE CAJA TOTAL DE AYER $ 13547
</t>
    </r>
    <r>
      <rPr>
        <b/>
        <sz val="22"/>
        <color theme="1"/>
        <rFont val="Calibri"/>
        <family val="2"/>
        <scheme val="minor"/>
      </rPr>
      <t>TOTAL EN CAJA $ 16865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</si>
</sst>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5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36" sqref="D3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25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17</v>
      </c>
      <c r="K3" s="6">
        <f>SUM(Tabla1[Importa])</f>
        <v>3863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31</v>
      </c>
      <c r="M4" s="36" t="s">
        <v>54</v>
      </c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46165.80650914352</v>
      </c>
      <c r="C5">
        <f>IF(ISNUMBER(E5), IF(ISNUMBER(C4), C4+1, 1), "")</f>
        <v>1</v>
      </c>
      <c r="D5" t="s">
        <v>26</v>
      </c>
      <c r="E5">
        <v>5</v>
      </c>
      <c r="F5">
        <v>50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250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46165.80650914352</v>
      </c>
      <c r="C6">
        <f t="shared" ref="C6:C36" si="0">IF(ISNUMBER(E6), IF(ISNUMBER(C5), C5+1, 1), "")</f>
        <v>2</v>
      </c>
      <c r="D6" t="s">
        <v>56</v>
      </c>
      <c r="E6">
        <v>1</v>
      </c>
      <c r="F6">
        <v>500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500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46165.80650914352</v>
      </c>
      <c r="C7">
        <f t="shared" si="0"/>
        <v>3</v>
      </c>
      <c r="D7" t="s">
        <v>28</v>
      </c>
      <c r="E7">
        <v>1</v>
      </c>
      <c r="F7">
        <v>150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150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46165.80650914352</v>
      </c>
      <c r="C8">
        <f t="shared" si="0"/>
        <v>4</v>
      </c>
      <c r="D8" t="s">
        <v>29</v>
      </c>
      <c r="E8">
        <v>1</v>
      </c>
      <c r="F8">
        <v>35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35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46165.80650914352</v>
      </c>
      <c r="C9">
        <f t="shared" si="0"/>
        <v>5</v>
      </c>
      <c r="D9" t="s">
        <v>30</v>
      </c>
      <c r="E9">
        <v>1</v>
      </c>
      <c r="F9">
        <v>24</v>
      </c>
      <c r="G9" t="s">
        <v>31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22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46165.80650914352</v>
      </c>
      <c r="C10">
        <f t="shared" si="0"/>
        <v>6</v>
      </c>
      <c r="D10" t="s">
        <v>32</v>
      </c>
      <c r="E10">
        <v>1</v>
      </c>
      <c r="F10">
        <v>478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478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46165.80650914352</v>
      </c>
      <c r="C11">
        <f t="shared" si="0"/>
        <v>7</v>
      </c>
      <c r="D11" t="s">
        <v>33</v>
      </c>
      <c r="E11">
        <v>3</v>
      </c>
      <c r="F11">
        <v>5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15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46165.80650914352</v>
      </c>
      <c r="C12">
        <f t="shared" si="0"/>
        <v>8</v>
      </c>
      <c r="D12" t="s">
        <v>35</v>
      </c>
      <c r="E12">
        <v>1</v>
      </c>
      <c r="F12">
        <v>3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3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46165.80650914352</v>
      </c>
      <c r="C13">
        <f t="shared" si="0"/>
        <v>9</v>
      </c>
      <c r="D13" t="s">
        <v>34</v>
      </c>
      <c r="E13">
        <v>1</v>
      </c>
      <c r="F13">
        <v>30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30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46165.80650914352</v>
      </c>
      <c r="C14">
        <f t="shared" si="0"/>
        <v>10</v>
      </c>
      <c r="D14" t="s">
        <v>36</v>
      </c>
      <c r="E14">
        <v>1</v>
      </c>
      <c r="F14">
        <v>185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185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46165.80650914352</v>
      </c>
      <c r="C15">
        <f t="shared" si="0"/>
        <v>11</v>
      </c>
      <c r="D15" t="s">
        <v>37</v>
      </c>
      <c r="E15">
        <v>1</v>
      </c>
      <c r="F15">
        <v>300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300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46165.80650914352</v>
      </c>
      <c r="C16">
        <f t="shared" si="0"/>
        <v>12</v>
      </c>
      <c r="D16" t="s">
        <v>38</v>
      </c>
      <c r="E16">
        <v>1</v>
      </c>
      <c r="F16">
        <v>15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15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46165.80650914352</v>
      </c>
      <c r="C17">
        <f t="shared" si="0"/>
        <v>13</v>
      </c>
      <c r="D17" t="s">
        <v>39</v>
      </c>
      <c r="E17">
        <v>1</v>
      </c>
      <c r="F17">
        <v>100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100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46165.80650914352</v>
      </c>
      <c r="C18">
        <f t="shared" si="0"/>
        <v>14</v>
      </c>
      <c r="D18" t="s">
        <v>40</v>
      </c>
      <c r="E18">
        <v>1</v>
      </c>
      <c r="F18">
        <v>400</v>
      </c>
      <c r="G18" t="s">
        <v>31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360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46165.80650914352</v>
      </c>
      <c r="C19">
        <f t="shared" si="0"/>
        <v>15</v>
      </c>
      <c r="D19" t="s">
        <v>41</v>
      </c>
      <c r="E19">
        <v>1</v>
      </c>
      <c r="F19">
        <v>40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40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46165.80650914352</v>
      </c>
      <c r="C20">
        <f t="shared" si="0"/>
        <v>16</v>
      </c>
      <c r="D20" t="s">
        <v>42</v>
      </c>
      <c r="E20">
        <v>1</v>
      </c>
      <c r="F20">
        <v>52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52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46165.80650914352</v>
      </c>
      <c r="C21">
        <f t="shared" si="0"/>
        <v>17</v>
      </c>
      <c r="D21" t="s">
        <v>43</v>
      </c>
      <c r="E21">
        <v>1</v>
      </c>
      <c r="F21">
        <v>500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500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46165.80650914352</v>
      </c>
      <c r="C22">
        <f t="shared" si="0"/>
        <v>18</v>
      </c>
      <c r="D22" t="s">
        <v>44</v>
      </c>
      <c r="E22">
        <v>2</v>
      </c>
      <c r="F22">
        <v>5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10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46165.80650914352</v>
      </c>
      <c r="C23">
        <f t="shared" si="0"/>
        <v>19</v>
      </c>
      <c r="D23" t="s">
        <v>45</v>
      </c>
      <c r="E23">
        <v>1</v>
      </c>
      <c r="F23">
        <v>15</v>
      </c>
      <c r="G23" t="s">
        <v>31</v>
      </c>
      <c r="H23" s="5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>13.5</v>
      </c>
    </row>
    <row r="24" spans="2:18" ht="15" customHeight="1" x14ac:dyDescent="0.25">
      <c r="B24" s="18">
        <f ca="1">IF(Tabla1[[#This Row],['#]]&lt;&gt;"", NOW(), "")</f>
        <v>46165.80650914352</v>
      </c>
      <c r="C24">
        <f t="shared" si="0"/>
        <v>20</v>
      </c>
      <c r="D24" t="s">
        <v>45</v>
      </c>
      <c r="E24">
        <v>1</v>
      </c>
      <c r="F24">
        <v>15</v>
      </c>
      <c r="G24" t="s">
        <v>31</v>
      </c>
      <c r="H24" s="5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>13.5</v>
      </c>
      <c r="M24" s="32" t="s">
        <v>19</v>
      </c>
      <c r="N24" s="32"/>
      <c r="O24" s="32"/>
      <c r="P24" s="32"/>
      <c r="Q24" s="32"/>
      <c r="R24" s="32"/>
    </row>
    <row r="25" spans="2:18" x14ac:dyDescent="0.25">
      <c r="B25" s="18">
        <f ca="1">IF(Tabla1[[#This Row],['#]]&lt;&gt;"", NOW(), "")</f>
        <v>46165.80650914352</v>
      </c>
      <c r="C25">
        <f t="shared" si="0"/>
        <v>21</v>
      </c>
      <c r="D25" t="s">
        <v>45</v>
      </c>
      <c r="E25">
        <v>1</v>
      </c>
      <c r="F25">
        <v>15</v>
      </c>
      <c r="G25" t="s">
        <v>31</v>
      </c>
      <c r="H25" s="5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>13.5</v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>
        <f ca="1">IF(Tabla1[[#This Row],['#]]&lt;&gt;"", NOW(), "")</f>
        <v>46165.80650914352</v>
      </c>
      <c r="C26">
        <f t="shared" si="0"/>
        <v>22</v>
      </c>
      <c r="D26" t="s">
        <v>47</v>
      </c>
      <c r="E26">
        <v>1</v>
      </c>
      <c r="F26">
        <v>147</v>
      </c>
      <c r="H26" s="5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>147</v>
      </c>
      <c r="M26" s="31" t="s">
        <v>20</v>
      </c>
      <c r="N26" s="31"/>
      <c r="O26" s="14" t="s">
        <v>21</v>
      </c>
      <c r="P26" s="31" t="s">
        <v>22</v>
      </c>
      <c r="Q26" s="31"/>
      <c r="R26" s="31"/>
    </row>
    <row r="27" spans="2:18" x14ac:dyDescent="0.25">
      <c r="B27" s="18">
        <f ca="1">IF(Tabla1[[#This Row],['#]]&lt;&gt;"", NOW(), "")</f>
        <v>46165.80650914352</v>
      </c>
      <c r="C27">
        <f t="shared" si="0"/>
        <v>23</v>
      </c>
      <c r="D27" t="s">
        <v>48</v>
      </c>
      <c r="E27">
        <v>1</v>
      </c>
      <c r="F27">
        <v>20</v>
      </c>
      <c r="H27" s="5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>20</v>
      </c>
      <c r="M27" s="19" t="s">
        <v>27</v>
      </c>
      <c r="N27" s="20"/>
      <c r="O27" s="23">
        <v>1550</v>
      </c>
      <c r="P27" s="25"/>
      <c r="Q27" s="26"/>
      <c r="R27" s="27"/>
    </row>
    <row r="28" spans="2:18" x14ac:dyDescent="0.25">
      <c r="B28" s="18">
        <f ca="1">IF(Tabla1[[#This Row],['#]]&lt;&gt;"", NOW(), "")</f>
        <v>46165.80650914352</v>
      </c>
      <c r="C28">
        <f t="shared" si="0"/>
        <v>24</v>
      </c>
      <c r="D28" t="s">
        <v>49</v>
      </c>
      <c r="E28">
        <v>1</v>
      </c>
      <c r="F28">
        <v>110</v>
      </c>
      <c r="G28" t="s">
        <v>31</v>
      </c>
      <c r="H28" s="5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>99</v>
      </c>
      <c r="M28" s="21"/>
      <c r="N28" s="22"/>
      <c r="O28" s="24"/>
      <c r="P28" s="28"/>
      <c r="Q28" s="29"/>
      <c r="R28" s="30"/>
    </row>
    <row r="29" spans="2:18" x14ac:dyDescent="0.25">
      <c r="B29" s="18">
        <f ca="1">IF(Tabla1[[#This Row],['#]]&lt;&gt;"", NOW(), "")</f>
        <v>46165.80650914352</v>
      </c>
      <c r="C29">
        <f t="shared" si="0"/>
        <v>25</v>
      </c>
      <c r="D29" t="s">
        <v>50</v>
      </c>
      <c r="E29">
        <v>1</v>
      </c>
      <c r="F29">
        <v>60</v>
      </c>
      <c r="G29" t="s">
        <v>31</v>
      </c>
      <c r="H29" s="5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>54</v>
      </c>
      <c r="M29" s="19" t="s">
        <v>46</v>
      </c>
      <c r="N29" s="20"/>
      <c r="O29" s="23">
        <v>2526</v>
      </c>
      <c r="P29" s="25"/>
      <c r="Q29" s="26"/>
      <c r="R29" s="27"/>
    </row>
    <row r="30" spans="2:18" x14ac:dyDescent="0.25">
      <c r="B30" s="18">
        <f ca="1">IF(Tabla1[[#This Row],['#]]&lt;&gt;"", NOW(), "")</f>
        <v>46165.80650914352</v>
      </c>
      <c r="C30">
        <f t="shared" si="0"/>
        <v>26</v>
      </c>
      <c r="D30" t="s">
        <v>51</v>
      </c>
      <c r="E30">
        <v>2</v>
      </c>
      <c r="F30">
        <v>20</v>
      </c>
      <c r="G30" t="s">
        <v>31</v>
      </c>
      <c r="H30" s="5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>36</v>
      </c>
      <c r="M30" s="21"/>
      <c r="N30" s="22"/>
      <c r="O30" s="24"/>
      <c r="P30" s="28"/>
      <c r="Q30" s="29"/>
      <c r="R30" s="30"/>
    </row>
    <row r="31" spans="2:18" x14ac:dyDescent="0.25">
      <c r="B31" s="18">
        <f ca="1">IF(Tabla1[[#This Row],['#]]&lt;&gt;"", NOW(), "")</f>
        <v>46165.80650914352</v>
      </c>
      <c r="C31">
        <f t="shared" si="0"/>
        <v>27</v>
      </c>
      <c r="D31" t="s">
        <v>52</v>
      </c>
      <c r="E31">
        <v>1</v>
      </c>
      <c r="F31">
        <v>120</v>
      </c>
      <c r="G31" t="s">
        <v>31</v>
      </c>
      <c r="H31" s="5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>108</v>
      </c>
      <c r="M31" s="19" t="s">
        <v>53</v>
      </c>
      <c r="N31" s="20"/>
      <c r="O31" s="23">
        <v>4076</v>
      </c>
      <c r="P31" s="25"/>
      <c r="Q31" s="26"/>
      <c r="R31" s="27"/>
    </row>
    <row r="32" spans="2:18" x14ac:dyDescent="0.25">
      <c r="B32" s="18">
        <f ca="1">IF(Tabla1[[#This Row],['#]]&lt;&gt;"", NOW(), "")</f>
        <v>46165.80650914352</v>
      </c>
      <c r="C32">
        <f t="shared" si="0"/>
        <v>28</v>
      </c>
      <c r="D32" t="s">
        <v>55</v>
      </c>
      <c r="E32">
        <v>1</v>
      </c>
      <c r="F32">
        <v>190</v>
      </c>
      <c r="H32" s="5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>190</v>
      </c>
      <c r="M32" s="21"/>
      <c r="N32" s="22"/>
      <c r="O32" s="24"/>
      <c r="P32" s="28"/>
      <c r="Q32" s="29"/>
      <c r="R32" s="30"/>
    </row>
    <row r="33" spans="2:18" x14ac:dyDescent="0.25">
      <c r="B33" s="18">
        <f ca="1">IF(Tabla1[[#This Row],['#]]&lt;&gt;"", NOW(), "")</f>
        <v>46165.80650914352</v>
      </c>
      <c r="C33">
        <f t="shared" si="0"/>
        <v>29</v>
      </c>
      <c r="D33" t="s">
        <v>33</v>
      </c>
      <c r="E33">
        <v>2</v>
      </c>
      <c r="F33">
        <v>5</v>
      </c>
      <c r="H33" s="5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>10</v>
      </c>
      <c r="M33" s="19"/>
      <c r="N33" s="20"/>
      <c r="O33" s="23"/>
      <c r="P33" s="25"/>
      <c r="Q33" s="26"/>
      <c r="R33" s="27"/>
    </row>
    <row r="34" spans="2:18" x14ac:dyDescent="0.25">
      <c r="B34" s="18">
        <f ca="1">IF(Tabla1[[#This Row],['#]]&lt;&gt;"", NOW(), "")</f>
        <v>46165.80650914352</v>
      </c>
      <c r="C34">
        <f t="shared" si="0"/>
        <v>30</v>
      </c>
      <c r="D34" t="s">
        <v>34</v>
      </c>
      <c r="E34">
        <v>1</v>
      </c>
      <c r="F34">
        <v>30</v>
      </c>
      <c r="G34" t="s">
        <v>31</v>
      </c>
      <c r="H34" s="5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>27</v>
      </c>
      <c r="M34" s="21"/>
      <c r="N34" s="22"/>
      <c r="O34" s="24"/>
      <c r="P34" s="28"/>
      <c r="Q34" s="29"/>
      <c r="R34" s="30"/>
    </row>
    <row r="35" spans="2:18" x14ac:dyDescent="0.25">
      <c r="B35" s="18">
        <f ca="1">IF(Tabla1[[#This Row],['#]]&lt;&gt;"", NOW(), "")</f>
        <v>46165.80650914352</v>
      </c>
      <c r="C35">
        <f t="shared" si="0"/>
        <v>31</v>
      </c>
      <c r="D35" t="s">
        <v>57</v>
      </c>
      <c r="E35">
        <v>1</v>
      </c>
      <c r="F35">
        <v>96</v>
      </c>
      <c r="G35" t="s">
        <v>31</v>
      </c>
      <c r="H35" s="5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>86.5</v>
      </c>
      <c r="M35" s="19"/>
      <c r="N35" s="20"/>
      <c r="O35" s="23"/>
      <c r="P35" s="25"/>
      <c r="Q35" s="26"/>
      <c r="R35" s="27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26" sqref="D2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58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SUM(Tabla110[Importa])</f>
        <v>2697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21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46165.80650914352</v>
      </c>
      <c r="C5">
        <f t="shared" ref="C5:C68" si="0">IF(ISNUMBER(E5), IF(ISNUMBER(C4), C4+1, 1), "")</f>
        <v>1</v>
      </c>
      <c r="D5" t="s">
        <v>59</v>
      </c>
      <c r="E5">
        <v>1</v>
      </c>
      <c r="F5">
        <v>50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50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46165.80650914352</v>
      </c>
      <c r="C6">
        <f t="shared" si="0"/>
        <v>2</v>
      </c>
      <c r="D6" t="s">
        <v>60</v>
      </c>
      <c r="E6">
        <v>1</v>
      </c>
      <c r="F6">
        <v>123</v>
      </c>
      <c r="G6" t="s">
        <v>31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117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46165.80650914352</v>
      </c>
      <c r="C7">
        <f t="shared" si="0"/>
        <v>3</v>
      </c>
      <c r="D7" t="s">
        <v>61</v>
      </c>
      <c r="E7">
        <v>1</v>
      </c>
      <c r="F7">
        <v>71</v>
      </c>
      <c r="G7" t="s">
        <v>31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64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46165.80650914352</v>
      </c>
      <c r="C8">
        <f t="shared" si="0"/>
        <v>4</v>
      </c>
      <c r="D8" t="s">
        <v>59</v>
      </c>
      <c r="E8">
        <v>1</v>
      </c>
      <c r="F8">
        <v>50</v>
      </c>
      <c r="G8" t="s">
        <v>31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45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46165.80650914352</v>
      </c>
      <c r="C9">
        <f t="shared" si="0"/>
        <v>5</v>
      </c>
      <c r="D9" t="s">
        <v>62</v>
      </c>
      <c r="E9">
        <v>2</v>
      </c>
      <c r="F9">
        <v>15</v>
      </c>
      <c r="G9" t="s">
        <v>31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27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46165.80650914352</v>
      </c>
      <c r="C10">
        <f t="shared" si="0"/>
        <v>6</v>
      </c>
      <c r="D10" t="s">
        <v>63</v>
      </c>
      <c r="E10">
        <v>1</v>
      </c>
      <c r="F10">
        <v>130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130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46165.80650914352</v>
      </c>
      <c r="C11">
        <f t="shared" si="0"/>
        <v>7</v>
      </c>
      <c r="D11" t="s">
        <v>64</v>
      </c>
      <c r="E11">
        <v>1</v>
      </c>
      <c r="F11">
        <v>190</v>
      </c>
      <c r="G11" t="s">
        <v>31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171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46165.80650914352</v>
      </c>
      <c r="C12">
        <f t="shared" si="0"/>
        <v>8</v>
      </c>
      <c r="D12" t="s">
        <v>65</v>
      </c>
      <c r="E12">
        <v>2</v>
      </c>
      <c r="F12">
        <v>30</v>
      </c>
      <c r="G12" t="s">
        <v>31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54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46165.80650914352</v>
      </c>
      <c r="C13">
        <f t="shared" si="0"/>
        <v>9</v>
      </c>
      <c r="D13" t="s">
        <v>66</v>
      </c>
      <c r="E13">
        <v>1</v>
      </c>
      <c r="F13">
        <v>231</v>
      </c>
      <c r="G13" t="s">
        <v>31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208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46165.80650914352</v>
      </c>
      <c r="C14">
        <f t="shared" si="0"/>
        <v>10</v>
      </c>
      <c r="D14" t="s">
        <v>67</v>
      </c>
      <c r="E14">
        <v>1</v>
      </c>
      <c r="F14">
        <v>15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15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46165.80650914352</v>
      </c>
      <c r="C15">
        <f t="shared" si="0"/>
        <v>11</v>
      </c>
      <c r="D15" t="s">
        <v>68</v>
      </c>
      <c r="E15">
        <v>1</v>
      </c>
      <c r="F15">
        <v>232</v>
      </c>
      <c r="G15" t="s">
        <v>31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220.5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46165.80650914352</v>
      </c>
      <c r="C16">
        <f t="shared" si="0"/>
        <v>12</v>
      </c>
      <c r="D16" t="s">
        <v>69</v>
      </c>
      <c r="E16">
        <v>2</v>
      </c>
      <c r="F16">
        <v>50</v>
      </c>
      <c r="G16" t="s">
        <v>31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90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46165.80650914352</v>
      </c>
      <c r="C17">
        <f t="shared" si="0"/>
        <v>13</v>
      </c>
      <c r="D17" t="s">
        <v>70</v>
      </c>
      <c r="E17">
        <v>1</v>
      </c>
      <c r="F17">
        <v>25</v>
      </c>
      <c r="G17" t="s">
        <v>31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22.5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46165.80650914352</v>
      </c>
      <c r="C18">
        <f t="shared" si="0"/>
        <v>14</v>
      </c>
      <c r="D18" t="s">
        <v>71</v>
      </c>
      <c r="E18">
        <v>6</v>
      </c>
      <c r="F18">
        <v>6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36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46165.80650914352</v>
      </c>
      <c r="C19">
        <f t="shared" si="0"/>
        <v>15</v>
      </c>
      <c r="D19" t="s">
        <v>72</v>
      </c>
      <c r="E19">
        <v>1</v>
      </c>
      <c r="F19">
        <v>90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90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46165.80650914352</v>
      </c>
      <c r="C20">
        <f t="shared" si="0"/>
        <v>16</v>
      </c>
      <c r="D20" t="s">
        <v>73</v>
      </c>
      <c r="E20">
        <v>1</v>
      </c>
      <c r="F20">
        <v>50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50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46165.80650914352</v>
      </c>
      <c r="C21">
        <f t="shared" si="0"/>
        <v>17</v>
      </c>
      <c r="D21" t="s">
        <v>74</v>
      </c>
      <c r="E21">
        <v>1</v>
      </c>
      <c r="F21">
        <v>1200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1200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46165.80650914352</v>
      </c>
      <c r="C22">
        <f t="shared" si="0"/>
        <v>18</v>
      </c>
      <c r="D22" t="s">
        <v>75</v>
      </c>
      <c r="E22">
        <v>1</v>
      </c>
      <c r="F22">
        <v>5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5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46165.80650914352</v>
      </c>
      <c r="C23">
        <f t="shared" si="0"/>
        <v>19</v>
      </c>
      <c r="D23" t="s">
        <v>75</v>
      </c>
      <c r="E23">
        <v>1</v>
      </c>
      <c r="F23">
        <v>5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5</v>
      </c>
    </row>
    <row r="24" spans="2:18" ht="15" customHeight="1" x14ac:dyDescent="0.25">
      <c r="B24" s="18">
        <f ca="1">IF(Tabla1[[#This Row],['#]]&lt;&gt;"", NOW(), "")</f>
        <v>46165.80650914352</v>
      </c>
      <c r="C24">
        <f t="shared" si="0"/>
        <v>20</v>
      </c>
      <c r="D24" t="s">
        <v>76</v>
      </c>
      <c r="E24">
        <v>1</v>
      </c>
      <c r="F24">
        <v>30</v>
      </c>
      <c r="G24" t="s">
        <v>31</v>
      </c>
      <c r="H24" s="5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>27</v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>
        <f ca="1">IF(Tabla1[[#This Row],['#]]&lt;&gt;"", NOW(), "")</f>
        <v>46165.80650914352</v>
      </c>
      <c r="C25">
        <f t="shared" si="0"/>
        <v>21</v>
      </c>
      <c r="D25" t="s">
        <v>77</v>
      </c>
      <c r="E25">
        <v>2</v>
      </c>
      <c r="F25">
        <v>35</v>
      </c>
      <c r="H25" s="5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>70</v>
      </c>
      <c r="M25" s="37"/>
      <c r="N25" s="37"/>
      <c r="O25" s="37"/>
      <c r="P25" s="37"/>
      <c r="Q25" s="37"/>
      <c r="R25" s="37"/>
    </row>
    <row r="26" spans="2:18" x14ac:dyDescent="0.25">
      <c r="B26" s="18">
        <f ca="1">IF(Tabla1[[#This Row],['#]]&lt;&gt;"", NOW(), "")</f>
        <v>46165.80650914352</v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x14ac:dyDescent="0.25">
      <c r="B27" s="18">
        <f ca="1">IF(Tabla1[[#This Row],['#]]&lt;&gt;"", NOW(), "")</f>
        <v>46165.80650914352</v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x14ac:dyDescent="0.25">
      <c r="B28" s="18">
        <f ca="1">IF(Tabla1[[#This Row],['#]]&lt;&gt;"", NOW(), "")</f>
        <v>46165.80650914352</v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>
        <f ca="1">IF(Tabla1[[#This Row],['#]]&lt;&gt;"", NOW(), "")</f>
        <v>46165.80650914352</v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>
        <f ca="1">IF(Tabla1[[#This Row],['#]]&lt;&gt;"", NOW(), "")</f>
        <v>46165.80650914352</v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>
        <f ca="1">IF(Tabla1[[#This Row],['#]]&lt;&gt;"", NOW(), "")</f>
        <v>46165.80650914352</v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>
        <f ca="1">IF(Tabla1[[#This Row],['#]]&lt;&gt;"", NOW(), "")</f>
        <v>46165.80650914352</v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>
        <f ca="1">IF(Tabla1[[#This Row],['#]]&lt;&gt;"", NOW(), "")</f>
        <v>46165.80650914352</v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>
        <f ca="1">IF(Tabla1[[#This Row],['#]]&lt;&gt;"", NOW(), "")</f>
        <v>46165.80650914352</v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>
        <f ca="1">IF(Tabla1[[#This Row],['#]]&lt;&gt;"", NOW(), "")</f>
        <v>46165.80650914352</v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topLeftCell="A2" workbookViewId="0">
      <selection activeCell="D23" sqref="D2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78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SUM(Tabla111[Importa])</f>
        <v>2299.5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18</v>
      </c>
      <c r="M4" s="36" t="s">
        <v>88</v>
      </c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46165.80650914352</v>
      </c>
      <c r="C5">
        <f>IF(ISNUMBER(E5), IF(ISNUMBER(C4), C4+1, 1), "")</f>
        <v>1</v>
      </c>
      <c r="D5" t="s">
        <v>79</v>
      </c>
      <c r="E5">
        <v>1</v>
      </c>
      <c r="F5">
        <v>45</v>
      </c>
      <c r="G5" t="s">
        <v>31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40.5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46165.80650914352</v>
      </c>
      <c r="C6">
        <f>IF(ISNUMBER(E6), IF(ISNUMBER(C5), C5+1, 1), "")</f>
        <v>2</v>
      </c>
      <c r="D6" t="s">
        <v>81</v>
      </c>
      <c r="E6">
        <v>2</v>
      </c>
      <c r="F6">
        <v>30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60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46165.80650914352</v>
      </c>
      <c r="C7">
        <f>IF(ISNUMBER(E7), IF(ISNUMBER(C6), C6+1, 1), "")</f>
        <v>3</v>
      </c>
      <c r="D7" t="s">
        <v>47</v>
      </c>
      <c r="E7">
        <v>1</v>
      </c>
      <c r="F7">
        <v>147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147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46165.80650914352</v>
      </c>
      <c r="C8">
        <f t="shared" ref="C8:C68" si="0">IF(ISNUMBER(E8), IF(ISNUMBER(C7), C7+1, 1), "")</f>
        <v>4</v>
      </c>
      <c r="D8" t="s">
        <v>82</v>
      </c>
      <c r="E8">
        <v>1</v>
      </c>
      <c r="F8">
        <v>42</v>
      </c>
      <c r="G8" t="s">
        <v>31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38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46165.80650914352</v>
      </c>
      <c r="C9">
        <f t="shared" si="0"/>
        <v>5</v>
      </c>
      <c r="D9" t="s">
        <v>83</v>
      </c>
      <c r="E9">
        <v>1</v>
      </c>
      <c r="F9">
        <v>100</v>
      </c>
      <c r="G9" t="s">
        <v>31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90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46165.80650914352</v>
      </c>
      <c r="C10">
        <f t="shared" si="0"/>
        <v>6</v>
      </c>
      <c r="D10" t="s">
        <v>84</v>
      </c>
      <c r="E10">
        <v>1</v>
      </c>
      <c r="F10">
        <v>380</v>
      </c>
      <c r="G10" t="s">
        <v>31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342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46165.80650914352</v>
      </c>
      <c r="C11">
        <f t="shared" si="0"/>
        <v>7</v>
      </c>
      <c r="D11" t="s">
        <v>85</v>
      </c>
      <c r="E11">
        <v>1</v>
      </c>
      <c r="F11">
        <v>65</v>
      </c>
      <c r="G11" t="s">
        <v>31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58.5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46165.80650914352</v>
      </c>
      <c r="C12">
        <f t="shared" si="0"/>
        <v>8</v>
      </c>
      <c r="D12" t="s">
        <v>86</v>
      </c>
      <c r="E12">
        <v>1</v>
      </c>
      <c r="F12">
        <v>170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170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46165.80650914352</v>
      </c>
      <c r="C13">
        <f t="shared" si="0"/>
        <v>9</v>
      </c>
      <c r="D13" t="s">
        <v>87</v>
      </c>
      <c r="E13">
        <v>1</v>
      </c>
      <c r="F13">
        <v>85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85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46165.80650914352</v>
      </c>
      <c r="C14">
        <f t="shared" si="0"/>
        <v>10</v>
      </c>
      <c r="D14" t="s">
        <v>89</v>
      </c>
      <c r="E14">
        <v>1</v>
      </c>
      <c r="F14">
        <v>25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25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46165.80650914352</v>
      </c>
      <c r="C15">
        <f t="shared" si="0"/>
        <v>11</v>
      </c>
      <c r="D15" t="s">
        <v>90</v>
      </c>
      <c r="E15">
        <v>1</v>
      </c>
      <c r="F15">
        <v>15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15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46165.80650914352</v>
      </c>
      <c r="C16">
        <f t="shared" si="0"/>
        <v>12</v>
      </c>
      <c r="D16" t="s">
        <v>91</v>
      </c>
      <c r="E16">
        <v>1</v>
      </c>
      <c r="F16">
        <v>276</v>
      </c>
      <c r="G16" t="s">
        <v>31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248.5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46165.80650914352</v>
      </c>
      <c r="C17">
        <f t="shared" si="0"/>
        <v>13</v>
      </c>
      <c r="D17" t="s">
        <v>92</v>
      </c>
      <c r="E17">
        <v>1</v>
      </c>
      <c r="F17">
        <v>15</v>
      </c>
      <c r="G17" t="s">
        <v>31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13.5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46165.80650914352</v>
      </c>
      <c r="C18">
        <f t="shared" si="0"/>
        <v>14</v>
      </c>
      <c r="D18" t="s">
        <v>93</v>
      </c>
      <c r="E18">
        <v>1</v>
      </c>
      <c r="F18">
        <v>93</v>
      </c>
      <c r="G18" t="s">
        <v>31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84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46165.80650914352</v>
      </c>
      <c r="C19">
        <f t="shared" si="0"/>
        <v>15</v>
      </c>
      <c r="D19" t="s">
        <v>72</v>
      </c>
      <c r="E19">
        <v>1</v>
      </c>
      <c r="F19">
        <v>90</v>
      </c>
      <c r="G19" t="s">
        <v>31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85.5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46165.80650914352</v>
      </c>
      <c r="C20">
        <f t="shared" si="0"/>
        <v>16</v>
      </c>
      <c r="D20" t="s">
        <v>94</v>
      </c>
      <c r="E20">
        <v>1</v>
      </c>
      <c r="F20">
        <v>25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25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46165.80650914352</v>
      </c>
      <c r="C21">
        <f t="shared" si="0"/>
        <v>17</v>
      </c>
      <c r="D21" t="s">
        <v>95</v>
      </c>
      <c r="E21">
        <v>1</v>
      </c>
      <c r="F21">
        <v>24</v>
      </c>
      <c r="G21" t="s">
        <v>31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22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46165.80650914352</v>
      </c>
      <c r="C22">
        <f t="shared" si="0"/>
        <v>18</v>
      </c>
      <c r="D22" t="s">
        <v>96</v>
      </c>
      <c r="E22">
        <v>1</v>
      </c>
      <c r="F22">
        <v>750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750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46165.80650914352</v>
      </c>
      <c r="C23" t="str">
        <f t="shared" si="0"/>
        <v/>
      </c>
      <c r="H23" s="5" t="str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46165.80650914352</v>
      </c>
      <c r="C24" t="str">
        <f t="shared" si="0"/>
        <v/>
      </c>
      <c r="H24" s="5" t="str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>
        <f ca="1">IF(Tabla1[[#This Row],['#]]&lt;&gt;"", NOW(), "")</f>
        <v>46165.80650914352</v>
      </c>
      <c r="C25" t="str">
        <f t="shared" si="0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46165.80650914352</v>
      </c>
      <c r="C26" t="str">
        <f t="shared" si="0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45" x14ac:dyDescent="0.25">
      <c r="B27" s="18">
        <f ca="1">IF(Tabla1[[#This Row],['#]]&lt;&gt;"", NOW(), "")</f>
        <v>46165.80650914352</v>
      </c>
      <c r="C27" t="str">
        <f t="shared" si="0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 t="s">
        <v>80</v>
      </c>
      <c r="N27" s="15">
        <v>440</v>
      </c>
      <c r="O27" s="39"/>
      <c r="P27" s="40"/>
      <c r="Q27" s="40"/>
      <c r="R27" s="41"/>
    </row>
    <row r="28" spans="2:18" x14ac:dyDescent="0.25">
      <c r="B28" s="18">
        <f ca="1">IF(Tabla1[[#This Row],['#]]&lt;&gt;"", NOW(), "")</f>
        <v>46165.80650914352</v>
      </c>
      <c r="C28" t="str">
        <f t="shared" si="0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>
        <f ca="1">IF(Tabla1[[#This Row],['#]]&lt;&gt;"", NOW(), "")</f>
        <v>46165.80650914352</v>
      </c>
      <c r="C29" t="str">
        <f t="shared" si="0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>
        <f ca="1">IF(Tabla1[[#This Row],['#]]&lt;&gt;"", NOW(), "")</f>
        <v>46165.80650914352</v>
      </c>
      <c r="C30" t="str">
        <f t="shared" si="0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>
        <f ca="1">IF(Tabla1[[#This Row],['#]]&lt;&gt;"", NOW(), "")</f>
        <v>46165.80650914352</v>
      </c>
      <c r="C31" t="str">
        <f t="shared" si="0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>
        <f ca="1">IF(Tabla1[[#This Row],['#]]&lt;&gt;"", NOW(), "")</f>
        <v>46165.80650914352</v>
      </c>
      <c r="C32" t="str">
        <f t="shared" si="0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>
        <f ca="1">IF(Tabla1[[#This Row],['#]]&lt;&gt;"", NOW(), "")</f>
        <v>46165.80650914352</v>
      </c>
      <c r="C33" t="str">
        <f t="shared" si="0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>
        <f ca="1">IF(Tabla1[[#This Row],['#]]&lt;&gt;"", NOW(), "")</f>
        <v>46165.80650914352</v>
      </c>
      <c r="C34" t="str">
        <f t="shared" si="0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>
        <f ca="1">IF(Tabla1[[#This Row],['#]]&lt;&gt;"", NOW(), "")</f>
        <v>46165.80650914352</v>
      </c>
      <c r="C35" t="str">
        <f t="shared" si="0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G42" sqref="G4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97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SUM(Tabla112[Importa])</f>
        <v>1947.5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25</v>
      </c>
      <c r="M4" s="36" t="s">
        <v>126</v>
      </c>
      <c r="N4" s="36"/>
      <c r="O4" s="36"/>
      <c r="P4" s="36"/>
      <c r="Q4" s="36"/>
      <c r="R4" s="36"/>
    </row>
    <row r="5" spans="2:18" x14ac:dyDescent="0.25">
      <c r="B5" s="18">
        <f ca="1">IF(Tabla112[[#This Row],['#]]&lt;&gt;"", NOW(), "")</f>
        <v>46165.80650914352</v>
      </c>
      <c r="C5">
        <f t="shared" ref="C5:C68" si="0">IF(ISNUMBER(E5), IF(ISNUMBER(C4), C4+1, 1), "")</f>
        <v>1</v>
      </c>
      <c r="D5" t="s">
        <v>98</v>
      </c>
      <c r="E5">
        <v>1</v>
      </c>
      <c r="F5">
        <v>20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20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46165.80650914352</v>
      </c>
      <c r="C6">
        <f t="shared" si="0"/>
        <v>2</v>
      </c>
      <c r="D6" t="s">
        <v>99</v>
      </c>
      <c r="E6">
        <v>1</v>
      </c>
      <c r="F6">
        <v>42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42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46165.80650914352</v>
      </c>
      <c r="C7">
        <f t="shared" si="0"/>
        <v>3</v>
      </c>
      <c r="D7" t="s">
        <v>100</v>
      </c>
      <c r="E7">
        <v>1</v>
      </c>
      <c r="F7">
        <v>72</v>
      </c>
      <c r="G7" t="s">
        <v>31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65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46165.80650914352</v>
      </c>
      <c r="C8">
        <f t="shared" si="0"/>
        <v>4</v>
      </c>
      <c r="D8" t="s">
        <v>60</v>
      </c>
      <c r="E8">
        <v>1</v>
      </c>
      <c r="F8">
        <v>123</v>
      </c>
      <c r="G8" t="s">
        <v>31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117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46165.80650914352</v>
      </c>
      <c r="C9">
        <f t="shared" si="0"/>
        <v>5</v>
      </c>
      <c r="D9" t="s">
        <v>101</v>
      </c>
      <c r="E9">
        <v>1</v>
      </c>
      <c r="F9">
        <v>15</v>
      </c>
      <c r="G9" t="s">
        <v>31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13.5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46165.80650914352</v>
      </c>
      <c r="C10">
        <f t="shared" si="0"/>
        <v>6</v>
      </c>
      <c r="D10" t="s">
        <v>102</v>
      </c>
      <c r="E10">
        <v>1</v>
      </c>
      <c r="F10">
        <v>120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120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46165.80650914352</v>
      </c>
      <c r="C11">
        <f t="shared" si="0"/>
        <v>7</v>
      </c>
      <c r="D11" t="s">
        <v>112</v>
      </c>
      <c r="E11">
        <v>3</v>
      </c>
      <c r="F11">
        <v>3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9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46165.80650914352</v>
      </c>
      <c r="C12">
        <f t="shared" si="0"/>
        <v>8</v>
      </c>
      <c r="D12" t="s">
        <v>116</v>
      </c>
      <c r="E12">
        <v>1</v>
      </c>
      <c r="F12">
        <v>52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52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46165.80650914352</v>
      </c>
      <c r="C13">
        <f t="shared" si="0"/>
        <v>9</v>
      </c>
      <c r="D13" t="s">
        <v>33</v>
      </c>
      <c r="E13">
        <v>4</v>
      </c>
      <c r="F13">
        <v>5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20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46165.80650914352</v>
      </c>
      <c r="C14">
        <f t="shared" si="0"/>
        <v>10</v>
      </c>
      <c r="D14" t="s">
        <v>117</v>
      </c>
      <c r="E14">
        <v>2</v>
      </c>
      <c r="F14">
        <v>6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12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46165.80650914352</v>
      </c>
      <c r="C15">
        <f t="shared" si="0"/>
        <v>11</v>
      </c>
      <c r="D15" t="s">
        <v>118</v>
      </c>
      <c r="E15">
        <v>1</v>
      </c>
      <c r="F15">
        <v>20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20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46165.80650914352</v>
      </c>
      <c r="C16">
        <f t="shared" si="0"/>
        <v>12</v>
      </c>
      <c r="D16" t="s">
        <v>119</v>
      </c>
      <c r="E16">
        <v>1</v>
      </c>
      <c r="F16">
        <v>99</v>
      </c>
      <c r="G16" t="s">
        <v>31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89.5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46165.80650914352</v>
      </c>
      <c r="C17">
        <f t="shared" si="0"/>
        <v>13</v>
      </c>
      <c r="D17" t="s">
        <v>120</v>
      </c>
      <c r="E17">
        <v>1</v>
      </c>
      <c r="F17">
        <v>90</v>
      </c>
      <c r="G17" t="s">
        <v>31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81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46165.80650914352</v>
      </c>
      <c r="C18">
        <f t="shared" si="0"/>
        <v>14</v>
      </c>
      <c r="D18" t="s">
        <v>121</v>
      </c>
      <c r="E18">
        <v>1</v>
      </c>
      <c r="F18">
        <v>22</v>
      </c>
      <c r="G18" t="s">
        <v>31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20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46165.80650914352</v>
      </c>
      <c r="C19">
        <f t="shared" si="0"/>
        <v>15</v>
      </c>
      <c r="D19" t="s">
        <v>122</v>
      </c>
      <c r="E19">
        <v>1</v>
      </c>
      <c r="F19">
        <v>70</v>
      </c>
      <c r="H19" s="5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>70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46165.80650914352</v>
      </c>
      <c r="C20">
        <f t="shared" si="0"/>
        <v>16</v>
      </c>
      <c r="D20" t="s">
        <v>123</v>
      </c>
      <c r="E20">
        <v>1</v>
      </c>
      <c r="F20">
        <v>65</v>
      </c>
      <c r="H20" s="5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>65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46165.80650914352</v>
      </c>
      <c r="C21">
        <f t="shared" si="0"/>
        <v>17</v>
      </c>
      <c r="D21" t="s">
        <v>124</v>
      </c>
      <c r="E21">
        <v>1</v>
      </c>
      <c r="F21">
        <v>144</v>
      </c>
      <c r="G21" t="s">
        <v>31</v>
      </c>
      <c r="H21" s="5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>130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46165.80650914352</v>
      </c>
      <c r="C22">
        <f t="shared" si="0"/>
        <v>18</v>
      </c>
      <c r="D22" t="s">
        <v>125</v>
      </c>
      <c r="E22">
        <v>1</v>
      </c>
      <c r="F22">
        <v>70</v>
      </c>
      <c r="G22" t="s">
        <v>31</v>
      </c>
      <c r="H22" s="5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>63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46165.80650914352</v>
      </c>
      <c r="C23">
        <f t="shared" si="0"/>
        <v>19</v>
      </c>
      <c r="D23" t="s">
        <v>127</v>
      </c>
      <c r="E23">
        <v>1</v>
      </c>
      <c r="F23">
        <v>200</v>
      </c>
      <c r="H23" s="5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>200</v>
      </c>
    </row>
    <row r="24" spans="2:18" ht="15" customHeight="1" x14ac:dyDescent="0.25">
      <c r="B24" s="18">
        <f ca="1">IF(Tabla1[[#This Row],['#]]&lt;&gt;"", NOW(), "")</f>
        <v>46165.80650914352</v>
      </c>
      <c r="C24">
        <f t="shared" si="0"/>
        <v>20</v>
      </c>
      <c r="D24" t="s">
        <v>127</v>
      </c>
      <c r="E24">
        <v>1</v>
      </c>
      <c r="F24">
        <v>200</v>
      </c>
      <c r="H24" s="5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>200</v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46165.80650914352</v>
      </c>
      <c r="C25">
        <f t="shared" si="0"/>
        <v>21</v>
      </c>
      <c r="D25" t="s">
        <v>128</v>
      </c>
      <c r="E25">
        <v>1</v>
      </c>
      <c r="F25">
        <v>35</v>
      </c>
      <c r="H25" s="5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>35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46165.80650914352</v>
      </c>
      <c r="C26">
        <f t="shared" si="0"/>
        <v>22</v>
      </c>
      <c r="D26" t="s">
        <v>129</v>
      </c>
      <c r="E26">
        <v>1</v>
      </c>
      <c r="F26">
        <v>20</v>
      </c>
      <c r="H26" s="5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>20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46165.80650914352</v>
      </c>
      <c r="C27">
        <f t="shared" si="0"/>
        <v>23</v>
      </c>
      <c r="D27" t="s">
        <v>130</v>
      </c>
      <c r="E27">
        <v>1</v>
      </c>
      <c r="F27">
        <v>450</v>
      </c>
      <c r="G27" t="s">
        <v>31</v>
      </c>
      <c r="H27" s="5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>405</v>
      </c>
      <c r="M27" s="13" t="s">
        <v>104</v>
      </c>
      <c r="N27" s="15">
        <v>4278</v>
      </c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46165.80650914352</v>
      </c>
      <c r="C28">
        <f t="shared" si="0"/>
        <v>24</v>
      </c>
      <c r="D28" t="s">
        <v>131</v>
      </c>
      <c r="E28">
        <v>1</v>
      </c>
      <c r="F28">
        <v>55</v>
      </c>
      <c r="G28" t="s">
        <v>31</v>
      </c>
      <c r="H28" s="5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>49.5</v>
      </c>
      <c r="M28" s="13" t="s">
        <v>105</v>
      </c>
      <c r="N28" s="15">
        <v>5136</v>
      </c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46165.80650914352</v>
      </c>
      <c r="C29">
        <f t="shared" si="0"/>
        <v>25</v>
      </c>
      <c r="D29" t="s">
        <v>132</v>
      </c>
      <c r="E29">
        <v>1</v>
      </c>
      <c r="F29">
        <v>32</v>
      </c>
      <c r="G29" t="s">
        <v>31</v>
      </c>
      <c r="H29" s="5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>29</v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46165.80650914352</v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46165.80650914352</v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>
        <f ca="1">IF(Tabla1[[#This Row],['#]]&lt;&gt;"", NOW(), "")</f>
        <v>46165.80650914352</v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>
        <f ca="1">IF(Tabla1[[#This Row],['#]]&lt;&gt;"", NOW(), "")</f>
        <v>46165.80650914352</v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>
        <f ca="1">IF(Tabla1[[#This Row],['#]]&lt;&gt;"", NOW(), "")</f>
        <v>46165.80650914352</v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>
        <f ca="1">IF(Tabla1[[#This Row],['#]]&lt;&gt;"", NOW(), "")</f>
        <v>46165.80650914352</v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34" t="s">
        <v>103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SUM(Tabla113[Importa])</f>
        <v>2133.5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16</v>
      </c>
      <c r="M4" s="36" t="s">
        <v>148</v>
      </c>
      <c r="N4" s="36"/>
      <c r="O4" s="36"/>
      <c r="P4" s="36"/>
      <c r="Q4" s="36"/>
      <c r="R4" s="36"/>
    </row>
    <row r="5" spans="2:18" x14ac:dyDescent="0.25">
      <c r="B5" s="18">
        <f ca="1">IF(Tabla113[[#This Row],['#]]&lt;&gt;"", NOW(), "")</f>
        <v>46165.80650914352</v>
      </c>
      <c r="C5">
        <f t="shared" ref="C5:C68" si="0">IF(ISNUMBER(E5), IF(ISNUMBER(C4), C4+1, 1), "")</f>
        <v>1</v>
      </c>
      <c r="D5" t="s">
        <v>133</v>
      </c>
      <c r="E5">
        <v>1</v>
      </c>
      <c r="F5">
        <v>87</v>
      </c>
      <c r="G5" t="s">
        <v>31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78.5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46165.80650914352</v>
      </c>
      <c r="C6">
        <f t="shared" si="0"/>
        <v>2</v>
      </c>
      <c r="D6" t="s">
        <v>134</v>
      </c>
      <c r="E6">
        <v>1</v>
      </c>
      <c r="F6">
        <v>59</v>
      </c>
      <c r="G6" t="s">
        <v>31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53.5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46165.80650914352</v>
      </c>
      <c r="C7">
        <f t="shared" si="0"/>
        <v>3</v>
      </c>
      <c r="D7" t="s">
        <v>135</v>
      </c>
      <c r="E7">
        <v>1</v>
      </c>
      <c r="F7">
        <v>38</v>
      </c>
      <c r="G7" t="s">
        <v>31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34.5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46165.80650914352</v>
      </c>
      <c r="C8">
        <f t="shared" si="0"/>
        <v>4</v>
      </c>
      <c r="D8" t="s">
        <v>136</v>
      </c>
      <c r="E8">
        <v>1</v>
      </c>
      <c r="F8">
        <v>160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160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46165.80650914352</v>
      </c>
      <c r="C9">
        <f t="shared" si="0"/>
        <v>5</v>
      </c>
      <c r="D9" t="s">
        <v>137</v>
      </c>
      <c r="E9">
        <v>1</v>
      </c>
      <c r="F9">
        <v>280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280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46165.80650914352</v>
      </c>
      <c r="C10">
        <f t="shared" si="0"/>
        <v>6</v>
      </c>
      <c r="D10" t="s">
        <v>138</v>
      </c>
      <c r="E10">
        <v>1</v>
      </c>
      <c r="F10">
        <v>110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110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46165.80650914352</v>
      </c>
      <c r="C11">
        <f t="shared" si="0"/>
        <v>7</v>
      </c>
      <c r="D11" t="s">
        <v>139</v>
      </c>
      <c r="E11">
        <v>2</v>
      </c>
      <c r="F11">
        <v>25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50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46165.80650914352</v>
      </c>
      <c r="C12">
        <f t="shared" si="0"/>
        <v>8</v>
      </c>
      <c r="D12" t="s">
        <v>140</v>
      </c>
      <c r="E12">
        <v>1</v>
      </c>
      <c r="F12">
        <v>705</v>
      </c>
      <c r="G12" t="s">
        <v>31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634.5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46165.80650914352</v>
      </c>
      <c r="C13">
        <f t="shared" si="0"/>
        <v>9</v>
      </c>
      <c r="D13" t="s">
        <v>141</v>
      </c>
      <c r="E13">
        <v>1</v>
      </c>
      <c r="F13">
        <v>132</v>
      </c>
      <c r="G13" t="s">
        <v>31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119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46165.80650914352</v>
      </c>
      <c r="C14">
        <f t="shared" si="0"/>
        <v>10</v>
      </c>
      <c r="D14" t="s">
        <v>142</v>
      </c>
      <c r="E14">
        <v>1</v>
      </c>
      <c r="F14">
        <v>15</v>
      </c>
      <c r="G14" t="s">
        <v>31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13.5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46165.80650914352</v>
      </c>
      <c r="C15">
        <f t="shared" si="0"/>
        <v>11</v>
      </c>
      <c r="D15" t="s">
        <v>143</v>
      </c>
      <c r="E15">
        <v>1</v>
      </c>
      <c r="F15">
        <v>95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95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46165.80650914352</v>
      </c>
      <c r="C16">
        <f t="shared" si="0"/>
        <v>12</v>
      </c>
      <c r="D16" t="s">
        <v>144</v>
      </c>
      <c r="E16">
        <v>1</v>
      </c>
      <c r="F16">
        <v>100</v>
      </c>
      <c r="G16" t="s">
        <v>31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90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46165.80650914352</v>
      </c>
      <c r="C17">
        <f t="shared" si="0"/>
        <v>13</v>
      </c>
      <c r="D17" t="s">
        <v>145</v>
      </c>
      <c r="E17">
        <v>1</v>
      </c>
      <c r="F17">
        <v>100</v>
      </c>
      <c r="G17" t="s">
        <v>31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90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46165.80650914352</v>
      </c>
      <c r="C18">
        <f t="shared" si="0"/>
        <v>14</v>
      </c>
      <c r="D18" t="s">
        <v>146</v>
      </c>
      <c r="E18">
        <v>1</v>
      </c>
      <c r="F18">
        <v>40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40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46165.80650914352</v>
      </c>
      <c r="C19">
        <f t="shared" si="0"/>
        <v>15</v>
      </c>
      <c r="D19" t="s">
        <v>147</v>
      </c>
      <c r="E19">
        <v>1</v>
      </c>
      <c r="F19">
        <v>280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280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46165.80650914352</v>
      </c>
      <c r="C20">
        <f t="shared" si="0"/>
        <v>16</v>
      </c>
      <c r="D20" t="s">
        <v>33</v>
      </c>
      <c r="E20">
        <v>1</v>
      </c>
      <c r="F20">
        <v>5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46165.80650914352</v>
      </c>
      <c r="C21" t="str">
        <f t="shared" si="0"/>
        <v/>
      </c>
      <c r="H21" s="5" t="str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46165.80650914352</v>
      </c>
      <c r="C22" t="str">
        <f t="shared" si="0"/>
        <v/>
      </c>
      <c r="H22" s="5" t="str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46165.80650914352</v>
      </c>
      <c r="C23" t="str">
        <f t="shared" si="0"/>
        <v/>
      </c>
      <c r="H23" s="5" t="str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46165.80650914352</v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46165.80650914352</v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46165.80650914352</v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46165.80650914352</v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106</v>
      </c>
      <c r="N27" s="15">
        <v>1550</v>
      </c>
      <c r="O27" s="39" t="s">
        <v>108</v>
      </c>
      <c r="P27" s="40"/>
      <c r="Q27" s="40"/>
      <c r="R27" s="41"/>
    </row>
    <row r="28" spans="2:18" ht="15" customHeight="1" x14ac:dyDescent="0.25">
      <c r="B28" s="18">
        <f ca="1">IF(Tabla1[[#This Row],['#]]&lt;&gt;"", NOW(), "")</f>
        <v>46165.80650914352</v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107</v>
      </c>
      <c r="N28" s="15">
        <v>2526</v>
      </c>
      <c r="O28" s="39" t="s">
        <v>108</v>
      </c>
      <c r="P28" s="40"/>
      <c r="Q28" s="40"/>
      <c r="R28" s="41"/>
    </row>
    <row r="29" spans="2:18" ht="15" customHeight="1" x14ac:dyDescent="0.25">
      <c r="B29" s="18">
        <f ca="1">IF(Tabla1[[#This Row],['#]]&lt;&gt;"", NOW(), "")</f>
        <v>46165.80650914352</v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109</v>
      </c>
      <c r="N29" s="15">
        <v>440</v>
      </c>
      <c r="O29" s="39" t="s">
        <v>110</v>
      </c>
      <c r="P29" s="40"/>
      <c r="Q29" s="40"/>
      <c r="R29" s="41"/>
    </row>
    <row r="30" spans="2:18" ht="15" customHeight="1" x14ac:dyDescent="0.25">
      <c r="B30" s="18">
        <f ca="1">IF(Tabla1[[#This Row],['#]]&lt;&gt;"", NOW(), "")</f>
        <v>46165.80650914352</v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104</v>
      </c>
      <c r="N30" s="15">
        <v>4278</v>
      </c>
      <c r="O30" s="39" t="s">
        <v>111</v>
      </c>
      <c r="P30" s="40"/>
      <c r="Q30" s="40"/>
      <c r="R30" s="41"/>
    </row>
    <row r="31" spans="2:18" ht="15" customHeight="1" x14ac:dyDescent="0.25">
      <c r="B31" s="18">
        <f ca="1">IF(Tabla1[[#This Row],['#]]&lt;&gt;"", NOW(), "")</f>
        <v>46165.80650914352</v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105</v>
      </c>
      <c r="N31" s="15">
        <v>5136</v>
      </c>
      <c r="O31" s="39" t="s">
        <v>111</v>
      </c>
      <c r="P31" s="40"/>
      <c r="Q31" s="40"/>
      <c r="R31" s="41"/>
    </row>
    <row r="32" spans="2:18" ht="15" customHeight="1" x14ac:dyDescent="0.25">
      <c r="B32" s="18">
        <f ca="1">IF(Tabla1[[#This Row],['#]]&lt;&gt;"", NOW(), "")</f>
        <v>46165.80650914352</v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113</v>
      </c>
      <c r="N32" s="15">
        <v>1500</v>
      </c>
      <c r="O32" s="39" t="s">
        <v>114</v>
      </c>
      <c r="P32" s="40"/>
      <c r="Q32" s="40"/>
      <c r="R32" s="41"/>
    </row>
    <row r="33" spans="2:18" ht="15" customHeight="1" x14ac:dyDescent="0.25">
      <c r="B33" s="18">
        <f ca="1">IF(Tabla1[[#This Row],['#]]&lt;&gt;"", NOW(), "")</f>
        <v>46165.80650914352</v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 t="s">
        <v>115</v>
      </c>
      <c r="N33" s="15">
        <v>15430</v>
      </c>
      <c r="O33" s="39" t="s">
        <v>114</v>
      </c>
      <c r="P33" s="40"/>
      <c r="Q33" s="40"/>
      <c r="R33" s="41"/>
    </row>
    <row r="34" spans="2:18" ht="15" customHeight="1" x14ac:dyDescent="0.25">
      <c r="B34" s="18">
        <f ca="1">IF(Tabla1[[#This Row],['#]]&lt;&gt;"", NOW(), "")</f>
        <v>46165.80650914352</v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>
        <f ca="1">IF(Tabla1[[#This Row],['#]]&lt;&gt;"", NOW(), "")</f>
        <v>46165.80650914352</v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33" sqref="D3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149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SUM(Tabla114[Importa])</f>
        <v>3618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28</v>
      </c>
      <c r="M4" s="36" t="s">
        <v>168</v>
      </c>
      <c r="N4" s="36"/>
      <c r="O4" s="36"/>
      <c r="P4" s="36"/>
      <c r="Q4" s="36"/>
      <c r="R4" s="36"/>
    </row>
    <row r="5" spans="2:18" x14ac:dyDescent="0.25">
      <c r="B5" s="18">
        <f ca="1">IF(Tabla114[[#This Row],['#]]&lt;&gt;"", NOW(), "")</f>
        <v>46165.80650914352</v>
      </c>
      <c r="C5">
        <f t="shared" ref="C5:C68" si="0">IF(ISNUMBER(E5), IF(ISNUMBER(C4), C4+1, 1), "")</f>
        <v>1</v>
      </c>
      <c r="D5" t="s">
        <v>127</v>
      </c>
      <c r="E5">
        <v>1</v>
      </c>
      <c r="F5">
        <v>200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200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46165.80650914352</v>
      </c>
      <c r="C6">
        <f t="shared" si="0"/>
        <v>2</v>
      </c>
      <c r="D6" t="s">
        <v>150</v>
      </c>
      <c r="E6">
        <v>1</v>
      </c>
      <c r="F6">
        <v>400</v>
      </c>
      <c r="G6" t="s">
        <v>31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360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46165.80650914352</v>
      </c>
      <c r="C7">
        <f t="shared" si="0"/>
        <v>3</v>
      </c>
      <c r="D7" t="s">
        <v>60</v>
      </c>
      <c r="E7">
        <v>1</v>
      </c>
      <c r="F7">
        <v>123</v>
      </c>
      <c r="G7" t="s">
        <v>31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117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46165.80650914352</v>
      </c>
      <c r="C8">
        <f t="shared" si="0"/>
        <v>4</v>
      </c>
      <c r="D8" t="s">
        <v>151</v>
      </c>
      <c r="E8">
        <v>1</v>
      </c>
      <c r="F8">
        <v>72</v>
      </c>
      <c r="G8" t="s">
        <v>31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65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46165.80650914352</v>
      </c>
      <c r="C9">
        <f t="shared" si="0"/>
        <v>5</v>
      </c>
      <c r="D9" t="s">
        <v>152</v>
      </c>
      <c r="E9">
        <v>1</v>
      </c>
      <c r="F9">
        <v>600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600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46165.80650914352</v>
      </c>
      <c r="C10">
        <f t="shared" si="0"/>
        <v>6</v>
      </c>
      <c r="D10" t="s">
        <v>153</v>
      </c>
      <c r="E10">
        <v>1</v>
      </c>
      <c r="F10">
        <v>70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70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46165.80650914352</v>
      </c>
      <c r="C11">
        <f t="shared" si="0"/>
        <v>7</v>
      </c>
      <c r="D11" t="s">
        <v>154</v>
      </c>
      <c r="E11">
        <v>1</v>
      </c>
      <c r="F11">
        <v>92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92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46165.80650914352</v>
      </c>
      <c r="C12">
        <f t="shared" si="0"/>
        <v>8</v>
      </c>
      <c r="D12" t="s">
        <v>155</v>
      </c>
      <c r="E12">
        <v>1</v>
      </c>
      <c r="F12">
        <v>6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6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46165.80650914352</v>
      </c>
      <c r="C13">
        <f t="shared" si="0"/>
        <v>9</v>
      </c>
      <c r="D13" t="s">
        <v>156</v>
      </c>
      <c r="E13">
        <v>1</v>
      </c>
      <c r="F13">
        <v>380</v>
      </c>
      <c r="G13" t="s">
        <v>31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342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46165.80650914352</v>
      </c>
      <c r="C14">
        <f t="shared" si="0"/>
        <v>10</v>
      </c>
      <c r="D14" t="s">
        <v>157</v>
      </c>
      <c r="E14">
        <v>1</v>
      </c>
      <c r="F14">
        <v>230</v>
      </c>
      <c r="G14" t="s">
        <v>31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207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46165.80650914352</v>
      </c>
      <c r="C15">
        <f t="shared" si="0"/>
        <v>11</v>
      </c>
      <c r="D15" t="s">
        <v>158</v>
      </c>
      <c r="E15">
        <v>2</v>
      </c>
      <c r="F15">
        <v>110</v>
      </c>
      <c r="G15" t="s">
        <v>31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198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46165.80650914352</v>
      </c>
      <c r="C16">
        <f t="shared" si="0"/>
        <v>12</v>
      </c>
      <c r="D16" t="s">
        <v>127</v>
      </c>
      <c r="E16">
        <v>1</v>
      </c>
      <c r="F16">
        <v>200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200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46165.80650914352</v>
      </c>
      <c r="C17">
        <f t="shared" si="0"/>
        <v>13</v>
      </c>
      <c r="D17" t="s">
        <v>98</v>
      </c>
      <c r="E17">
        <v>1</v>
      </c>
      <c r="F17">
        <v>20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20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46165.80650914352</v>
      </c>
      <c r="C18">
        <f t="shared" si="0"/>
        <v>14</v>
      </c>
      <c r="D18" t="s">
        <v>159</v>
      </c>
      <c r="E18">
        <v>1</v>
      </c>
      <c r="F18">
        <v>35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35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46165.80650914352</v>
      </c>
      <c r="C19">
        <f t="shared" si="0"/>
        <v>15</v>
      </c>
      <c r="D19" t="s">
        <v>73</v>
      </c>
      <c r="E19">
        <v>1</v>
      </c>
      <c r="F19">
        <v>50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50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46165.80650914352</v>
      </c>
      <c r="C20">
        <f t="shared" si="0"/>
        <v>16</v>
      </c>
      <c r="D20" t="s">
        <v>160</v>
      </c>
      <c r="E20">
        <v>1</v>
      </c>
      <c r="F20">
        <v>32</v>
      </c>
      <c r="G20" t="s">
        <v>31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29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46165.80650914352</v>
      </c>
      <c r="C21">
        <f t="shared" si="0"/>
        <v>17</v>
      </c>
      <c r="D21" t="s">
        <v>60</v>
      </c>
      <c r="E21">
        <v>1</v>
      </c>
      <c r="F21">
        <v>123</v>
      </c>
      <c r="G21" t="s">
        <v>31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117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46165.80650914352</v>
      </c>
      <c r="C22">
        <f t="shared" si="0"/>
        <v>18</v>
      </c>
      <c r="D22" t="s">
        <v>59</v>
      </c>
      <c r="E22">
        <v>2</v>
      </c>
      <c r="F22">
        <v>50</v>
      </c>
      <c r="G22" t="s">
        <v>31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90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46165.80650914352</v>
      </c>
      <c r="C23">
        <f t="shared" si="0"/>
        <v>19</v>
      </c>
      <c r="D23" t="s">
        <v>161</v>
      </c>
      <c r="E23">
        <v>1</v>
      </c>
      <c r="F23">
        <v>150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150</v>
      </c>
    </row>
    <row r="24" spans="2:18" ht="15" customHeight="1" x14ac:dyDescent="0.25">
      <c r="B24" s="18">
        <f ca="1">IF(Tabla1[[#This Row],['#]]&lt;&gt;"", NOW(), "")</f>
        <v>46165.80650914352</v>
      </c>
      <c r="C24">
        <f t="shared" si="0"/>
        <v>20</v>
      </c>
      <c r="D24" t="s">
        <v>162</v>
      </c>
      <c r="E24">
        <v>1</v>
      </c>
      <c r="F24">
        <v>155</v>
      </c>
      <c r="H24" s="5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>155</v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46165.80650914352</v>
      </c>
      <c r="C25">
        <f t="shared" si="0"/>
        <v>21</v>
      </c>
      <c r="D25" t="s">
        <v>163</v>
      </c>
      <c r="E25">
        <v>1</v>
      </c>
      <c r="F25">
        <v>130</v>
      </c>
      <c r="H25" s="5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>130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46165.80650914352</v>
      </c>
      <c r="C26">
        <f t="shared" si="0"/>
        <v>22</v>
      </c>
      <c r="D26" t="s">
        <v>164</v>
      </c>
      <c r="E26">
        <v>1</v>
      </c>
      <c r="F26">
        <v>20</v>
      </c>
      <c r="H26" s="5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>20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46165.80650914352</v>
      </c>
      <c r="C27">
        <f t="shared" si="0"/>
        <v>23</v>
      </c>
      <c r="D27" t="s">
        <v>59</v>
      </c>
      <c r="E27">
        <v>1</v>
      </c>
      <c r="F27">
        <v>50</v>
      </c>
      <c r="G27" t="s">
        <v>31</v>
      </c>
      <c r="H27" s="5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>45</v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46165.80650914352</v>
      </c>
      <c r="C28">
        <f t="shared" si="0"/>
        <v>24</v>
      </c>
      <c r="D28" t="s">
        <v>33</v>
      </c>
      <c r="E28">
        <v>1</v>
      </c>
      <c r="F28">
        <v>5</v>
      </c>
      <c r="H28" s="5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>5</v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46165.80650914352</v>
      </c>
      <c r="C29">
        <f t="shared" si="0"/>
        <v>25</v>
      </c>
      <c r="D29" t="s">
        <v>60</v>
      </c>
      <c r="E29">
        <v>1</v>
      </c>
      <c r="F29">
        <v>123</v>
      </c>
      <c r="G29" t="s">
        <v>31</v>
      </c>
      <c r="H29" s="5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>117</v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46165.80650914352</v>
      </c>
      <c r="C30">
        <f t="shared" si="0"/>
        <v>26</v>
      </c>
      <c r="D30" t="s">
        <v>165</v>
      </c>
      <c r="E30">
        <v>1</v>
      </c>
      <c r="F30">
        <v>42</v>
      </c>
      <c r="H30" s="5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>42</v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46165.80650914352</v>
      </c>
      <c r="C31">
        <f t="shared" si="0"/>
        <v>27</v>
      </c>
      <c r="D31" t="s">
        <v>166</v>
      </c>
      <c r="E31">
        <v>1</v>
      </c>
      <c r="F31">
        <v>56</v>
      </c>
      <c r="H31" s="5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>56</v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>
        <f ca="1">IF(Tabla1[[#This Row],['#]]&lt;&gt;"", NOW(), "")</f>
        <v>46165.80650914352</v>
      </c>
      <c r="C32">
        <f t="shared" si="0"/>
        <v>28</v>
      </c>
      <c r="D32" t="s">
        <v>167</v>
      </c>
      <c r="E32">
        <v>1</v>
      </c>
      <c r="F32">
        <v>100</v>
      </c>
      <c r="H32" s="5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>100</v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>
        <f ca="1">IF(Tabla1[[#This Row],['#]]&lt;&gt;"", NOW(), "")</f>
        <v>46165.80650914352</v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>
        <f ca="1">IF(Tabla1[[#This Row],['#]]&lt;&gt;"", NOW(), "")</f>
        <v>46165.80650914352</v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>
        <f ca="1">IF(Tabla1[[#This Row],['#]]&lt;&gt;"", NOW(), "")</f>
        <v>46165.80650914352</v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46165.80650914352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46165.80650914352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46165.80650914352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46165.80650914352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46165.80650914352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46165.80650914352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46165.80650914352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46165.80650914352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46165.80650914352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46165.80650914352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46165.80650914352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46165.80650914352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46165.80650914352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46165.80650914352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46165.80650914352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46165.80650914352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46165.80650914352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46165.80650914352</v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46165.80650914352</v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46165.80650914352</v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46165.80650914352</v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46165.80650914352</v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46165.80650914352</v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46165.80650914352</v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46165.80650914352</v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46165.80650914352</v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>
        <f ca="1">IF(Tabla1[[#This Row],['#]]&lt;&gt;"", NOW(), "")</f>
        <v>46165.80650914352</v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>
        <f ca="1">IF(Tabla1[[#This Row],['#]]&lt;&gt;"", NOW(), "")</f>
        <v>46165.80650914352</v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>
        <f ca="1">IF(Tabla1[[#This Row],['#]]&lt;&gt;"", NOW(), "")</f>
        <v>46165.80650914352</v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>
        <f ca="1">IF(Tabla1[[#This Row],['#]]&lt;&gt;"", NOW(), "")</f>
        <v>46165.80650914352</v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18-05-26</vt:lpstr>
      <vt:lpstr>Martes 19-05-26</vt:lpstr>
      <vt:lpstr>Miercoles 20-05-26</vt:lpstr>
      <vt:lpstr>Jueves 221-05-26</vt:lpstr>
      <vt:lpstr>Viernes 21-05-26</vt:lpstr>
      <vt:lpstr>Sabado 23-05-26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2026-05-24T01:21:24Z</dcterms:modified>
</cp:coreProperties>
</file>