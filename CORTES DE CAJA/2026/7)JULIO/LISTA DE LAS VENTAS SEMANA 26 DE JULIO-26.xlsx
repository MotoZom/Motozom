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4ADE9A3-8E0D-4743-8D54-1FAC3F934FC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0-07-26" sheetId="1" r:id="rId1"/>
    <sheet name="Martes 21-07-26" sheetId="2" r:id="rId2"/>
    <sheet name="Miercoles 22-07-26" sheetId="3" r:id="rId3"/>
    <sheet name="Jueves 23-07-26" sheetId="4" r:id="rId4"/>
    <sheet name="Viernes 24 -07-26" sheetId="5" r:id="rId5"/>
    <sheet name="Sabado 25-07-26" sheetId="6" r:id="rId6"/>
    <sheet name="Domingo" sheetId="8" r:id="rId7"/>
    <sheet name="Cambios" sheetId="7" r:id="rId8"/>
  </sheets>
  <definedNames>
    <definedName name="_xlnm._FilterDatabase" localSheetId="0" hidden="1">'Lunes 20-07-26'!$B$4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1" i="2"/>
  <c r="C12" i="2" s="1"/>
  <c r="C13" i="2" s="1"/>
  <c r="C14" i="2" s="1"/>
  <c r="C15" i="2" s="1"/>
  <c r="C16" i="2" s="1"/>
  <c r="C17" i="2" s="1"/>
  <c r="C18" i="2" s="1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<sst xmlns="http://schemas.openxmlformats.org/spreadsheetml/2006/main" count="378" uniqueCount="166">
  <si>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</si>
  <si>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</si>
  <si>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</si>
  <si>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</si>
  <si>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</si>
  <si>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</si>
  <si>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</si>
  <si>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</si>
  <si>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</si>
  <si>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</si>
  <si>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</si>
  <si>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</si>
  <si>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</si>
  <si>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</si>
  <si>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</si>
  <si>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</si>
  <si>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</si>
  <si>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</si>
  <si>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</si>
  <si>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</si>
  <si>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</si>
  <si>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</si>
  <si>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</si>
  <si>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</si>
  <si>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</si>
  <si>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 xml:space="preserve">ACEITE LUBER </t>
  </si>
  <si>
    <t>X</t>
  </si>
  <si>
    <t xml:space="preserve">FILTRO DE GASOLINA CARTON </t>
  </si>
  <si>
    <t xml:space="preserve">COSAS DE LIMPIEZA </t>
  </si>
  <si>
    <t xml:space="preserve">ACEITE REPSOL </t>
  </si>
  <si>
    <t>CALAVERA DE FT125</t>
  </si>
  <si>
    <t>MEDIAS LUNAS FT150</t>
  </si>
  <si>
    <t xml:space="preserve">FUSIBLES </t>
  </si>
  <si>
    <t>CHICOTED E FRENO TRASERO WS150</t>
  </si>
  <si>
    <t>BANDA POWERLINK 835 -20-30</t>
  </si>
  <si>
    <t>FILTRO DE AIRE WS150 ITALIKA</t>
  </si>
  <si>
    <t xml:space="preserve">ACEDITE AKRON </t>
  </si>
  <si>
    <t>Lunes 20 DE JULIO-26</t>
  </si>
  <si>
    <t>PORTA BALATA TRASERO FT150</t>
  </si>
  <si>
    <t>CAMAR 3.00.18</t>
  </si>
  <si>
    <t>CHICOTE DE CLUTH 250Z</t>
  </si>
  <si>
    <t xml:space="preserve">PEDIDO DE WURT </t>
  </si>
  <si>
    <t xml:space="preserve">TOTAL </t>
  </si>
  <si>
    <t>LLANTA 90-90-18</t>
  </si>
  <si>
    <t>CAMARA 90-90-18</t>
  </si>
  <si>
    <t>STIKER</t>
  </si>
  <si>
    <t>CUENTA DE SEMANA PASADA $ 25557 MENOS $ 2565 DE COSAS DE LIMPIEZA ACEITE AKRON Y PEDIDO DE WURTH QUEDA $ 22992</t>
  </si>
  <si>
    <t xml:space="preserve">PORTA FUSIBLES </t>
  </si>
  <si>
    <t xml:space="preserve">AUXILIARES DE BUHO </t>
  </si>
  <si>
    <t>Martes 21 DE JULIO-26</t>
  </si>
  <si>
    <t>FILTRO COMPLETO DE WS150</t>
  </si>
  <si>
    <t>GOMAS DE IMPACTO RC200</t>
  </si>
  <si>
    <t>BALATA DE DISCO DS150</t>
  </si>
  <si>
    <t>BALATA DE TAMBOR DS150</t>
  </si>
  <si>
    <t xml:space="preserve">CHCICOTE DE ACELERADOR UNIVERSAL </t>
  </si>
  <si>
    <t>AORCADOR UNIVERSAL</t>
  </si>
  <si>
    <t>BALERO 6003</t>
  </si>
  <si>
    <t>ARNES 4 PINES YOG</t>
  </si>
  <si>
    <t>FILTRO DE AIRE WS150 SPORT</t>
  </si>
  <si>
    <t>ACEITE LUBER</t>
  </si>
  <si>
    <t>PORTA BALATA ATV</t>
  </si>
  <si>
    <t>AORCADOR UNIVERSAL DE CLUT</t>
  </si>
  <si>
    <t>AORCADOR UNIVERSAL DE ACELERADOR</t>
  </si>
  <si>
    <t>MANDO DERECHO DE DM200</t>
  </si>
  <si>
    <t>PEDAL DE CAMBIOS 125Z</t>
  </si>
  <si>
    <t>FUSIBLES</t>
  </si>
  <si>
    <t>ROLLO</t>
  </si>
  <si>
    <t>Miercoles 22 DE JULIO-26</t>
  </si>
  <si>
    <t>BALATA DE DS150 WAPEMEX</t>
  </si>
  <si>
    <t>ACEITE YAMALUBE</t>
  </si>
  <si>
    <t>LIMPIADOR DE CARBURADOR</t>
  </si>
  <si>
    <t xml:space="preserve">TENSOR DE CADENA </t>
  </si>
  <si>
    <t>GOMAS DE IMPACTO DE FT125</t>
  </si>
  <si>
    <t>SELLO DE ESCAPE MOTONETA</t>
  </si>
  <si>
    <t xml:space="preserve">TUBO MOVIL </t>
  </si>
  <si>
    <t>PASTAS DE CLUTH FT150</t>
  </si>
  <si>
    <t>P.NASAKI</t>
  </si>
  <si>
    <t>CUENTA DE SEMANA PASADA $ 22992 MENOS $ 40 DE ROLLO QUEDA $ 22952 MENOS $ 2602 DE PEDIDO NASAKI QUEDA$20350</t>
  </si>
  <si>
    <t>PARADOR LATERAL WS150 SPORT</t>
  </si>
  <si>
    <t>BALATA DE DISCO FT150</t>
  </si>
  <si>
    <t>REGULADOR DE FT150</t>
  </si>
  <si>
    <t>REGULADOR DE RT200 ITALIKA</t>
  </si>
  <si>
    <t xml:space="preserve">CINTA DE AISLAR </t>
  </si>
  <si>
    <t>JUNTA DE HONDA CARGO</t>
  </si>
  <si>
    <t xml:space="preserve">SEGURO DE PIÑON </t>
  </si>
  <si>
    <t>LUBRICANTE DE CADENA AXPRO</t>
  </si>
  <si>
    <t>CHICOTE DE CLUTH CARGO 150</t>
  </si>
  <si>
    <t>TASAZ DE DIRECCION DE PULSAR 200 NS</t>
  </si>
  <si>
    <t>PARADOR LATERAL DM200</t>
  </si>
  <si>
    <t xml:space="preserve">RESORTE DE LA PATA </t>
  </si>
  <si>
    <t xml:space="preserve">CUBRE TANQUE NEGRO </t>
  </si>
  <si>
    <t>Jueves 23 DE JULIO</t>
  </si>
  <si>
    <t>ESPEJOS DE HONDA CARGO 150</t>
  </si>
  <si>
    <t>CHICOTE DE FRENO DELANTERO DS125</t>
  </si>
  <si>
    <t>BUJIA C7</t>
  </si>
  <si>
    <t>BUJIA C9</t>
  </si>
  <si>
    <t xml:space="preserve">ACEITE AKRON </t>
  </si>
  <si>
    <t>LLANTA 140 -70-17</t>
  </si>
  <si>
    <t>POPOTE PARA RIND ROJO</t>
  </si>
  <si>
    <t>LIMPIEZA</t>
  </si>
  <si>
    <t>AKRON</t>
  </si>
  <si>
    <t>LUNES 20 DE JULIO-26</t>
  </si>
  <si>
    <t>WURT</t>
  </si>
  <si>
    <t>MIERCOLES 22 DE JULIO-26</t>
  </si>
  <si>
    <t>PAGOYAS</t>
  </si>
  <si>
    <t>VIENES 24 DE JULIO-26</t>
  </si>
  <si>
    <t xml:space="preserve">TOTAL DE EGRESOS </t>
  </si>
  <si>
    <t>ACEITE REPSOL</t>
  </si>
  <si>
    <t xml:space="preserve">GILTRO DE GASOLINA CARTON </t>
  </si>
  <si>
    <t>RETEN BARRAS 37-50-11</t>
  </si>
  <si>
    <t>ABRILLANTADOR</t>
  </si>
  <si>
    <t>ACEITE MOTUL 7100 -10-W-40-</t>
  </si>
  <si>
    <t>BUJIA D8</t>
  </si>
  <si>
    <t>BIRLOS DE FT150</t>
  </si>
  <si>
    <t>RODILLO DE CENTRIFUJO DS150</t>
  </si>
  <si>
    <t>FILTRO DE AIRE FT150</t>
  </si>
  <si>
    <t>ESTRELLA DE FT150</t>
  </si>
  <si>
    <t xml:space="preserve">BALANCIN SUPERIOR FT150 </t>
  </si>
  <si>
    <t>CHICOTE DE ACELERADOR FT125</t>
  </si>
  <si>
    <t>TAZAS DE CIRECCION FT150</t>
  </si>
  <si>
    <t xml:space="preserve">CUENTA DE AYER $ 20350 MENOS $ 780 DE HELIOS QUEDA $ 19570 </t>
  </si>
  <si>
    <t>FILTRO DE AIRE ATV150</t>
  </si>
  <si>
    <t>MANDO DERECHO ROKEMAN 250</t>
  </si>
  <si>
    <t>MANDO IZQUIERDO ROKEMAN 250</t>
  </si>
  <si>
    <t>ABRAZADERA DE ACELERADOR DS150</t>
  </si>
  <si>
    <t xml:space="preserve">PEGAMENTO SUPER GLUE </t>
  </si>
  <si>
    <t>Viernes 24 DE JULIO-26</t>
  </si>
  <si>
    <t>PILA MOTONETA NASAKI</t>
  </si>
  <si>
    <t>RESBALON DE CENFRIFUGO DS150</t>
  </si>
  <si>
    <t>RODILLOS DE CENTRIFUGO</t>
  </si>
  <si>
    <t>JUNTA DE 250Z</t>
  </si>
  <si>
    <t>CAMARA 3.50.18</t>
  </si>
  <si>
    <t>BOIMBA DE ACE 250Z</t>
  </si>
  <si>
    <t>GOMA PARADOR DS150</t>
  </si>
  <si>
    <t>EJE DE CAMBIOS FT150</t>
  </si>
  <si>
    <t xml:space="preserve">BALATA DE TAMBOR DS150 </t>
  </si>
  <si>
    <t>PEDAL DE CAMBIOS FT150</t>
  </si>
  <si>
    <t>ABRILLAN</t>
  </si>
  <si>
    <t>JUEVES 23 DE JULIO-26</t>
  </si>
  <si>
    <t>FOCO H6 LED</t>
  </si>
  <si>
    <t>BALATA DE GN125 DISCO</t>
  </si>
  <si>
    <t>CHCICOTE DE VELOCIMETRO DM200</t>
  </si>
  <si>
    <t>ACEITE AKRON</t>
  </si>
  <si>
    <t xml:space="preserve">PILA MOTONETA QLINK  </t>
  </si>
  <si>
    <t xml:space="preserve">FUSIBLES CAJA </t>
  </si>
  <si>
    <t xml:space="preserve">MIRILLA DE FRENO </t>
  </si>
  <si>
    <t xml:space="preserve">CHICOTE DE CLUTH UNIVERSAL </t>
  </si>
  <si>
    <t>x</t>
  </si>
  <si>
    <r>
      <rPr>
        <b/>
        <sz val="14"/>
        <color theme="1"/>
        <rFont val="Calibri"/>
        <family val="2"/>
        <scheme val="minor"/>
      </rPr>
      <t xml:space="preserve">CORTES DE LA SEMANA 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20 DE JULIO-26                     $25557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$ 2457             MENOS$7487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21 DE JULIO-26                 $18070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$ 1241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MIERCOLES 22 DE JULIO-26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$ 2547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23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$3890.5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24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$ 2356.5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 xml:space="preserve">TOTAL $ 12492
TOTAL EN CAJA $ 30562 </t>
    </r>
  </si>
  <si>
    <t>Sabado 25 DE JULIO-26</t>
  </si>
  <si>
    <t>ACEITE MOTUL 7100 10W-40</t>
  </si>
  <si>
    <t>FILTRO DE ACEIT KAWASAKI</t>
  </si>
  <si>
    <t>CHICOTE DE ACERELADOR FZ2.0</t>
  </si>
  <si>
    <t>FILTRO DE GASOLINA CARTON</t>
  </si>
  <si>
    <t xml:space="preserve">MANGUERA DE GASOLINA </t>
  </si>
  <si>
    <t>SRIKER</t>
  </si>
  <si>
    <t>BALATAS DE TAMBOR DS150</t>
  </si>
  <si>
    <t>FUSIBLE</t>
  </si>
  <si>
    <t>CAMARA 80-100-21</t>
  </si>
  <si>
    <t>MANIJA IZQUIERDA 150Z</t>
  </si>
  <si>
    <t>ALESSIA</t>
  </si>
  <si>
    <t>PILA 12N7 34 ALESSIA</t>
  </si>
  <si>
    <t>CLAXON DS150</t>
  </si>
  <si>
    <t>LLANTA 3.50.18</t>
  </si>
  <si>
    <t>ARNES DE STOP</t>
  </si>
  <si>
    <r>
      <t xml:space="preserve">CUENTA DE AYER SABADO $ 30562 MENOS PEDIDO DE ALESSIA QUEDA $ 24844
CUENTA DE HOY SABADO $ 3323  MENOS $ 300 PAGO DE YAS QUEDA $ 3023 MAS LO DE CAJA $ 24844 
</t>
    </r>
    <r>
      <rPr>
        <b/>
        <sz val="24"/>
        <color theme="1"/>
        <rFont val="Calibri"/>
        <family val="2"/>
        <scheme val="minor"/>
      </rPr>
      <t>TOTAL EN CAJA$ 27867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</si>
</sst>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37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2457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17</v>
      </c>
      <c r="M4" s="36" t="s">
        <v>46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46228.808226620371</v>
      </c>
      <c r="C5">
        <f>IF(ISNUMBER(E5), IF(ISNUMBER(C4), C4+1, 1), "")</f>
        <v>1</v>
      </c>
      <c r="D5" t="s">
        <v>25</v>
      </c>
      <c r="E5">
        <v>1</v>
      </c>
      <c r="F5">
        <v>95</v>
      </c>
      <c r="G5" t="s">
        <v>26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90.5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15</v>
      </c>
      <c r="G6" t="s">
        <v>26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13.5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>
        <f t="shared" si="0"/>
        <v>3</v>
      </c>
      <c r="D7" t="s">
        <v>29</v>
      </c>
      <c r="E7">
        <v>1</v>
      </c>
      <c r="F7">
        <v>147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147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>
        <f t="shared" si="0"/>
        <v>4</v>
      </c>
      <c r="D8" t="s">
        <v>30</v>
      </c>
      <c r="E8">
        <v>1</v>
      </c>
      <c r="F8">
        <v>180</v>
      </c>
      <c r="G8" t="s">
        <v>26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162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>
        <f t="shared" si="0"/>
        <v>5</v>
      </c>
      <c r="D9" t="s">
        <v>31</v>
      </c>
      <c r="E9">
        <v>1</v>
      </c>
      <c r="F9">
        <v>105</v>
      </c>
      <c r="G9" t="s">
        <v>26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94.5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>
        <f t="shared" si="0"/>
        <v>6</v>
      </c>
      <c r="D10" t="s">
        <v>32</v>
      </c>
      <c r="E10">
        <v>4</v>
      </c>
      <c r="F10">
        <v>3</v>
      </c>
      <c r="G10" t="s">
        <v>26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11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>
        <f t="shared" si="0"/>
        <v>7</v>
      </c>
      <c r="D11" t="s">
        <v>33</v>
      </c>
      <c r="E11">
        <v>1</v>
      </c>
      <c r="F11">
        <v>52</v>
      </c>
      <c r="G11" t="s">
        <v>26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47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>
        <f t="shared" si="0"/>
        <v>8</v>
      </c>
      <c r="D12" t="s">
        <v>34</v>
      </c>
      <c r="E12">
        <v>1</v>
      </c>
      <c r="F12">
        <v>125</v>
      </c>
      <c r="G12" t="s">
        <v>26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112.5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>
        <f t="shared" si="0"/>
        <v>9</v>
      </c>
      <c r="D13" t="s">
        <v>35</v>
      </c>
      <c r="E13">
        <v>1</v>
      </c>
      <c r="F13">
        <v>97</v>
      </c>
      <c r="G13" t="s">
        <v>26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87.5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>
        <f t="shared" si="0"/>
        <v>10</v>
      </c>
      <c r="D14" t="s">
        <v>38</v>
      </c>
      <c r="E14">
        <v>1</v>
      </c>
      <c r="F14">
        <v>496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496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>
        <f t="shared" si="0"/>
        <v>11</v>
      </c>
      <c r="D15" t="s">
        <v>39</v>
      </c>
      <c r="E15">
        <v>1</v>
      </c>
      <c r="F15">
        <v>70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70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>
        <f t="shared" si="0"/>
        <v>12</v>
      </c>
      <c r="D16" t="s">
        <v>40</v>
      </c>
      <c r="E16">
        <v>1</v>
      </c>
      <c r="F16">
        <v>50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>
        <f t="shared" si="0"/>
        <v>13</v>
      </c>
      <c r="D17" t="s">
        <v>43</v>
      </c>
      <c r="E17">
        <v>1</v>
      </c>
      <c r="F17">
        <v>750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750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>
        <f t="shared" si="0"/>
        <v>14</v>
      </c>
      <c r="D18" t="s">
        <v>44</v>
      </c>
      <c r="E18">
        <v>1</v>
      </c>
      <c r="F18">
        <v>92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92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>
        <f t="shared" si="0"/>
        <v>15</v>
      </c>
      <c r="D19" t="s">
        <v>45</v>
      </c>
      <c r="E19">
        <v>6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>
        <f t="shared" si="0"/>
        <v>16</v>
      </c>
      <c r="D20" t="s">
        <v>47</v>
      </c>
      <c r="E20">
        <v>1</v>
      </c>
      <c r="F20">
        <v>15</v>
      </c>
      <c r="G20" t="s">
        <v>26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>
        <f t="shared" si="0"/>
        <v>17</v>
      </c>
      <c r="D21" t="s">
        <v>48</v>
      </c>
      <c r="E21">
        <v>1</v>
      </c>
      <c r="F21">
        <v>190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190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28</v>
      </c>
      <c r="N27" s="20"/>
      <c r="O27" s="23">
        <v>92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36</v>
      </c>
      <c r="N29" s="20"/>
      <c r="O29" s="23">
        <v>1400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 t="s">
        <v>41</v>
      </c>
      <c r="N31" s="20"/>
      <c r="O31" s="23">
        <v>1073</v>
      </c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 t="s">
        <v>42</v>
      </c>
      <c r="N33" s="20"/>
      <c r="O33" s="23">
        <v>2565</v>
      </c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N27" sqref="N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1241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46228.808226620371</v>
      </c>
      <c r="C5">
        <f t="shared" ref="C5:C68" si="0">IF(ISNUMBER(E5), IF(ISNUMBER(C4), C4+1, 1), "")</f>
        <v>1</v>
      </c>
      <c r="D5" t="s">
        <v>50</v>
      </c>
      <c r="E5">
        <v>1</v>
      </c>
      <c r="F5">
        <v>312</v>
      </c>
      <c r="G5" t="s">
        <v>26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281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>
        <f t="shared" si="0"/>
        <v>2</v>
      </c>
      <c r="D6" t="s">
        <v>51</v>
      </c>
      <c r="E6">
        <v>1</v>
      </c>
      <c r="F6">
        <v>70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70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>
        <f t="shared" si="0"/>
        <v>3</v>
      </c>
      <c r="D7" t="s">
        <v>52</v>
      </c>
      <c r="E7">
        <v>2</v>
      </c>
      <c r="F7">
        <v>36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72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>
        <f t="shared" si="0"/>
        <v>4</v>
      </c>
      <c r="D8" t="s">
        <v>53</v>
      </c>
      <c r="E8">
        <v>1</v>
      </c>
      <c r="F8">
        <v>75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75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>
        <f t="shared" si="0"/>
        <v>5</v>
      </c>
      <c r="D9" t="s">
        <v>45</v>
      </c>
      <c r="E9">
        <v>1</v>
      </c>
      <c r="F9">
        <v>5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>
        <f t="shared" si="0"/>
        <v>6</v>
      </c>
      <c r="D10" t="s">
        <v>54</v>
      </c>
      <c r="E10">
        <v>1</v>
      </c>
      <c r="F10">
        <v>15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>
        <f t="shared" si="0"/>
        <v>7</v>
      </c>
      <c r="D11" t="s">
        <v>55</v>
      </c>
      <c r="E11">
        <v>1</v>
      </c>
      <c r="F11">
        <v>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>
        <f t="shared" si="0"/>
        <v>8</v>
      </c>
      <c r="D12" t="s">
        <v>56</v>
      </c>
      <c r="E12">
        <v>2</v>
      </c>
      <c r="F12">
        <v>30</v>
      </c>
      <c r="G12" t="s">
        <v>26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54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>
        <f t="shared" si="0"/>
        <v>9</v>
      </c>
      <c r="D13" t="s">
        <v>57</v>
      </c>
      <c r="E13">
        <v>1</v>
      </c>
      <c r="F13">
        <v>32</v>
      </c>
      <c r="G13" t="s">
        <v>26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29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>
        <f t="shared" si="0"/>
        <v>10</v>
      </c>
      <c r="D14" t="s">
        <v>58</v>
      </c>
      <c r="E14">
        <v>1</v>
      </c>
      <c r="F14">
        <v>64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64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>
        <f t="shared" si="0"/>
        <v>11</v>
      </c>
      <c r="D15" t="s">
        <v>45</v>
      </c>
      <c r="E15">
        <v>1</v>
      </c>
      <c r="F15">
        <v>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>
        <f t="shared" si="0"/>
        <v>12</v>
      </c>
      <c r="D16" t="s">
        <v>59</v>
      </c>
      <c r="E16">
        <v>1</v>
      </c>
      <c r="F16">
        <v>95</v>
      </c>
      <c r="G16" t="s">
        <v>26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90.5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>
        <f t="shared" si="0"/>
        <v>13</v>
      </c>
      <c r="D17" t="s">
        <v>60</v>
      </c>
      <c r="E17">
        <v>1</v>
      </c>
      <c r="F17">
        <v>288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288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>
        <f t="shared" si="0"/>
        <v>14</v>
      </c>
      <c r="D18" t="s">
        <v>61</v>
      </c>
      <c r="E18">
        <v>1</v>
      </c>
      <c r="F18">
        <v>5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>
        <f t="shared" si="0"/>
        <v>15</v>
      </c>
      <c r="D19" t="s">
        <v>62</v>
      </c>
      <c r="E19">
        <v>1</v>
      </c>
      <c r="F19">
        <v>3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3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>
        <f t="shared" si="0"/>
        <v>16</v>
      </c>
      <c r="D20" t="s">
        <v>63</v>
      </c>
      <c r="E20">
        <v>1</v>
      </c>
      <c r="F20">
        <v>87</v>
      </c>
      <c r="G20" t="s">
        <v>26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78.5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>
        <f t="shared" si="0"/>
        <v>17</v>
      </c>
      <c r="D21" t="s">
        <v>64</v>
      </c>
      <c r="E21">
        <v>1</v>
      </c>
      <c r="F21">
        <v>98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98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65</v>
      </c>
      <c r="E22">
        <v>1</v>
      </c>
      <c r="F22">
        <v>3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3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35" sqref="D3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67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2547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30</v>
      </c>
      <c r="M4" s="36" t="s">
        <v>77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46228.808226620371</v>
      </c>
      <c r="C5">
        <f>IF(ISNUMBER(E5), IF(ISNUMBER(C4), C4+1, 1), "")</f>
        <v>1</v>
      </c>
      <c r="D5" t="s">
        <v>68</v>
      </c>
      <c r="E5">
        <v>1</v>
      </c>
      <c r="F5">
        <v>75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75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>
        <f t="shared" ref="C6" si="0">IF(ISNUMBER(E6), IF(ISNUMBER(C5), C5+1, 1), "")</f>
        <v>2</v>
      </c>
      <c r="D6" t="s">
        <v>68</v>
      </c>
      <c r="E6">
        <v>1</v>
      </c>
      <c r="F6">
        <v>75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75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>
        <f>IF(ISNUMBER(E7), IF(ISNUMBER(C6), C6+1, 1), "")</f>
        <v>3</v>
      </c>
      <c r="D7" t="s">
        <v>56</v>
      </c>
      <c r="E7">
        <v>2</v>
      </c>
      <c r="F7">
        <v>30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60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>
        <f t="shared" ref="C8:C68" si="1">IF(ISNUMBER(E8), IF(ISNUMBER(C7), C7+1, 1), "")</f>
        <v>4</v>
      </c>
      <c r="D8" t="s">
        <v>69</v>
      </c>
      <c r="E8">
        <v>1</v>
      </c>
      <c r="F8">
        <v>150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150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>
        <f t="shared" si="1"/>
        <v>5</v>
      </c>
      <c r="D9" t="s">
        <v>70</v>
      </c>
      <c r="E9">
        <v>1</v>
      </c>
      <c r="F9">
        <v>75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75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>
        <f t="shared" si="1"/>
        <v>6</v>
      </c>
      <c r="D10" t="s">
        <v>71</v>
      </c>
      <c r="E10">
        <v>1</v>
      </c>
      <c r="F10">
        <v>25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25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>
        <f t="shared" si="1"/>
        <v>7</v>
      </c>
      <c r="D11" t="s">
        <v>72</v>
      </c>
      <c r="E11">
        <v>1</v>
      </c>
      <c r="F11">
        <v>35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35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>
        <f t="shared" si="1"/>
        <v>8</v>
      </c>
      <c r="D12" t="s">
        <v>73</v>
      </c>
      <c r="E12">
        <v>1</v>
      </c>
      <c r="F12">
        <v>10</v>
      </c>
      <c r="G12" t="s">
        <v>26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9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>
        <f t="shared" si="1"/>
        <v>9</v>
      </c>
      <c r="D13" t="s">
        <v>74</v>
      </c>
      <c r="E13">
        <v>1</v>
      </c>
      <c r="F13">
        <v>15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>
        <f t="shared" si="1"/>
        <v>10</v>
      </c>
      <c r="D14" t="s">
        <v>75</v>
      </c>
      <c r="E14">
        <v>1</v>
      </c>
      <c r="F14">
        <v>70</v>
      </c>
      <c r="G14" t="s">
        <v>26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63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>
        <f t="shared" si="1"/>
        <v>11</v>
      </c>
      <c r="D15" t="s">
        <v>52</v>
      </c>
      <c r="E15">
        <v>1</v>
      </c>
      <c r="F15">
        <v>69</v>
      </c>
      <c r="G15" t="s">
        <v>26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62.5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>
        <f t="shared" si="1"/>
        <v>12</v>
      </c>
      <c r="D16" t="s">
        <v>78</v>
      </c>
      <c r="E16">
        <v>1</v>
      </c>
      <c r="F16">
        <v>108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108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>
        <f t="shared" si="1"/>
        <v>13</v>
      </c>
      <c r="D17" t="s">
        <v>79</v>
      </c>
      <c r="E17">
        <v>1</v>
      </c>
      <c r="F17">
        <v>42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42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>
        <f t="shared" si="1"/>
        <v>14</v>
      </c>
      <c r="D18" t="s">
        <v>80</v>
      </c>
      <c r="E18">
        <v>1</v>
      </c>
      <c r="F18">
        <v>113</v>
      </c>
      <c r="G18" t="s">
        <v>26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102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>
        <f t="shared" si="1"/>
        <v>15</v>
      </c>
      <c r="D19" t="s">
        <v>81</v>
      </c>
      <c r="E19">
        <v>1</v>
      </c>
      <c r="F19">
        <v>212</v>
      </c>
      <c r="G19" t="s">
        <v>26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191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>
        <f t="shared" si="1"/>
        <v>16</v>
      </c>
      <c r="D20" t="s">
        <v>34</v>
      </c>
      <c r="E20">
        <v>1</v>
      </c>
      <c r="F20">
        <v>350</v>
      </c>
      <c r="G20" t="s">
        <v>26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315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>
        <f t="shared" si="1"/>
        <v>17</v>
      </c>
      <c r="D21" t="s">
        <v>82</v>
      </c>
      <c r="E21">
        <v>1</v>
      </c>
      <c r="F21">
        <v>17</v>
      </c>
      <c r="G21" t="s">
        <v>26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15.5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83</v>
      </c>
      <c r="E22">
        <v>1</v>
      </c>
      <c r="F22">
        <v>30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30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59</v>
      </c>
      <c r="E23">
        <v>1</v>
      </c>
      <c r="F23">
        <v>95</v>
      </c>
      <c r="G23" t="s">
        <v>26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90.5</v>
      </c>
    </row>
    <row r="24" spans="2:18" ht="15" customHeight="1" x14ac:dyDescent="0.25">
      <c r="B24" s="18" t="str">
        <f ca="1">IF(Tabla1[[#This Row],['#]]&lt;&gt;"", NOW(), "")</f>
        <v/>
      </c>
      <c r="C24">
        <f t="shared" si="1"/>
        <v>20</v>
      </c>
      <c r="D24" t="s">
        <v>84</v>
      </c>
      <c r="E24">
        <v>1</v>
      </c>
      <c r="F24">
        <v>15</v>
      </c>
      <c r="G24" t="s">
        <v>26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13.5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1"/>
        <v>21</v>
      </c>
      <c r="D25" t="s">
        <v>85</v>
      </c>
      <c r="E25">
        <v>1</v>
      </c>
      <c r="F25">
        <v>125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125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1"/>
        <v>22</v>
      </c>
      <c r="D26" t="s">
        <v>86</v>
      </c>
      <c r="E26">
        <v>1</v>
      </c>
      <c r="F26">
        <v>50</v>
      </c>
      <c r="G26" t="s">
        <v>26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45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>
        <f t="shared" si="1"/>
        <v>23</v>
      </c>
      <c r="D27" t="s">
        <v>87</v>
      </c>
      <c r="E27">
        <v>1</v>
      </c>
      <c r="F27">
        <v>160</v>
      </c>
      <c r="G27" t="s">
        <v>26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144</v>
      </c>
      <c r="M27" s="13" t="s">
        <v>66</v>
      </c>
      <c r="N27" s="15">
        <v>40</v>
      </c>
      <c r="O27" s="39"/>
      <c r="P27" s="40"/>
      <c r="Q27" s="40"/>
      <c r="R27" s="41"/>
    </row>
    <row r="28" spans="2:18" ht="30" x14ac:dyDescent="0.25">
      <c r="B28" s="18" t="str">
        <f ca="1">IF(Tabla1[[#This Row],['#]]&lt;&gt;"", NOW(), "")</f>
        <v/>
      </c>
      <c r="C28">
        <f t="shared" si="1"/>
        <v>24</v>
      </c>
      <c r="D28" t="s">
        <v>88</v>
      </c>
      <c r="E28">
        <v>1</v>
      </c>
      <c r="F28">
        <v>126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126</v>
      </c>
      <c r="M28" s="13" t="s">
        <v>76</v>
      </c>
      <c r="N28" s="15">
        <v>2602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>
        <f t="shared" si="1"/>
        <v>25</v>
      </c>
      <c r="D29" t="s">
        <v>89</v>
      </c>
      <c r="E29">
        <v>1</v>
      </c>
      <c r="F29">
        <v>20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20</v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>
        <f t="shared" si="1"/>
        <v>26</v>
      </c>
      <c r="D30" t="s">
        <v>90</v>
      </c>
      <c r="E30">
        <v>1</v>
      </c>
      <c r="F30">
        <v>80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80</v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>
        <f t="shared" si="1"/>
        <v>27</v>
      </c>
      <c r="D31" t="s">
        <v>45</v>
      </c>
      <c r="E31">
        <v>1</v>
      </c>
      <c r="F31">
        <v>5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5</v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>
        <f t="shared" si="1"/>
        <v>28</v>
      </c>
      <c r="D32" t="s">
        <v>29</v>
      </c>
      <c r="E32">
        <v>1</v>
      </c>
      <c r="F32">
        <v>147</v>
      </c>
      <c r="H32" s="5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>147</v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>
        <f t="shared" si="1"/>
        <v>29</v>
      </c>
      <c r="D33" t="s">
        <v>92</v>
      </c>
      <c r="E33">
        <v>1</v>
      </c>
      <c r="F33">
        <v>245</v>
      </c>
      <c r="H33" s="5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>245</v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>
        <f t="shared" si="1"/>
        <v>30</v>
      </c>
      <c r="D34" t="s">
        <v>93</v>
      </c>
      <c r="E34">
        <v>1</v>
      </c>
      <c r="F34">
        <v>58</v>
      </c>
      <c r="H34" s="5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>58</v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40" sqref="D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3890.5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35</v>
      </c>
      <c r="M4" s="36" t="s">
        <v>120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46228.808226620371</v>
      </c>
      <c r="C5">
        <f t="shared" ref="C5:C68" si="0">IF(ISNUMBER(E5), IF(ISNUMBER(C4), C4+1, 1), "")</f>
        <v>1</v>
      </c>
      <c r="D5" t="s">
        <v>58</v>
      </c>
      <c r="E5">
        <v>1</v>
      </c>
      <c r="F5">
        <v>54</v>
      </c>
      <c r="G5" t="s">
        <v>26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49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>
        <f t="shared" si="0"/>
        <v>2</v>
      </c>
      <c r="D6" t="s">
        <v>27</v>
      </c>
      <c r="E6">
        <v>2</v>
      </c>
      <c r="F6">
        <v>15</v>
      </c>
      <c r="G6" t="s">
        <v>26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27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>
        <f t="shared" si="0"/>
        <v>3</v>
      </c>
      <c r="D7" t="s">
        <v>94</v>
      </c>
      <c r="E7">
        <v>1</v>
      </c>
      <c r="F7">
        <v>50</v>
      </c>
      <c r="G7" t="s">
        <v>26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>
        <f t="shared" si="0"/>
        <v>4</v>
      </c>
      <c r="D8" t="s">
        <v>95</v>
      </c>
      <c r="E8">
        <v>1</v>
      </c>
      <c r="F8">
        <v>50</v>
      </c>
      <c r="G8" t="s">
        <v>26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45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>
        <f t="shared" si="0"/>
        <v>5</v>
      </c>
      <c r="D9" t="s">
        <v>96</v>
      </c>
      <c r="E9">
        <v>2</v>
      </c>
      <c r="F9">
        <v>130</v>
      </c>
      <c r="G9" t="s">
        <v>26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247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>
        <f t="shared" si="0"/>
        <v>6</v>
      </c>
      <c r="D10" t="s">
        <v>97</v>
      </c>
      <c r="E10">
        <v>1</v>
      </c>
      <c r="F10">
        <v>1300</v>
      </c>
      <c r="G10" t="s">
        <v>26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1170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>
        <f t="shared" si="0"/>
        <v>7</v>
      </c>
      <c r="D11" t="s">
        <v>45</v>
      </c>
      <c r="E11">
        <v>2</v>
      </c>
      <c r="F11">
        <v>5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>
        <f t="shared" si="0"/>
        <v>8</v>
      </c>
      <c r="D12" t="s">
        <v>27</v>
      </c>
      <c r="E12">
        <v>3</v>
      </c>
      <c r="F12">
        <v>15</v>
      </c>
      <c r="G12" t="s">
        <v>26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40.5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>
        <f t="shared" si="0"/>
        <v>9</v>
      </c>
      <c r="D13" t="s">
        <v>98</v>
      </c>
      <c r="E13">
        <v>1</v>
      </c>
      <c r="F13">
        <v>70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70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>
        <f t="shared" si="0"/>
        <v>10</v>
      </c>
      <c r="D14" t="s">
        <v>59</v>
      </c>
      <c r="E14">
        <v>1</v>
      </c>
      <c r="F14">
        <v>95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95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>
        <f t="shared" si="0"/>
        <v>11</v>
      </c>
      <c r="D15" t="s">
        <v>96</v>
      </c>
      <c r="E15">
        <v>1</v>
      </c>
      <c r="F15">
        <v>130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130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>
        <f t="shared" si="0"/>
        <v>12</v>
      </c>
      <c r="D16" t="s">
        <v>107</v>
      </c>
      <c r="E16">
        <v>1</v>
      </c>
      <c r="F16">
        <v>147</v>
      </c>
      <c r="G16" t="s">
        <v>26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140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>
        <f t="shared" si="0"/>
        <v>13</v>
      </c>
      <c r="D17" t="s">
        <v>108</v>
      </c>
      <c r="E17">
        <v>1</v>
      </c>
      <c r="F17">
        <v>15</v>
      </c>
      <c r="G17" t="s">
        <v>26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13.5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>
        <f t="shared" si="0"/>
        <v>14</v>
      </c>
      <c r="D18" t="s">
        <v>95</v>
      </c>
      <c r="E18">
        <v>1</v>
      </c>
      <c r="F18">
        <v>50</v>
      </c>
      <c r="G18" t="s">
        <v>26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45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>
        <f t="shared" si="0"/>
        <v>15</v>
      </c>
      <c r="D19" t="s">
        <v>109</v>
      </c>
      <c r="E19">
        <v>1</v>
      </c>
      <c r="F19">
        <v>38</v>
      </c>
      <c r="G19" t="s">
        <v>26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34.5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>
        <f t="shared" si="0"/>
        <v>16</v>
      </c>
      <c r="D20" t="s">
        <v>111</v>
      </c>
      <c r="E20">
        <v>1</v>
      </c>
      <c r="F20">
        <v>320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320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>
        <f t="shared" si="0"/>
        <v>17</v>
      </c>
      <c r="D21" t="s">
        <v>56</v>
      </c>
      <c r="E21">
        <v>1</v>
      </c>
      <c r="F21">
        <v>32</v>
      </c>
      <c r="G21" t="s">
        <v>26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29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56</v>
      </c>
      <c r="E22">
        <v>1</v>
      </c>
      <c r="F22">
        <v>32</v>
      </c>
      <c r="G22" t="s">
        <v>26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29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112</v>
      </c>
      <c r="E23">
        <v>1</v>
      </c>
      <c r="F23">
        <v>50</v>
      </c>
      <c r="G23" t="s">
        <v>26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45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27</v>
      </c>
      <c r="E24">
        <v>1</v>
      </c>
      <c r="F24">
        <v>15</v>
      </c>
      <c r="G24" t="s">
        <v>26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13.5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52</v>
      </c>
      <c r="E25">
        <v>1</v>
      </c>
      <c r="F25">
        <v>36</v>
      </c>
      <c r="G25" t="s">
        <v>26</v>
      </c>
      <c r="H25" s="5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>32.5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113</v>
      </c>
      <c r="E26">
        <v>1</v>
      </c>
      <c r="F26">
        <v>24</v>
      </c>
      <c r="G26" t="s">
        <v>26</v>
      </c>
      <c r="H26" s="5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>22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114</v>
      </c>
      <c r="E27">
        <v>1</v>
      </c>
      <c r="F27">
        <v>35</v>
      </c>
      <c r="G27" t="s">
        <v>26</v>
      </c>
      <c r="H27" s="5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>31.5</v>
      </c>
      <c r="M27" s="13" t="s">
        <v>110</v>
      </c>
      <c r="N27" s="15">
        <v>780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115</v>
      </c>
      <c r="E28">
        <v>1</v>
      </c>
      <c r="F28">
        <v>38</v>
      </c>
      <c r="G28" t="s">
        <v>26</v>
      </c>
      <c r="H28" s="5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>34.5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116</v>
      </c>
      <c r="E29">
        <v>1</v>
      </c>
      <c r="F29">
        <v>161</v>
      </c>
      <c r="G29" t="s">
        <v>26</v>
      </c>
      <c r="H29" s="5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>145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>
        <f t="shared" si="0"/>
        <v>26</v>
      </c>
      <c r="D30" t="s">
        <v>117</v>
      </c>
      <c r="E30">
        <v>1</v>
      </c>
      <c r="F30">
        <v>145</v>
      </c>
      <c r="G30" t="s">
        <v>26</v>
      </c>
      <c r="H30" s="5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>130.5</v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118</v>
      </c>
      <c r="E31">
        <v>1</v>
      </c>
      <c r="F31">
        <v>40</v>
      </c>
      <c r="H31" s="5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>40</v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119</v>
      </c>
      <c r="E32">
        <v>1</v>
      </c>
      <c r="F32">
        <v>75</v>
      </c>
      <c r="G32" t="s">
        <v>26</v>
      </c>
      <c r="H32" s="5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>67.5</v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113</v>
      </c>
      <c r="E33">
        <v>1</v>
      </c>
      <c r="F33">
        <v>24</v>
      </c>
      <c r="G33" t="s">
        <v>26</v>
      </c>
      <c r="H33" s="5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>22</v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121</v>
      </c>
      <c r="E34">
        <v>1</v>
      </c>
      <c r="F34">
        <v>532</v>
      </c>
      <c r="G34" t="s">
        <v>26</v>
      </c>
      <c r="H34" s="5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>479</v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122</v>
      </c>
      <c r="E35">
        <v>1</v>
      </c>
      <c r="F35">
        <v>110</v>
      </c>
      <c r="G35" t="s">
        <v>26</v>
      </c>
      <c r="H35" s="5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>99</v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>
        <f t="shared" si="0"/>
        <v>32</v>
      </c>
      <c r="D36" t="s">
        <v>123</v>
      </c>
      <c r="E36">
        <v>1</v>
      </c>
      <c r="F36">
        <v>110</v>
      </c>
      <c r="G36" t="s">
        <v>26</v>
      </c>
      <c r="H36" s="5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>99</v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>
        <f t="shared" si="0"/>
        <v>33</v>
      </c>
      <c r="D37" t="s">
        <v>45</v>
      </c>
      <c r="E37">
        <v>7</v>
      </c>
      <c r="F37">
        <v>5</v>
      </c>
      <c r="H37" s="5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>35</v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>
        <f t="shared" si="0"/>
        <v>34</v>
      </c>
      <c r="D38" t="s">
        <v>124</v>
      </c>
      <c r="E38">
        <v>1</v>
      </c>
      <c r="F38">
        <v>22</v>
      </c>
      <c r="G38" t="s">
        <v>26</v>
      </c>
      <c r="H38" s="5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>20</v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>
        <f t="shared" si="0"/>
        <v>35</v>
      </c>
      <c r="D39" t="s">
        <v>125</v>
      </c>
      <c r="E39">
        <v>1</v>
      </c>
      <c r="F39">
        <v>35</v>
      </c>
      <c r="H39" s="5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>35</v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126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2356.5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148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46228.808226620371</v>
      </c>
      <c r="C5">
        <f t="shared" ref="C5:C68" si="0">IF(ISNUMBER(E5), IF(ISNUMBER(C4), C4+1, 1), "")</f>
        <v>1</v>
      </c>
      <c r="D5" t="s">
        <v>127</v>
      </c>
      <c r="E5">
        <v>1</v>
      </c>
      <c r="F5">
        <v>550</v>
      </c>
      <c r="G5" t="s">
        <v>26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495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>
        <f t="shared" si="0"/>
        <v>2</v>
      </c>
      <c r="D6" t="s">
        <v>59</v>
      </c>
      <c r="E6">
        <v>1</v>
      </c>
      <c r="F6">
        <v>95</v>
      </c>
      <c r="G6" t="s">
        <v>26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90.5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>
        <f t="shared" si="0"/>
        <v>3</v>
      </c>
      <c r="D7" t="s">
        <v>128</v>
      </c>
      <c r="E7">
        <v>1</v>
      </c>
      <c r="F7">
        <v>15</v>
      </c>
      <c r="G7" t="s">
        <v>26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>
        <f t="shared" si="0"/>
        <v>4</v>
      </c>
      <c r="D8" t="s">
        <v>129</v>
      </c>
      <c r="E8">
        <v>1</v>
      </c>
      <c r="F8">
        <v>35</v>
      </c>
      <c r="G8" t="s">
        <v>26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>
        <f t="shared" si="0"/>
        <v>5</v>
      </c>
      <c r="D9" t="s">
        <v>130</v>
      </c>
      <c r="E9">
        <v>1</v>
      </c>
      <c r="F9">
        <v>42</v>
      </c>
      <c r="G9" t="s">
        <v>26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38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>
        <f t="shared" si="0"/>
        <v>6</v>
      </c>
      <c r="D10" t="s">
        <v>131</v>
      </c>
      <c r="E10">
        <v>1</v>
      </c>
      <c r="F10">
        <v>70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>
        <f t="shared" si="0"/>
        <v>7</v>
      </c>
      <c r="D11" t="s">
        <v>132</v>
      </c>
      <c r="E11">
        <v>1</v>
      </c>
      <c r="F11">
        <v>50</v>
      </c>
      <c r="G11" t="s">
        <v>26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45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>
        <f t="shared" si="0"/>
        <v>8</v>
      </c>
      <c r="D12" t="s">
        <v>133</v>
      </c>
      <c r="E12">
        <v>1</v>
      </c>
      <c r="F12">
        <v>20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>
        <f t="shared" si="0"/>
        <v>9</v>
      </c>
      <c r="D13" t="s">
        <v>134</v>
      </c>
      <c r="E13">
        <v>1</v>
      </c>
      <c r="F13">
        <v>83</v>
      </c>
      <c r="G13" t="s">
        <v>26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75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>
        <f t="shared" si="0"/>
        <v>10</v>
      </c>
      <c r="D14" t="s">
        <v>135</v>
      </c>
      <c r="E14">
        <v>2</v>
      </c>
      <c r="F14">
        <v>75</v>
      </c>
      <c r="G14" t="s">
        <v>26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135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>
        <f t="shared" si="0"/>
        <v>11</v>
      </c>
      <c r="D15" t="s">
        <v>136</v>
      </c>
      <c r="E15">
        <v>1</v>
      </c>
      <c r="F15">
        <v>87</v>
      </c>
      <c r="G15" t="s">
        <v>26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78.5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>
        <f t="shared" si="0"/>
        <v>12</v>
      </c>
      <c r="D16" t="s">
        <v>131</v>
      </c>
      <c r="E16">
        <v>1</v>
      </c>
      <c r="F16">
        <v>70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70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>
        <f t="shared" si="0"/>
        <v>13</v>
      </c>
      <c r="D17" t="s">
        <v>139</v>
      </c>
      <c r="E17">
        <v>1</v>
      </c>
      <c r="F17">
        <v>150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150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>
        <f t="shared" si="0"/>
        <v>14</v>
      </c>
      <c r="D18" t="s">
        <v>140</v>
      </c>
      <c r="E18">
        <v>1</v>
      </c>
      <c r="F18">
        <v>38</v>
      </c>
      <c r="G18" t="s">
        <v>26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34.5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>
        <f t="shared" si="0"/>
        <v>15</v>
      </c>
      <c r="D19" t="s">
        <v>141</v>
      </c>
      <c r="E19">
        <v>1</v>
      </c>
      <c r="F19">
        <v>50</v>
      </c>
      <c r="G19" t="s">
        <v>26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45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>
        <f t="shared" si="0"/>
        <v>16</v>
      </c>
      <c r="D20" t="s">
        <v>142</v>
      </c>
      <c r="E20">
        <v>1</v>
      </c>
      <c r="F20">
        <v>130</v>
      </c>
      <c r="G20" t="s">
        <v>26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123.5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>
        <f t="shared" si="0"/>
        <v>17</v>
      </c>
      <c r="D21" t="s">
        <v>112</v>
      </c>
      <c r="E21">
        <v>1</v>
      </c>
      <c r="F21">
        <v>50</v>
      </c>
      <c r="G21" t="s">
        <v>26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45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143</v>
      </c>
      <c r="E22">
        <v>1</v>
      </c>
      <c r="F22">
        <v>700</v>
      </c>
      <c r="G22" t="s">
        <v>26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630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144</v>
      </c>
      <c r="E23">
        <v>1</v>
      </c>
      <c r="F23">
        <v>120</v>
      </c>
      <c r="G23" t="s">
        <v>26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108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145</v>
      </c>
      <c r="E24">
        <v>1</v>
      </c>
      <c r="F24">
        <v>50</v>
      </c>
      <c r="G24" t="s">
        <v>26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45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146</v>
      </c>
      <c r="E25">
        <v>1</v>
      </c>
      <c r="F25">
        <v>15</v>
      </c>
      <c r="G25" t="s">
        <v>147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13.5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99</v>
      </c>
      <c r="N27" s="15">
        <v>92</v>
      </c>
      <c r="O27" s="39" t="s">
        <v>101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100</v>
      </c>
      <c r="N28" s="15">
        <v>1400</v>
      </c>
      <c r="O28" s="39" t="s">
        <v>101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102</v>
      </c>
      <c r="N29" s="15">
        <v>1073</v>
      </c>
      <c r="O29" s="39" t="s">
        <v>101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66</v>
      </c>
      <c r="N30" s="15">
        <v>40</v>
      </c>
      <c r="O30" s="39" t="s">
        <v>103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76</v>
      </c>
      <c r="N31" s="15">
        <v>2602</v>
      </c>
      <c r="O31" s="39" t="s">
        <v>103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137</v>
      </c>
      <c r="N32" s="15">
        <v>780</v>
      </c>
      <c r="O32" s="39" t="s">
        <v>138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104</v>
      </c>
      <c r="N33" s="15">
        <v>1500</v>
      </c>
      <c r="O33" s="39" t="s">
        <v>105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42</v>
      </c>
      <c r="N34" s="15">
        <v>7487</v>
      </c>
      <c r="O34" s="39" t="s">
        <v>106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149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3323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36" t="s">
        <v>165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46228.808226620371</v>
      </c>
      <c r="C5">
        <f t="shared" ref="C5:C68" si="0">IF(ISNUMBER(E5), IF(ISNUMBER(C4), C4+1, 1), "")</f>
        <v>1</v>
      </c>
      <c r="D5" t="s">
        <v>150</v>
      </c>
      <c r="E5">
        <v>2</v>
      </c>
      <c r="F5">
        <v>320</v>
      </c>
      <c r="G5" t="s">
        <v>26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608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>
        <f t="shared" si="0"/>
        <v>2</v>
      </c>
      <c r="D6" t="s">
        <v>150</v>
      </c>
      <c r="E6">
        <v>2</v>
      </c>
      <c r="F6">
        <v>320</v>
      </c>
      <c r="G6" t="s">
        <v>26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608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>
        <f t="shared" si="0"/>
        <v>3</v>
      </c>
      <c r="D7" t="s">
        <v>151</v>
      </c>
      <c r="E7">
        <v>1</v>
      </c>
      <c r="F7">
        <v>280</v>
      </c>
      <c r="G7" t="s">
        <v>26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252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>
        <f t="shared" si="0"/>
        <v>4</v>
      </c>
      <c r="D8" t="s">
        <v>152</v>
      </c>
      <c r="E8">
        <v>1</v>
      </c>
      <c r="F8">
        <v>66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66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>
        <f t="shared" si="0"/>
        <v>5</v>
      </c>
      <c r="D9" t="s">
        <v>153</v>
      </c>
      <c r="E9">
        <v>1</v>
      </c>
      <c r="F9">
        <v>20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>
        <f t="shared" si="0"/>
        <v>6</v>
      </c>
      <c r="D10" t="s">
        <v>154</v>
      </c>
      <c r="E10">
        <v>1</v>
      </c>
      <c r="F10">
        <v>15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>
        <f t="shared" si="0"/>
        <v>7</v>
      </c>
      <c r="D11" t="s">
        <v>155</v>
      </c>
      <c r="E11">
        <v>3</v>
      </c>
      <c r="F11">
        <v>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>
        <f t="shared" si="0"/>
        <v>8</v>
      </c>
      <c r="D12" t="s">
        <v>156</v>
      </c>
      <c r="E12">
        <v>1</v>
      </c>
      <c r="F12">
        <v>75</v>
      </c>
      <c r="G12" t="s">
        <v>26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67.5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>
        <f t="shared" si="0"/>
        <v>9</v>
      </c>
      <c r="D13" t="s">
        <v>157</v>
      </c>
      <c r="E13">
        <v>2</v>
      </c>
      <c r="F13">
        <v>3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6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>
        <f t="shared" si="0"/>
        <v>10</v>
      </c>
      <c r="D14" t="s">
        <v>158</v>
      </c>
      <c r="E14">
        <v>1</v>
      </c>
      <c r="F14">
        <v>93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93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>
        <f t="shared" si="0"/>
        <v>11</v>
      </c>
      <c r="D15" t="s">
        <v>159</v>
      </c>
      <c r="E15">
        <v>1</v>
      </c>
      <c r="F15">
        <v>125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125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>
        <f t="shared" si="0"/>
        <v>12</v>
      </c>
      <c r="D16" t="s">
        <v>161</v>
      </c>
      <c r="E16">
        <v>1</v>
      </c>
      <c r="F16">
        <v>550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550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>
        <f t="shared" si="0"/>
        <v>13</v>
      </c>
      <c r="D17" t="s">
        <v>59</v>
      </c>
      <c r="E17">
        <v>1</v>
      </c>
      <c r="F17">
        <v>95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95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>
        <f t="shared" si="0"/>
        <v>14</v>
      </c>
      <c r="D18" t="s">
        <v>45</v>
      </c>
      <c r="E18">
        <v>1</v>
      </c>
      <c r="F18">
        <v>5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>
        <f t="shared" si="0"/>
        <v>15</v>
      </c>
      <c r="D19" t="s">
        <v>162</v>
      </c>
      <c r="E19">
        <v>1</v>
      </c>
      <c r="F19">
        <v>50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50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>
        <f t="shared" si="0"/>
        <v>16</v>
      </c>
      <c r="D20" t="s">
        <v>163</v>
      </c>
      <c r="E20">
        <v>1</v>
      </c>
      <c r="F20">
        <v>600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600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>
        <f t="shared" si="0"/>
        <v>17</v>
      </c>
      <c r="D21" t="s">
        <v>164</v>
      </c>
      <c r="E21">
        <v>1</v>
      </c>
      <c r="F21">
        <v>48</v>
      </c>
      <c r="G21" t="s">
        <v>26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43.5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59</v>
      </c>
      <c r="E22">
        <v>1</v>
      </c>
      <c r="F22">
        <v>95</v>
      </c>
      <c r="G22" t="s">
        <v>26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90.5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153</v>
      </c>
      <c r="E23">
        <v>1</v>
      </c>
      <c r="F23">
        <v>15</v>
      </c>
      <c r="G23" t="s">
        <v>26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13.5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160</v>
      </c>
      <c r="N27" s="15">
        <v>5718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46228.808226620371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46228.808226620371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46228.808226620371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46228.808226620371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46228.808226620371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46228.808226620371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46228.808226620371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46228.808226620371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46228.808226620371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46228.808226620371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46228.808226620371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46228.808226620371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46228.808226620371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46228.808226620371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46228.808226620371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46228.808226620371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20-07-26</vt:lpstr>
      <vt:lpstr>Martes 21-07-26</vt:lpstr>
      <vt:lpstr>Miercoles 22-07-26</vt:lpstr>
      <vt:lpstr>Jueves 23-07-26</vt:lpstr>
      <vt:lpstr>Viernes 24 -07-26</vt:lpstr>
      <vt:lpstr>Sabado 25-07-26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2026-07-26T01:26:43Z</dcterms:modified>
</cp:coreProperties>
</file>