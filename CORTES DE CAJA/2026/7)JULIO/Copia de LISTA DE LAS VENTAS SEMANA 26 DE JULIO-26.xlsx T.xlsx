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FC93F03D-1DB1-4546-8C13-EC2747369E91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07-07-26" sheetId="1" r:id="rId1"/>
    <sheet name="Martes 07-07-26" sheetId="2" r:id="rId2"/>
    <sheet name="Miercoles 08-07-26" sheetId="3" r:id="rId3"/>
    <sheet name="Jueves 09-07-26" sheetId="4" r:id="rId4"/>
    <sheet name="Viernes 10-07-26" sheetId="5" r:id="rId5"/>
    <sheet name="Sabado 11-07-26" sheetId="6" r:id="rId6"/>
    <sheet name="Domingo" sheetId="8" r:id="rId7"/>
    <sheet name="Cambios" sheetId="7" r:id="rId8"/>
  </sheets>
  <definedNames>
    <definedName name="_xlnm._FilterDatabase" localSheetId="0" hidden="1">'Lunes 07-07-26'!$B$4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0" i="2" l="1"/>
  <c r="C5" i="3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<sst xmlns="http://schemas.openxmlformats.org/spreadsheetml/2006/main" count="373" uniqueCount="167">
  <si>
    <t>Producto</t>
  </si>
  <si>
    <t>Cantidad</t>
  </si>
  <si>
    <t>Precio</t>
  </si>
  <si>
    <t>Descuento</t>
  </si>
  <si>
    <t>Importa</t>
  </si>
  <si>
    <t>Lunes 01-02-03</t>
  </si>
  <si>
    <t>Notas del dia</t>
  </si>
  <si>
    <t>Para dar un salto de linea presionar alt. + enter</t>
  </si>
  <si>
    <t>Colocar x si descuento</t>
  </si>
  <si>
    <t>Viernes 01-02-03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</si>
  <si>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</si>
  <si>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</si>
  <si>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</si>
  <si>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</si>
  <si>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</si>
  <si>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</si>
  <si>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</si>
  <si>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</si>
  <si>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</si>
  <si>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</si>
  <si>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</si>
  <si>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</si>
  <si>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</si>
  <si>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</si>
  <si>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</si>
  <si>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</si>
  <si>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</si>
  <si>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 xml:space="preserve">AUXILIAR DE LUPA DORADOS </t>
  </si>
  <si>
    <t xml:space="preserve">CADENA 520 CON ORING DORADA </t>
  </si>
  <si>
    <t>CAMARA 4.10.18</t>
  </si>
  <si>
    <t xml:space="preserve">ROLLO YH FABULOSO </t>
  </si>
  <si>
    <t xml:space="preserve">FUSIBLE </t>
  </si>
  <si>
    <t>ACEITE YAMALUBE</t>
  </si>
  <si>
    <t>X</t>
  </si>
  <si>
    <t xml:space="preserve">BUJIA C7 </t>
  </si>
  <si>
    <t>FOCO H6 LED</t>
  </si>
  <si>
    <t>ACEITE AKRON</t>
  </si>
  <si>
    <t>STIKER</t>
  </si>
  <si>
    <t>CHICOTE DE ACELERADOR DM200</t>
  </si>
  <si>
    <t>CALAVERA DE FT150</t>
  </si>
  <si>
    <t>CAMARA 3.00.18</t>
  </si>
  <si>
    <t>CUENTA DE SEMANA PASADA $ 27464 MENOS 65 DE PAPEL Y FABULOSO QUEDA $ 27399 MENOS $ 1404 DE ACEITE ACEITE AKRON QUEDA $ 25995</t>
  </si>
  <si>
    <t>CHICOTE DE CLUTH UNIVERSA</t>
  </si>
  <si>
    <t xml:space="preserve">AORCADOR UNIVERSAL </t>
  </si>
  <si>
    <t xml:space="preserve">ACEITE AKRON </t>
  </si>
  <si>
    <t>Martes 07 DE JULIO-26</t>
  </si>
  <si>
    <t>BALATA DE TAMBOR DS150  WAPEMEX</t>
  </si>
  <si>
    <t xml:space="preserve">MANUBRIO DE 3 PIEZAS NEGRO </t>
  </si>
  <si>
    <t xml:space="preserve">ESPEJOS COFEE RANCING </t>
  </si>
  <si>
    <t>PIPETA DE CARBURADOR FT150 NASAKI</t>
  </si>
  <si>
    <t>ARBOL DE LEVAS FT150</t>
  </si>
  <si>
    <t xml:space="preserve">JUNTA DE MOTOR FT150 </t>
  </si>
  <si>
    <t>CAMARA 130-90-10</t>
  </si>
  <si>
    <t xml:space="preserve">CLAXON </t>
  </si>
  <si>
    <t xml:space="preserve">MANGUERA DE GASOLINA </t>
  </si>
  <si>
    <t>BUJIA D8</t>
  </si>
  <si>
    <t xml:space="preserve">FILTRO DE GASOLINA CARTON </t>
  </si>
  <si>
    <t>FILTRO DE AIRE DM200</t>
  </si>
  <si>
    <t>FILTRO DE AIRE WS150</t>
  </si>
  <si>
    <t>CADENA DE DISTRIBUCCION 250Z</t>
  </si>
  <si>
    <t xml:space="preserve">ACEITE LUBER </t>
  </si>
  <si>
    <t>FOCO H4 HALOGENO</t>
  </si>
  <si>
    <t>PILA 12N5 WINMEX</t>
  </si>
  <si>
    <t xml:space="preserve">FILTRO DE CARTON GASOLINA </t>
  </si>
  <si>
    <t>PIPETA DE CARBURADOR 150Z</t>
  </si>
  <si>
    <t>PEDAL DE CAMBIOS 250Z</t>
  </si>
  <si>
    <t>BOMBA DE FRENO DELANTERO FT150</t>
  </si>
  <si>
    <t xml:space="preserve">TAPAS LATERALES DE FT150 NEGRA </t>
  </si>
  <si>
    <t xml:space="preserve">MANGUERA DE FRENO DELANTERO </t>
  </si>
  <si>
    <t>MANIJA IZQUIERDA SZ250</t>
  </si>
  <si>
    <t>ACEITE MOTUL 7100-10-W-40</t>
  </si>
  <si>
    <t>BUJIA C9</t>
  </si>
  <si>
    <t>LIMPIADOR DE CARBURADOR AXPRO</t>
  </si>
  <si>
    <t>PEDIDOM NASAKI</t>
  </si>
  <si>
    <t xml:space="preserve">CUENTA SEMANA PASADA $ 25995 MENOS $ 4220 DE PEDIDO NASAKI QUEDA $ 21775 </t>
  </si>
  <si>
    <t xml:space="preserve">SILENCIADOR </t>
  </si>
  <si>
    <t xml:space="preserve">MOFLE PARA ESCAPE </t>
  </si>
  <si>
    <t>TORNILLO PARA CABEZA DE CILINDRO</t>
  </si>
  <si>
    <t>Miercoles 08 DE JUNIO-26</t>
  </si>
  <si>
    <t>PILA 12N7 BS NASAKI</t>
  </si>
  <si>
    <t>PEDIDO OSCAR</t>
  </si>
  <si>
    <t>CUENTA SEMANA PASADA $21775 MENOS $ 1560 DE PEDIDO DE OSCAR QUEDA $20215</t>
  </si>
  <si>
    <t>SELLO DE ESCAPE FT150</t>
  </si>
  <si>
    <t xml:space="preserve">MANGUERA DE GASOLINA MEDIO </t>
  </si>
  <si>
    <t>CADENA 428 WAPEMEX</t>
  </si>
  <si>
    <t>BUJES DE SPROKET FT150</t>
  </si>
  <si>
    <t>PIÑON DE FT150</t>
  </si>
  <si>
    <t>MANUJA IZQUIERDA 150Z</t>
  </si>
  <si>
    <t>PILA QLINK 12N7 3A</t>
  </si>
  <si>
    <t>CAMARA 2.75.18</t>
  </si>
  <si>
    <t>SEGURO DE PIÑON</t>
  </si>
  <si>
    <t xml:space="preserve">CADENA CON ORING 428 </t>
  </si>
  <si>
    <t>ROLLO</t>
  </si>
  <si>
    <t>LUNES 07 DE JULIO-26</t>
  </si>
  <si>
    <t>AKRON</t>
  </si>
  <si>
    <t>P.NASAKI</t>
  </si>
  <si>
    <t>MARTES 08 DE JULIO-26</t>
  </si>
  <si>
    <t xml:space="preserve">P.OSCAR </t>
  </si>
  <si>
    <t>MIERCOLES 09 DE JULIO-26</t>
  </si>
  <si>
    <t xml:space="preserve">TOTAL </t>
  </si>
  <si>
    <t>PAGOYAS</t>
  </si>
  <si>
    <t>VIERNES 10 DE JULIO-26</t>
  </si>
  <si>
    <t xml:space="preserve">TOTAL DE EGRESOS </t>
  </si>
  <si>
    <t>Jueves 08 DE JULIO-26</t>
  </si>
  <si>
    <t xml:space="preserve">BUJE DE SPROKET </t>
  </si>
  <si>
    <t>BUJE DE PLASTICO</t>
  </si>
  <si>
    <t>ACEITE MOTUL 3000</t>
  </si>
  <si>
    <t>CABLE NEGRO SUELTO</t>
  </si>
  <si>
    <t>TIRAS LED AZUL</t>
  </si>
  <si>
    <t>RED DE ACIENTO WS150</t>
  </si>
  <si>
    <t xml:space="preserve">ACEITE TOP RANCING </t>
  </si>
  <si>
    <t>BUJIA C7</t>
  </si>
  <si>
    <t>SELLO DE ESCAPE DS150</t>
  </si>
  <si>
    <t xml:space="preserve">GOMA </t>
  </si>
  <si>
    <t xml:space="preserve">FOCO DE STOP </t>
  </si>
  <si>
    <t>SENSOR</t>
  </si>
  <si>
    <t xml:space="preserve">RESORTE DEL FRENO </t>
  </si>
  <si>
    <t>HUESO DE CADENA</t>
  </si>
  <si>
    <t>SWUITH DE FT250 ITALIKA</t>
  </si>
  <si>
    <t xml:space="preserve">CABLE INTERRUPTOR DE FRENO TRASERO </t>
  </si>
  <si>
    <t>MANGUERA DE FRENO TRASERO ATV150</t>
  </si>
  <si>
    <t xml:space="preserve">BALATA DE TAMBOR CHICO </t>
  </si>
  <si>
    <t>FILTRO DE AIRE WS150 ITALIKA</t>
  </si>
  <si>
    <t xml:space="preserve">FOCO PELLIZCO </t>
  </si>
  <si>
    <t xml:space="preserve">ARNES DE 2 PINES </t>
  </si>
  <si>
    <t xml:space="preserve">PORTAFUSIBLE </t>
  </si>
  <si>
    <t>TUBO MOVIL DE ACELERADOR</t>
  </si>
  <si>
    <t>CHICOTE DE CLUTH UNIVERSAL</t>
  </si>
  <si>
    <t>CHIOTE DE ACELERADOR UNIVERSAL</t>
  </si>
  <si>
    <t>NOTA10</t>
  </si>
  <si>
    <t>DANIEL</t>
  </si>
  <si>
    <t xml:space="preserve">TERMINAL DE BACTERIA </t>
  </si>
  <si>
    <t>LUBER</t>
  </si>
  <si>
    <t>QLINK</t>
  </si>
  <si>
    <t>PIPETA DE CARBURADOR DM200</t>
  </si>
  <si>
    <t>FOCO H6 HALOGENO</t>
  </si>
  <si>
    <t>TORNILLO</t>
  </si>
  <si>
    <t xml:space="preserve">AORCADOR DE CLUTH UNIVERSAL </t>
  </si>
  <si>
    <t xml:space="preserve">ESPEJOS DE ALERON </t>
  </si>
  <si>
    <r>
      <rPr>
        <b/>
        <sz val="14"/>
        <color theme="1"/>
        <rFont val="Calibri"/>
        <family val="2"/>
        <scheme val="minor"/>
      </rPr>
      <t xml:space="preserve">CORTES DE LA SEMANA   SEMANA PASADA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LUNES 07 DE JULIO-26                  $27464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$2191.5       MENOS $17488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MARTES 08 DE JULIO-26             $9976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$ 3756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09 DE JULIO-26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$ 2343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JUEVES 09 DE JULIO-26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$ 1263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VIERNES 10 DE JULIO-26</t>
    </r>
    <r>
      <rPr>
        <sz val="11"/>
        <color theme="1"/>
        <rFont val="Calibri"/>
        <family val="2"/>
        <scheme val="minor"/>
      </rPr>
      <t xml:space="preserve"> 
</t>
    </r>
    <r>
      <rPr>
        <b/>
        <sz val="16"/>
        <color rgb="FFFF0000"/>
        <rFont val="Calibri"/>
        <family val="2"/>
        <scheme val="minor"/>
      </rPr>
      <t xml:space="preserve">VENTA $ 875.5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 xml:space="preserve">TOTAL $ 10429
TOTAL EN CAJA $ 20405 </t>
    </r>
  </si>
  <si>
    <t>Sabado 11 DE JULIO-26</t>
  </si>
  <si>
    <t>BALATA DE TAMBOR DS150</t>
  </si>
  <si>
    <t>BALATA DE DISCO DS150</t>
  </si>
  <si>
    <t xml:space="preserve">TORNILLO </t>
  </si>
  <si>
    <t>PILA QLINK YTX 5</t>
  </si>
  <si>
    <t>LLANTA 110-80-17</t>
  </si>
  <si>
    <t>ACEITE MOTUL  10W-40</t>
  </si>
  <si>
    <t>RODILLO DE CENTRIFUJO</t>
  </si>
  <si>
    <t>RESBALON DE CENTRIFUJO DS150</t>
  </si>
  <si>
    <t>BALATA DE DISCO HONDA</t>
  </si>
  <si>
    <t>FILTROD E AIRE WS150 SPOR</t>
  </si>
  <si>
    <t>PASTAS DE CLUTH DS150</t>
  </si>
  <si>
    <t xml:space="preserve">JUNTA PULSAR </t>
  </si>
  <si>
    <t xml:space="preserve">TEMINAL DE BACTERIA </t>
  </si>
  <si>
    <t xml:space="preserve">RELEE DE FT1200 ITALIKA </t>
  </si>
  <si>
    <t>FILTRO DE ACEI PULSAR 200NS</t>
  </si>
  <si>
    <t xml:space="preserve">FILTROS DE GASOLINA CARTON </t>
  </si>
  <si>
    <t>CHICOTE DE FRENO TRASERO WS150</t>
  </si>
  <si>
    <t>SALPICADERA DERANTERA FT150</t>
  </si>
  <si>
    <t>ACEITE LUBER</t>
  </si>
  <si>
    <t>TORNILLO M8</t>
  </si>
  <si>
    <t>BOMBA DE FRENO FT150</t>
  </si>
  <si>
    <t>CHICOTED E CLUTH CGL150</t>
  </si>
  <si>
    <t>PILA QLINK YTX 12N7 -BS</t>
  </si>
  <si>
    <t xml:space="preserve">BUJES DE SPROKET PLASTICO </t>
  </si>
  <si>
    <t>BIRLOS PARA MASA FT150</t>
  </si>
  <si>
    <r>
      <t xml:space="preserve">CUENTA DE HOY SABADO $ 5970MENOS $ 300 DE PAGO DE YAS QUEDA $ 5670  MAS LO DE AYER EN CAJA $ 20405 
</t>
    </r>
    <r>
      <rPr>
        <b/>
        <sz val="24"/>
        <color theme="1"/>
        <rFont val="Calibri"/>
        <family val="2"/>
        <scheme val="minor"/>
      </rPr>
      <t xml:space="preserve">TOTAL EN CAJA $ 26075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</si>
</sst>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3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35" sqref="D35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34" t="s">
        <v>5</v>
      </c>
      <c r="D2" s="34"/>
      <c r="E2" s="35"/>
      <c r="F2" s="35"/>
      <c r="G2" s="35"/>
      <c r="H2" s="35"/>
      <c r="L2" s="8"/>
      <c r="M2" s="34" t="s">
        <v>6</v>
      </c>
      <c r="N2" s="35"/>
      <c r="O2" s="35"/>
      <c r="P2" s="35"/>
      <c r="Q2" s="35"/>
      <c r="R2" s="35"/>
    </row>
    <row r="3" spans="2:18" ht="26.25" x14ac:dyDescent="0.4">
      <c r="G3" t="s">
        <v>8</v>
      </c>
      <c r="J3" s="12" t="s">
        <v>19</v>
      </c>
      <c r="K3" s="6">
        <f>SUM(Tabla1[Importa])</f>
        <v>2191.5</v>
      </c>
      <c r="M3" s="37" t="s">
        <v>7</v>
      </c>
      <c r="N3" s="37"/>
      <c r="O3" s="37"/>
      <c r="P3" s="37"/>
      <c r="Q3" s="37"/>
      <c r="R3" s="37"/>
    </row>
    <row r="4" spans="2:18" ht="31.5" x14ac:dyDescent="0.5">
      <c r="B4" s="17" t="s">
        <v>25</v>
      </c>
      <c r="C4" t="s">
        <v>17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20</v>
      </c>
      <c r="K4" s="10">
        <f>COUNTIF(C5:C103,"&gt;0")</f>
        <v>17</v>
      </c>
      <c r="M4" s="36" t="s">
        <v>41</v>
      </c>
      <c r="N4" s="36"/>
      <c r="O4" s="36"/>
      <c r="P4" s="36"/>
      <c r="Q4" s="36"/>
      <c r="R4" s="36"/>
    </row>
    <row r="5" spans="2:18" x14ac:dyDescent="0.25">
      <c r="B5" s="18">
        <f ca="1">IF(Tabla1[[#This Row],['#]]&lt;&gt;"", NOW(), "")</f>
        <v>46214.811207870371</v>
      </c>
      <c r="C5">
        <f>IF(ISNUMBER(E5), IF(ISNUMBER(C4), C4+1, 1), "")</f>
        <v>1</v>
      </c>
      <c r="D5" t="s">
        <v>27</v>
      </c>
      <c r="E5">
        <v>1</v>
      </c>
      <c r="F5">
        <v>380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380</v>
      </c>
      <c r="J5" s="38" t="s">
        <v>13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46214.811207870371</v>
      </c>
      <c r="C6">
        <f t="shared" ref="C6:C36" si="0">IF(ISNUMBER(E6), IF(ISNUMBER(C5), C5+1, 1), "")</f>
        <v>2</v>
      </c>
      <c r="D6" t="s">
        <v>28</v>
      </c>
      <c r="E6">
        <v>1</v>
      </c>
      <c r="F6">
        <v>799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799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46214.811207870371</v>
      </c>
      <c r="C7">
        <f t="shared" si="0"/>
        <v>3</v>
      </c>
      <c r="D7" t="s">
        <v>29</v>
      </c>
      <c r="E7">
        <v>1</v>
      </c>
      <c r="F7">
        <v>95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95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46214.811207870371</v>
      </c>
      <c r="C8">
        <f t="shared" si="0"/>
        <v>4</v>
      </c>
      <c r="D8" t="s">
        <v>31</v>
      </c>
      <c r="E8">
        <v>1</v>
      </c>
      <c r="F8">
        <v>3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3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46214.811207870371</v>
      </c>
      <c r="C9">
        <f t="shared" si="0"/>
        <v>5</v>
      </c>
      <c r="D9" t="s">
        <v>32</v>
      </c>
      <c r="E9">
        <v>1</v>
      </c>
      <c r="F9">
        <v>150</v>
      </c>
      <c r="G9" t="s">
        <v>33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142.5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46214.811207870371</v>
      </c>
      <c r="C10">
        <f t="shared" si="0"/>
        <v>6</v>
      </c>
      <c r="D10" t="s">
        <v>34</v>
      </c>
      <c r="E10">
        <v>1</v>
      </c>
      <c r="F10">
        <v>50</v>
      </c>
      <c r="G10" t="s">
        <v>33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45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46214.811207870371</v>
      </c>
      <c r="C11">
        <f t="shared" si="0"/>
        <v>7</v>
      </c>
      <c r="D11" t="s">
        <v>35</v>
      </c>
      <c r="E11">
        <v>1</v>
      </c>
      <c r="F11">
        <v>150</v>
      </c>
      <c r="G11" t="s">
        <v>33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135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46214.811207870371</v>
      </c>
      <c r="C12">
        <f t="shared" si="0"/>
        <v>8</v>
      </c>
      <c r="D12" t="s">
        <v>37</v>
      </c>
      <c r="E12">
        <v>2</v>
      </c>
      <c r="F12">
        <v>5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10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46214.811207870371</v>
      </c>
      <c r="C13">
        <f t="shared" si="0"/>
        <v>9</v>
      </c>
      <c r="D13" t="s">
        <v>38</v>
      </c>
      <c r="E13">
        <v>1</v>
      </c>
      <c r="F13">
        <v>60</v>
      </c>
      <c r="G13" t="s">
        <v>33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54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46214.811207870371</v>
      </c>
      <c r="C14">
        <f t="shared" si="0"/>
        <v>10</v>
      </c>
      <c r="D14" t="s">
        <v>37</v>
      </c>
      <c r="E14">
        <v>3</v>
      </c>
      <c r="F14">
        <v>5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15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46214.811207870371</v>
      </c>
      <c r="C15">
        <f t="shared" si="0"/>
        <v>11</v>
      </c>
      <c r="D15" t="s">
        <v>39</v>
      </c>
      <c r="E15">
        <v>1</v>
      </c>
      <c r="F15">
        <v>156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156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46214.811207870371</v>
      </c>
      <c r="C16">
        <f t="shared" si="0"/>
        <v>12</v>
      </c>
      <c r="D16" t="s">
        <v>40</v>
      </c>
      <c r="E16">
        <v>1</v>
      </c>
      <c r="F16">
        <v>65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65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46214.811207870371</v>
      </c>
      <c r="C17">
        <f t="shared" si="0"/>
        <v>13</v>
      </c>
      <c r="D17" t="s">
        <v>37</v>
      </c>
      <c r="E17">
        <v>4</v>
      </c>
      <c r="F17">
        <v>5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20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46214.811207870371</v>
      </c>
      <c r="C18">
        <f t="shared" si="0"/>
        <v>14</v>
      </c>
      <c r="D18" t="s">
        <v>37</v>
      </c>
      <c r="E18">
        <v>1</v>
      </c>
      <c r="F18">
        <v>5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46214.811207870371</v>
      </c>
      <c r="C19">
        <f t="shared" si="0"/>
        <v>15</v>
      </c>
      <c r="D19" t="s">
        <v>42</v>
      </c>
      <c r="E19">
        <v>1</v>
      </c>
      <c r="F19">
        <v>15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15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46214.811207870371</v>
      </c>
      <c r="C20">
        <f t="shared" si="0"/>
        <v>16</v>
      </c>
      <c r="D20" t="s">
        <v>43</v>
      </c>
      <c r="E20">
        <v>1</v>
      </c>
      <c r="F20">
        <v>5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46214.811207870371</v>
      </c>
      <c r="C21">
        <f t="shared" si="0"/>
        <v>17</v>
      </c>
      <c r="D21" t="s">
        <v>44</v>
      </c>
      <c r="E21">
        <v>2</v>
      </c>
      <c r="F21">
        <v>130</v>
      </c>
      <c r="G21" t="s">
        <v>33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247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/>
      </c>
      <c r="M24" s="32" t="s">
        <v>21</v>
      </c>
      <c r="N24" s="32"/>
      <c r="O24" s="32"/>
      <c r="P24" s="32"/>
      <c r="Q24" s="32"/>
      <c r="R24" s="32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/>
      </c>
      <c r="M25" s="33"/>
      <c r="N25" s="33"/>
      <c r="O25" s="33"/>
      <c r="P25" s="33"/>
      <c r="Q25" s="33"/>
      <c r="R25" s="33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/>
      </c>
      <c r="M26" s="31" t="s">
        <v>22</v>
      </c>
      <c r="N26" s="31"/>
      <c r="O26" s="14" t="s">
        <v>23</v>
      </c>
      <c r="P26" s="31" t="s">
        <v>24</v>
      </c>
      <c r="Q26" s="31"/>
      <c r="R26" s="31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/>
      </c>
      <c r="M27" s="19" t="s">
        <v>30</v>
      </c>
      <c r="N27" s="20"/>
      <c r="O27" s="23">
        <v>65</v>
      </c>
      <c r="P27" s="25"/>
      <c r="Q27" s="26"/>
      <c r="R27" s="27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/>
      </c>
      <c r="M28" s="21"/>
      <c r="N28" s="22"/>
      <c r="O28" s="24"/>
      <c r="P28" s="28"/>
      <c r="Q28" s="29"/>
      <c r="R28" s="30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19" t="s">
        <v>36</v>
      </c>
      <c r="N29" s="20"/>
      <c r="O29" s="23">
        <v>1404</v>
      </c>
      <c r="P29" s="25"/>
      <c r="Q29" s="26"/>
      <c r="R29" s="27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1"/>
      <c r="N30" s="22"/>
      <c r="O30" s="24"/>
      <c r="P30" s="28"/>
      <c r="Q30" s="29"/>
      <c r="R30" s="30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19"/>
      <c r="N31" s="20"/>
      <c r="O31" s="23"/>
      <c r="P31" s="25"/>
      <c r="Q31" s="26"/>
      <c r="R31" s="27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1"/>
      <c r="N32" s="22"/>
      <c r="O32" s="24"/>
      <c r="P32" s="28"/>
      <c r="Q32" s="29"/>
      <c r="R32" s="30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19"/>
      <c r="N33" s="20"/>
      <c r="O33" s="23"/>
      <c r="P33" s="25"/>
      <c r="Q33" s="26"/>
      <c r="R33" s="27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1"/>
      <c r="N34" s="22"/>
      <c r="O34" s="24"/>
      <c r="P34" s="28"/>
      <c r="Q34" s="29"/>
      <c r="R34" s="30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19"/>
      <c r="N35" s="20"/>
      <c r="O35" s="23"/>
      <c r="P35" s="25"/>
      <c r="Q35" s="26"/>
      <c r="R35" s="27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1"/>
      <c r="N36" s="22"/>
      <c r="O36" s="24"/>
      <c r="P36" s="28"/>
      <c r="Q36" s="29"/>
      <c r="R36" s="30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19"/>
      <c r="N37" s="20"/>
      <c r="O37" s="23"/>
      <c r="P37" s="25"/>
      <c r="Q37" s="26"/>
      <c r="R37" s="27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1"/>
      <c r="N38" s="22"/>
      <c r="O38" s="24"/>
      <c r="P38" s="28"/>
      <c r="Q38" s="29"/>
      <c r="R38" s="30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19"/>
      <c r="N39" s="20"/>
      <c r="O39" s="23"/>
      <c r="P39" s="25"/>
      <c r="Q39" s="26"/>
      <c r="R39" s="27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1"/>
      <c r="N40" s="22"/>
      <c r="O40" s="24"/>
      <c r="P40" s="28"/>
      <c r="Q40" s="29"/>
      <c r="R40" s="30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19"/>
      <c r="N41" s="20"/>
      <c r="O41" s="23"/>
      <c r="P41" s="25"/>
      <c r="Q41" s="26"/>
      <c r="R41" s="27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1"/>
      <c r="N42" s="22"/>
      <c r="O42" s="24"/>
      <c r="P42" s="28"/>
      <c r="Q42" s="29"/>
      <c r="R42" s="30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19"/>
      <c r="N43" s="20"/>
      <c r="O43" s="23"/>
      <c r="P43" s="25"/>
      <c r="Q43" s="26"/>
      <c r="R43" s="27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1"/>
      <c r="N44" s="22"/>
      <c r="O44" s="24"/>
      <c r="P44" s="28"/>
      <c r="Q44" s="29"/>
      <c r="R44" s="30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19"/>
      <c r="N45" s="20"/>
      <c r="O45" s="23"/>
      <c r="P45" s="25"/>
      <c r="Q45" s="26"/>
      <c r="R45" s="27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1"/>
      <c r="N46" s="22"/>
      <c r="O46" s="24"/>
      <c r="P46" s="28"/>
      <c r="Q46" s="29"/>
      <c r="R46" s="30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19"/>
      <c r="N47" s="20"/>
      <c r="O47" s="23"/>
      <c r="P47" s="25"/>
      <c r="Q47" s="26"/>
      <c r="R47" s="27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1"/>
      <c r="N48" s="22"/>
      <c r="O48" s="24"/>
      <c r="P48" s="28"/>
      <c r="Q48" s="29"/>
      <c r="R48" s="30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19"/>
      <c r="N49" s="20"/>
      <c r="O49" s="23"/>
      <c r="P49" s="25"/>
      <c r="Q49" s="26"/>
      <c r="R49" s="27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1"/>
      <c r="N50" s="22"/>
      <c r="O50" s="24"/>
      <c r="P50" s="28"/>
      <c r="Q50" s="29"/>
      <c r="R50" s="30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19"/>
      <c r="N51" s="20"/>
      <c r="O51" s="23"/>
      <c r="P51" s="25"/>
      <c r="Q51" s="26"/>
      <c r="R51" s="27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1"/>
      <c r="N52" s="22"/>
      <c r="O52" s="24"/>
      <c r="P52" s="28"/>
      <c r="Q52" s="29"/>
      <c r="R52" s="30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24:R24"/>
    <mergeCell ref="M25:R25"/>
    <mergeCell ref="C2:H2"/>
    <mergeCell ref="M4:R22"/>
    <mergeCell ref="M2:R2"/>
    <mergeCell ref="M3:R3"/>
    <mergeCell ref="J5:K14"/>
    <mergeCell ref="M41:N42"/>
    <mergeCell ref="M43:N44"/>
    <mergeCell ref="O41:O42"/>
    <mergeCell ref="O43:O44"/>
    <mergeCell ref="P41:R42"/>
    <mergeCell ref="P43:R44"/>
    <mergeCell ref="P26:R26"/>
    <mergeCell ref="M26:N26"/>
    <mergeCell ref="M27:N28"/>
    <mergeCell ref="M29:N30"/>
    <mergeCell ref="O27:O28"/>
    <mergeCell ref="O29:O30"/>
    <mergeCell ref="P27:R28"/>
    <mergeCell ref="P29:R30"/>
    <mergeCell ref="M31:N32"/>
    <mergeCell ref="M33:N34"/>
    <mergeCell ref="M35:N36"/>
    <mergeCell ref="M37:N38"/>
    <mergeCell ref="M39:N40"/>
    <mergeCell ref="O31:O32"/>
    <mergeCell ref="O33:O34"/>
    <mergeCell ref="O35:O36"/>
    <mergeCell ref="O37:O38"/>
    <mergeCell ref="O39:O40"/>
    <mergeCell ref="P31:R32"/>
    <mergeCell ref="P33:R34"/>
    <mergeCell ref="P35:R36"/>
    <mergeCell ref="P37:R38"/>
    <mergeCell ref="P39:R40"/>
    <mergeCell ref="M45:N46"/>
    <mergeCell ref="O45:O46"/>
    <mergeCell ref="P45:R46"/>
    <mergeCell ref="M47:N48"/>
    <mergeCell ref="O47:O48"/>
    <mergeCell ref="P47:R48"/>
    <mergeCell ref="M49:N50"/>
    <mergeCell ref="O49:O50"/>
    <mergeCell ref="P49:R50"/>
    <mergeCell ref="M51:N52"/>
    <mergeCell ref="O51:O52"/>
    <mergeCell ref="P51:R52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38" sqref="D38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45</v>
      </c>
      <c r="D2" s="34"/>
      <c r="E2" s="35"/>
      <c r="F2" s="35"/>
      <c r="G2" s="35"/>
      <c r="H2" s="35"/>
      <c r="L2" s="8"/>
      <c r="M2" s="34" t="s">
        <v>6</v>
      </c>
      <c r="N2" s="35"/>
      <c r="O2" s="35"/>
      <c r="P2" s="35"/>
      <c r="Q2" s="35"/>
      <c r="R2" s="35"/>
    </row>
    <row r="3" spans="2:18" ht="26.25" x14ac:dyDescent="0.4">
      <c r="G3" t="s">
        <v>8</v>
      </c>
      <c r="J3" s="1" t="s">
        <v>19</v>
      </c>
      <c r="K3" s="6">
        <f>SUM(Tabla110[Importa])</f>
        <v>3756</v>
      </c>
      <c r="M3" s="37" t="s">
        <v>7</v>
      </c>
      <c r="N3" s="37"/>
      <c r="O3" s="37"/>
      <c r="P3" s="37"/>
      <c r="Q3" s="37"/>
      <c r="R3" s="37"/>
    </row>
    <row r="4" spans="2:18" ht="33.75" x14ac:dyDescent="0.5">
      <c r="B4" s="17" t="s">
        <v>25</v>
      </c>
      <c r="C4" t="s">
        <v>17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20</v>
      </c>
      <c r="K4" s="10">
        <f>COUNTIF(C5:C103,"&gt;0")</f>
        <v>33</v>
      </c>
      <c r="M4" s="36" t="s">
        <v>74</v>
      </c>
      <c r="N4" s="36"/>
      <c r="O4" s="36"/>
      <c r="P4" s="36"/>
      <c r="Q4" s="36"/>
      <c r="R4" s="36"/>
    </row>
    <row r="5" spans="2:18" x14ac:dyDescent="0.25">
      <c r="B5" s="18">
        <f ca="1">IF(Tabla110[[#This Row],['#]]&lt;&gt;"", NOW(), "")</f>
        <v>46214.811207870371</v>
      </c>
      <c r="C5">
        <f t="shared" ref="C5:C68" si="0">IF(ISNUMBER(E5), IF(ISNUMBER(C4), C4+1, 1), "")</f>
        <v>1</v>
      </c>
      <c r="D5" t="s">
        <v>46</v>
      </c>
      <c r="E5">
        <v>1</v>
      </c>
      <c r="F5">
        <v>70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70</v>
      </c>
      <c r="J5" s="38" t="s">
        <v>13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46214.811207870371</v>
      </c>
      <c r="C6">
        <f t="shared" si="0"/>
        <v>2</v>
      </c>
      <c r="D6" t="s">
        <v>47</v>
      </c>
      <c r="E6">
        <v>1</v>
      </c>
      <c r="F6">
        <v>280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280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46214.811207870371</v>
      </c>
      <c r="C7">
        <f t="shared" si="0"/>
        <v>3</v>
      </c>
      <c r="D7" t="s">
        <v>48</v>
      </c>
      <c r="E7">
        <v>1</v>
      </c>
      <c r="F7">
        <v>218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218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46214.811207870371</v>
      </c>
      <c r="C8">
        <f t="shared" si="0"/>
        <v>4</v>
      </c>
      <c r="D8" t="s">
        <v>49</v>
      </c>
      <c r="E8">
        <v>1</v>
      </c>
      <c r="F8">
        <v>42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42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46214.811207870371</v>
      </c>
      <c r="C9">
        <f t="shared" si="0"/>
        <v>5</v>
      </c>
      <c r="D9" t="s">
        <v>50</v>
      </c>
      <c r="E9">
        <v>1</v>
      </c>
      <c r="F9">
        <v>260</v>
      </c>
      <c r="G9" t="s">
        <v>33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234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46214.811207870371</v>
      </c>
      <c r="C10">
        <f t="shared" si="0"/>
        <v>6</v>
      </c>
      <c r="D10" t="s">
        <v>51</v>
      </c>
      <c r="E10">
        <v>1</v>
      </c>
      <c r="F10">
        <v>20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20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46214.811207870371</v>
      </c>
      <c r="C11">
        <f t="shared" si="0"/>
        <v>7</v>
      </c>
      <c r="D11" t="s">
        <v>52</v>
      </c>
      <c r="E11">
        <v>1</v>
      </c>
      <c r="F11">
        <v>85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85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46214.811207870371</v>
      </c>
      <c r="C12">
        <f t="shared" si="0"/>
        <v>8</v>
      </c>
      <c r="D12" t="s">
        <v>53</v>
      </c>
      <c r="E12">
        <v>1</v>
      </c>
      <c r="F12">
        <v>50</v>
      </c>
      <c r="G12" t="s">
        <v>33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45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46214.811207870371</v>
      </c>
      <c r="C13">
        <f t="shared" si="0"/>
        <v>9</v>
      </c>
      <c r="D13" t="s">
        <v>54</v>
      </c>
      <c r="E13">
        <v>2</v>
      </c>
      <c r="F13">
        <v>30</v>
      </c>
      <c r="G13" t="s">
        <v>33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54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46214.811207870371</v>
      </c>
      <c r="C14">
        <f t="shared" si="0"/>
        <v>10</v>
      </c>
      <c r="D14" t="s">
        <v>55</v>
      </c>
      <c r="E14">
        <v>1</v>
      </c>
      <c r="F14">
        <v>50</v>
      </c>
      <c r="G14" t="s">
        <v>33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45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46214.811207870371</v>
      </c>
      <c r="C15">
        <f t="shared" si="0"/>
        <v>11</v>
      </c>
      <c r="D15" t="s">
        <v>56</v>
      </c>
      <c r="E15">
        <v>1</v>
      </c>
      <c r="F15">
        <v>15</v>
      </c>
      <c r="G15" t="s">
        <v>33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13.5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46214.811207870371</v>
      </c>
      <c r="C16">
        <f t="shared" si="0"/>
        <v>12</v>
      </c>
      <c r="D16" t="s">
        <v>57</v>
      </c>
      <c r="E16">
        <v>1</v>
      </c>
      <c r="F16">
        <v>71</v>
      </c>
      <c r="G16" t="s">
        <v>33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64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46214.811207870371</v>
      </c>
      <c r="C17">
        <f t="shared" si="0"/>
        <v>13</v>
      </c>
      <c r="D17" t="s">
        <v>58</v>
      </c>
      <c r="E17">
        <v>1</v>
      </c>
      <c r="F17">
        <v>54</v>
      </c>
      <c r="G17" t="s">
        <v>33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49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46214.811207870371</v>
      </c>
      <c r="C18">
        <f t="shared" si="0"/>
        <v>14</v>
      </c>
      <c r="D18" t="s">
        <v>59</v>
      </c>
      <c r="E18">
        <v>1</v>
      </c>
      <c r="F18">
        <v>125</v>
      </c>
      <c r="G18" t="s">
        <v>33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112.5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46214.811207870371</v>
      </c>
      <c r="C19">
        <f t="shared" si="0"/>
        <v>15</v>
      </c>
      <c r="D19" t="s">
        <v>60</v>
      </c>
      <c r="E19">
        <v>1</v>
      </c>
      <c r="F19">
        <v>90</v>
      </c>
      <c r="G19" t="s">
        <v>33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85.5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46214.811207870371</v>
      </c>
      <c r="C20">
        <f t="shared" si="0"/>
        <v>16</v>
      </c>
      <c r="D20" t="s">
        <v>61</v>
      </c>
      <c r="E20">
        <v>1</v>
      </c>
      <c r="F20">
        <v>40</v>
      </c>
      <c r="G20" t="s">
        <v>33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36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46214.811207870371</v>
      </c>
      <c r="C21">
        <f t="shared" si="0"/>
        <v>17</v>
      </c>
      <c r="D21" t="s">
        <v>44</v>
      </c>
      <c r="E21">
        <v>1</v>
      </c>
      <c r="F21">
        <v>130</v>
      </c>
      <c r="G21" t="s">
        <v>33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123.5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62</v>
      </c>
      <c r="E22">
        <v>1</v>
      </c>
      <c r="F22">
        <v>550</v>
      </c>
      <c r="G22" t="s">
        <v>33</v>
      </c>
      <c r="H22" s="5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>495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55</v>
      </c>
      <c r="E23">
        <v>1</v>
      </c>
      <c r="F23">
        <v>50</v>
      </c>
      <c r="G23" t="s">
        <v>33</v>
      </c>
      <c r="H23" s="5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>45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63</v>
      </c>
      <c r="E24">
        <v>1</v>
      </c>
      <c r="F24">
        <v>15</v>
      </c>
      <c r="G24" t="s">
        <v>33</v>
      </c>
      <c r="H24" s="5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>13.5</v>
      </c>
      <c r="M24" s="32" t="s">
        <v>21</v>
      </c>
      <c r="N24" s="42"/>
      <c r="O24" s="42"/>
      <c r="P24" s="42"/>
      <c r="Q24" s="42"/>
      <c r="R24" s="42"/>
    </row>
    <row r="25" spans="2:18" x14ac:dyDescent="0.25">
      <c r="B25" s="18" t="str">
        <f ca="1">IF(Tabla1[[#This Row],['#]]&lt;&gt;"", NOW(), "")</f>
        <v/>
      </c>
      <c r="C25">
        <f t="shared" si="0"/>
        <v>21</v>
      </c>
      <c r="D25" t="s">
        <v>57</v>
      </c>
      <c r="E25">
        <v>1</v>
      </c>
      <c r="F25">
        <v>71</v>
      </c>
      <c r="G25" t="s">
        <v>33</v>
      </c>
      <c r="H25" s="5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>64</v>
      </c>
      <c r="M25" s="37"/>
      <c r="N25" s="37"/>
      <c r="O25" s="37"/>
      <c r="P25" s="37"/>
      <c r="Q25" s="37"/>
      <c r="R25" s="37"/>
    </row>
    <row r="26" spans="2:18" x14ac:dyDescent="0.25">
      <c r="B26" s="18" t="str">
        <f ca="1">IF(Tabla1[[#This Row],['#]]&lt;&gt;"", NOW(), "")</f>
        <v/>
      </c>
      <c r="C26">
        <f t="shared" si="0"/>
        <v>22</v>
      </c>
      <c r="D26" t="s">
        <v>64</v>
      </c>
      <c r="E26">
        <v>1</v>
      </c>
      <c r="F26">
        <v>160</v>
      </c>
      <c r="G26" t="s">
        <v>33</v>
      </c>
      <c r="H26" s="5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>144</v>
      </c>
      <c r="M26" s="14" t="s">
        <v>22</v>
      </c>
      <c r="N26" s="14" t="s">
        <v>23</v>
      </c>
      <c r="O26" s="31" t="s">
        <v>24</v>
      </c>
      <c r="P26" s="31"/>
      <c r="Q26" s="31"/>
      <c r="R26" s="31"/>
    </row>
    <row r="27" spans="2:18" ht="45" x14ac:dyDescent="0.25">
      <c r="B27" s="18" t="str">
        <f ca="1">IF(Tabla1[[#This Row],['#]]&lt;&gt;"", NOW(), "")</f>
        <v/>
      </c>
      <c r="C27">
        <f t="shared" si="0"/>
        <v>23</v>
      </c>
      <c r="D27" t="s">
        <v>65</v>
      </c>
      <c r="E27">
        <v>1</v>
      </c>
      <c r="F27">
        <v>165</v>
      </c>
      <c r="G27" t="s">
        <v>33</v>
      </c>
      <c r="H27" s="5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>148.5</v>
      </c>
      <c r="M27" s="13" t="s">
        <v>73</v>
      </c>
      <c r="N27" s="15">
        <v>4220</v>
      </c>
      <c r="O27" s="39"/>
      <c r="P27" s="40"/>
      <c r="Q27" s="40"/>
      <c r="R27" s="41"/>
    </row>
    <row r="28" spans="2:18" x14ac:dyDescent="0.25">
      <c r="B28" s="18" t="str">
        <f ca="1">IF(Tabla1[[#This Row],['#]]&lt;&gt;"", NOW(), "")</f>
        <v/>
      </c>
      <c r="C28">
        <f t="shared" si="0"/>
        <v>24</v>
      </c>
      <c r="D28" t="s">
        <v>66</v>
      </c>
      <c r="E28">
        <v>1</v>
      </c>
      <c r="F28">
        <v>230</v>
      </c>
      <c r="G28" t="s">
        <v>33</v>
      </c>
      <c r="H28" s="5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>207</v>
      </c>
      <c r="M28" s="13"/>
      <c r="N28" s="15"/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>
        <f t="shared" si="0"/>
        <v>25</v>
      </c>
      <c r="D29" t="s">
        <v>67</v>
      </c>
      <c r="E29">
        <v>1</v>
      </c>
      <c r="F29">
        <v>300</v>
      </c>
      <c r="G29" t="s">
        <v>33</v>
      </c>
      <c r="H29" s="5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>270</v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>
        <f t="shared" si="0"/>
        <v>26</v>
      </c>
      <c r="D30" t="s">
        <v>68</v>
      </c>
      <c r="E30">
        <v>1</v>
      </c>
      <c r="F30">
        <v>80</v>
      </c>
      <c r="G30" t="s">
        <v>33</v>
      </c>
      <c r="H30" s="5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>72</v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>
        <f t="shared" si="0"/>
        <v>27</v>
      </c>
      <c r="D31" t="s">
        <v>69</v>
      </c>
      <c r="E31">
        <v>1</v>
      </c>
      <c r="F31">
        <v>40</v>
      </c>
      <c r="H31" s="5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>40</v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>
        <f t="shared" si="0"/>
        <v>28</v>
      </c>
      <c r="D32" t="s">
        <v>70</v>
      </c>
      <c r="E32">
        <v>1</v>
      </c>
      <c r="F32">
        <v>320</v>
      </c>
      <c r="H32" s="5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>320</v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>
        <f t="shared" si="0"/>
        <v>29</v>
      </c>
      <c r="D33" t="s">
        <v>71</v>
      </c>
      <c r="E33">
        <v>1</v>
      </c>
      <c r="F33">
        <v>50</v>
      </c>
      <c r="H33" s="5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>50</v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>
        <f t="shared" si="0"/>
        <v>30</v>
      </c>
      <c r="D34" t="s">
        <v>72</v>
      </c>
      <c r="E34">
        <v>1</v>
      </c>
      <c r="F34">
        <v>75</v>
      </c>
      <c r="H34" s="5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>75</v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>
        <f t="shared" si="0"/>
        <v>31</v>
      </c>
      <c r="D35" t="s">
        <v>75</v>
      </c>
      <c r="E35">
        <v>1</v>
      </c>
      <c r="F35">
        <v>140</v>
      </c>
      <c r="H35" s="5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>140</v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>
        <f t="shared" si="0"/>
        <v>32</v>
      </c>
      <c r="D36" t="s">
        <v>76</v>
      </c>
      <c r="E36">
        <v>1</v>
      </c>
      <c r="F36">
        <v>65</v>
      </c>
      <c r="H36" s="5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>65</v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>
        <f t="shared" si="0"/>
        <v>33</v>
      </c>
      <c r="D37" t="s">
        <v>77</v>
      </c>
      <c r="E37">
        <v>1</v>
      </c>
      <c r="F37">
        <v>30</v>
      </c>
      <c r="H37" s="5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>30</v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78</v>
      </c>
      <c r="D2" s="34"/>
      <c r="E2" s="35"/>
      <c r="F2" s="35"/>
      <c r="G2" s="35"/>
      <c r="H2" s="35"/>
      <c r="L2" s="8"/>
      <c r="M2" s="34" t="s">
        <v>6</v>
      </c>
      <c r="N2" s="35"/>
      <c r="O2" s="35"/>
      <c r="P2" s="35"/>
      <c r="Q2" s="35"/>
      <c r="R2" s="35"/>
    </row>
    <row r="3" spans="2:18" ht="26.25" x14ac:dyDescent="0.4">
      <c r="G3" t="s">
        <v>8</v>
      </c>
      <c r="J3" s="1" t="s">
        <v>19</v>
      </c>
      <c r="K3" s="6">
        <f>SUM(Tabla111[Importa])</f>
        <v>2343</v>
      </c>
      <c r="M3" s="37" t="s">
        <v>7</v>
      </c>
      <c r="N3" s="37"/>
      <c r="O3" s="37"/>
      <c r="P3" s="37"/>
      <c r="Q3" s="37"/>
      <c r="R3" s="37"/>
    </row>
    <row r="4" spans="2:18" ht="33.75" x14ac:dyDescent="0.5">
      <c r="B4" s="17" t="s">
        <v>25</v>
      </c>
      <c r="C4" t="s">
        <v>17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20</v>
      </c>
      <c r="K4" s="10">
        <f>COUNTIF(C5:C103,"&gt;0")</f>
        <v>17</v>
      </c>
      <c r="M4" s="36" t="s">
        <v>81</v>
      </c>
      <c r="N4" s="36"/>
      <c r="O4" s="36"/>
      <c r="P4" s="36"/>
      <c r="Q4" s="36"/>
      <c r="R4" s="36"/>
    </row>
    <row r="5" spans="2:18" x14ac:dyDescent="0.25">
      <c r="B5" s="18">
        <f ca="1">IF(Tabla111[[#This Row],['#]]&lt;&gt;"", NOW(), "")</f>
        <v>46214.811207870371</v>
      </c>
      <c r="C5">
        <f>IF(ISNUMBER(E5), IF(ISNUMBER(C4), C4+1, 1), "")</f>
        <v>1</v>
      </c>
      <c r="D5" t="s">
        <v>79</v>
      </c>
      <c r="E5">
        <v>1</v>
      </c>
      <c r="F5">
        <v>560</v>
      </c>
      <c r="G5" t="s">
        <v>33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504</v>
      </c>
      <c r="J5" s="38" t="s">
        <v>13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46214.811207870371</v>
      </c>
      <c r="C6">
        <f t="shared" ref="C6" si="0">IF(ISNUMBER(E6), IF(ISNUMBER(C5), C5+1, 1), "")</f>
        <v>2</v>
      </c>
      <c r="D6" t="s">
        <v>38</v>
      </c>
      <c r="E6">
        <v>1</v>
      </c>
      <c r="F6">
        <v>60</v>
      </c>
      <c r="G6" t="s">
        <v>33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54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46214.811207870371</v>
      </c>
      <c r="C7">
        <f>IF(ISNUMBER(E7), IF(ISNUMBER(C6), C6+1, 1), "")</f>
        <v>3</v>
      </c>
      <c r="D7" t="s">
        <v>82</v>
      </c>
      <c r="E7">
        <v>1</v>
      </c>
      <c r="F7">
        <v>10</v>
      </c>
      <c r="G7" t="s">
        <v>33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9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46214.811207870371</v>
      </c>
      <c r="C8">
        <f t="shared" ref="C8:C68" si="1">IF(ISNUMBER(E8), IF(ISNUMBER(C7), C7+1, 1), "")</f>
        <v>4</v>
      </c>
      <c r="D8" t="s">
        <v>83</v>
      </c>
      <c r="E8">
        <v>1</v>
      </c>
      <c r="F8">
        <v>15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15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46214.811207870371</v>
      </c>
      <c r="C9">
        <f t="shared" si="1"/>
        <v>5</v>
      </c>
      <c r="D9" t="s">
        <v>83</v>
      </c>
      <c r="E9">
        <v>1</v>
      </c>
      <c r="F9">
        <v>15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15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46214.811207870371</v>
      </c>
      <c r="C10">
        <f t="shared" si="1"/>
        <v>6</v>
      </c>
      <c r="D10" t="s">
        <v>84</v>
      </c>
      <c r="E10">
        <v>1</v>
      </c>
      <c r="F10">
        <v>175</v>
      </c>
      <c r="G10" t="s">
        <v>33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157.5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46214.811207870371</v>
      </c>
      <c r="C11">
        <f t="shared" si="1"/>
        <v>7</v>
      </c>
      <c r="D11" t="s">
        <v>85</v>
      </c>
      <c r="E11">
        <v>1</v>
      </c>
      <c r="F11">
        <v>55</v>
      </c>
      <c r="G11" t="s">
        <v>33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49.5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46214.811207870371</v>
      </c>
      <c r="C12">
        <f t="shared" si="1"/>
        <v>8</v>
      </c>
      <c r="D12" t="s">
        <v>37</v>
      </c>
      <c r="E12">
        <v>2</v>
      </c>
      <c r="F12">
        <v>5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10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46214.811207870371</v>
      </c>
      <c r="C13">
        <f t="shared" si="1"/>
        <v>9</v>
      </c>
      <c r="D13" t="s">
        <v>86</v>
      </c>
      <c r="E13">
        <v>1</v>
      </c>
      <c r="F13">
        <v>35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35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46214.811207870371</v>
      </c>
      <c r="C14">
        <f t="shared" si="1"/>
        <v>10</v>
      </c>
      <c r="D14" t="s">
        <v>87</v>
      </c>
      <c r="E14">
        <v>1</v>
      </c>
      <c r="F14">
        <v>85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85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46214.811207870371</v>
      </c>
      <c r="C15">
        <f t="shared" si="1"/>
        <v>11</v>
      </c>
      <c r="D15" t="s">
        <v>88</v>
      </c>
      <c r="E15">
        <v>1</v>
      </c>
      <c r="F15">
        <v>625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625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46214.811207870371</v>
      </c>
      <c r="C16">
        <f t="shared" si="1"/>
        <v>12</v>
      </c>
      <c r="D16" t="s">
        <v>89</v>
      </c>
      <c r="E16">
        <v>1</v>
      </c>
      <c r="F16">
        <v>70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70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46214.811207870371</v>
      </c>
      <c r="C17">
        <f t="shared" si="1"/>
        <v>13</v>
      </c>
      <c r="D17" t="s">
        <v>90</v>
      </c>
      <c r="E17">
        <v>1</v>
      </c>
      <c r="F17">
        <v>10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10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46214.811207870371</v>
      </c>
      <c r="C18">
        <f t="shared" si="1"/>
        <v>14</v>
      </c>
      <c r="D18" t="s">
        <v>91</v>
      </c>
      <c r="E18">
        <v>1</v>
      </c>
      <c r="F18">
        <v>485</v>
      </c>
      <c r="G18" t="s">
        <v>33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436.5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46214.811207870371</v>
      </c>
      <c r="C19">
        <f t="shared" si="1"/>
        <v>15</v>
      </c>
      <c r="D19" t="s">
        <v>104</v>
      </c>
      <c r="E19">
        <v>1</v>
      </c>
      <c r="F19">
        <v>55</v>
      </c>
      <c r="G19" t="s">
        <v>33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49.5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46214.811207870371</v>
      </c>
      <c r="C20">
        <f t="shared" si="1"/>
        <v>16</v>
      </c>
      <c r="D20" t="s">
        <v>105</v>
      </c>
      <c r="E20">
        <v>1</v>
      </c>
      <c r="F20">
        <v>20</v>
      </c>
      <c r="G20" t="s">
        <v>33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18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46214.811207870371</v>
      </c>
      <c r="C21">
        <f t="shared" si="1"/>
        <v>17</v>
      </c>
      <c r="D21" t="s">
        <v>106</v>
      </c>
      <c r="E21">
        <v>1</v>
      </c>
      <c r="F21">
        <v>200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200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1"/>
        <v/>
      </c>
      <c r="H22" s="5" t="str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1"/>
        <v/>
      </c>
      <c r="H23" s="5" t="str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1"/>
        <v/>
      </c>
      <c r="H24" s="5" t="str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/>
      </c>
      <c r="M24" s="32" t="s">
        <v>21</v>
      </c>
      <c r="N24" s="42"/>
      <c r="O24" s="42"/>
      <c r="P24" s="42"/>
      <c r="Q24" s="42"/>
      <c r="R24" s="42"/>
    </row>
    <row r="25" spans="2:18" x14ac:dyDescent="0.25">
      <c r="B25" s="18" t="str">
        <f ca="1">IF(Tabla1[[#This Row],['#]]&lt;&gt;"", NOW(), "")</f>
        <v/>
      </c>
      <c r="C25" t="str">
        <f t="shared" si="1"/>
        <v/>
      </c>
      <c r="H25" s="5" t="str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1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22</v>
      </c>
      <c r="N26" s="14" t="s">
        <v>23</v>
      </c>
      <c r="O26" s="31" t="s">
        <v>24</v>
      </c>
      <c r="P26" s="31"/>
      <c r="Q26" s="31"/>
      <c r="R26" s="31"/>
    </row>
    <row r="27" spans="2:18" ht="30" x14ac:dyDescent="0.25">
      <c r="B27" s="18" t="str">
        <f ca="1">IF(Tabla1[[#This Row],['#]]&lt;&gt;"", NOW(), "")</f>
        <v/>
      </c>
      <c r="C27" t="str">
        <f t="shared" si="1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 t="s">
        <v>80</v>
      </c>
      <c r="N27" s="15">
        <v>1560</v>
      </c>
      <c r="O27" s="39"/>
      <c r="P27" s="40"/>
      <c r="Q27" s="40"/>
      <c r="R27" s="41"/>
    </row>
    <row r="28" spans="2:18" x14ac:dyDescent="0.25">
      <c r="B28" s="18" t="str">
        <f ca="1">IF(Tabla1[[#This Row],['#]]&lt;&gt;"", NOW(), "")</f>
        <v/>
      </c>
      <c r="C28" t="str">
        <f t="shared" si="1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1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1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1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1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1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1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1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1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1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27" sqref="D27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103</v>
      </c>
      <c r="D2" s="34"/>
      <c r="E2" s="35"/>
      <c r="F2" s="35"/>
      <c r="G2" s="35"/>
      <c r="H2" s="35"/>
      <c r="L2" s="8"/>
      <c r="M2" s="34" t="s">
        <v>6</v>
      </c>
      <c r="N2" s="35"/>
      <c r="O2" s="35"/>
      <c r="P2" s="35"/>
      <c r="Q2" s="35"/>
      <c r="R2" s="35"/>
    </row>
    <row r="3" spans="2:18" ht="26.25" x14ac:dyDescent="0.4">
      <c r="G3" t="s">
        <v>8</v>
      </c>
      <c r="J3" s="1" t="s">
        <v>19</v>
      </c>
      <c r="K3" s="6">
        <f>SUM(Tabla112[Importa])</f>
        <v>1263</v>
      </c>
      <c r="M3" s="37" t="s">
        <v>7</v>
      </c>
      <c r="N3" s="37"/>
      <c r="O3" s="37"/>
      <c r="P3" s="37"/>
      <c r="Q3" s="37"/>
      <c r="R3" s="37"/>
    </row>
    <row r="4" spans="2:18" ht="33.75" x14ac:dyDescent="0.5">
      <c r="B4" s="17" t="s">
        <v>25</v>
      </c>
      <c r="C4" t="s">
        <v>17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20</v>
      </c>
      <c r="K4" s="10">
        <f>COUNTIF(C5:C103,"&gt;0")</f>
        <v>22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IF(Tabla112[[#This Row],['#]]&lt;&gt;"", NOW(), "")</f>
        <v>46214.811207870371</v>
      </c>
      <c r="C5">
        <f t="shared" ref="C5:C68" si="0">IF(ISNUMBER(E5), IF(ISNUMBER(C4), C4+1, 1), "")</f>
        <v>1</v>
      </c>
      <c r="D5" t="s">
        <v>37</v>
      </c>
      <c r="E5">
        <v>2</v>
      </c>
      <c r="F5">
        <v>5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10</v>
      </c>
      <c r="J5" s="38" t="s">
        <v>13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46214.811207870371</v>
      </c>
      <c r="C6">
        <f t="shared" si="0"/>
        <v>2</v>
      </c>
      <c r="D6" t="s">
        <v>107</v>
      </c>
      <c r="E6">
        <v>1</v>
      </c>
      <c r="F6">
        <v>12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12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46214.811207870371</v>
      </c>
      <c r="C7">
        <f t="shared" si="0"/>
        <v>3</v>
      </c>
      <c r="D7" t="s">
        <v>108</v>
      </c>
      <c r="E7">
        <v>2</v>
      </c>
      <c r="F7">
        <v>15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30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46214.811207870371</v>
      </c>
      <c r="C8">
        <f t="shared" si="0"/>
        <v>4</v>
      </c>
      <c r="D8" t="s">
        <v>109</v>
      </c>
      <c r="E8">
        <v>1</v>
      </c>
      <c r="F8">
        <v>115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115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46214.811207870371</v>
      </c>
      <c r="C9">
        <f t="shared" si="0"/>
        <v>5</v>
      </c>
      <c r="D9" t="s">
        <v>110</v>
      </c>
      <c r="E9">
        <v>1</v>
      </c>
      <c r="F9">
        <v>75</v>
      </c>
      <c r="G9" t="s">
        <v>33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71.5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46214.811207870371</v>
      </c>
      <c r="C10">
        <f t="shared" si="0"/>
        <v>6</v>
      </c>
      <c r="D10" t="s">
        <v>111</v>
      </c>
      <c r="E10">
        <v>1</v>
      </c>
      <c r="F10">
        <v>50</v>
      </c>
      <c r="G10" t="s">
        <v>33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45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46214.811207870371</v>
      </c>
      <c r="C11">
        <f t="shared" si="0"/>
        <v>7</v>
      </c>
      <c r="D11" t="s">
        <v>112</v>
      </c>
      <c r="E11">
        <v>1</v>
      </c>
      <c r="F11">
        <v>10</v>
      </c>
      <c r="G11" t="s">
        <v>33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9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46214.811207870371</v>
      </c>
      <c r="C12">
        <f t="shared" si="0"/>
        <v>8</v>
      </c>
      <c r="D12" t="s">
        <v>113</v>
      </c>
      <c r="E12">
        <v>1</v>
      </c>
      <c r="F12">
        <v>20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20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46214.811207870371</v>
      </c>
      <c r="C13">
        <f t="shared" si="0"/>
        <v>9</v>
      </c>
      <c r="D13" t="s">
        <v>114</v>
      </c>
      <c r="E13">
        <v>2</v>
      </c>
      <c r="F13">
        <v>20</v>
      </c>
      <c r="G13" t="s">
        <v>33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36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46214.811207870371</v>
      </c>
      <c r="C14">
        <f t="shared" si="0"/>
        <v>10</v>
      </c>
      <c r="D14" t="s">
        <v>115</v>
      </c>
      <c r="E14">
        <v>1</v>
      </c>
      <c r="F14">
        <v>15</v>
      </c>
      <c r="G14" t="s">
        <v>33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13.5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46214.811207870371</v>
      </c>
      <c r="C15">
        <f t="shared" si="0"/>
        <v>11</v>
      </c>
      <c r="D15" t="s">
        <v>116</v>
      </c>
      <c r="E15">
        <v>1</v>
      </c>
      <c r="F15">
        <v>10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10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46214.811207870371</v>
      </c>
      <c r="C16">
        <f t="shared" si="0"/>
        <v>12</v>
      </c>
      <c r="D16" t="s">
        <v>37</v>
      </c>
      <c r="E16">
        <v>3</v>
      </c>
      <c r="F16">
        <v>5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15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46214.811207870371</v>
      </c>
      <c r="C17">
        <f t="shared" si="0"/>
        <v>13</v>
      </c>
      <c r="D17" t="s">
        <v>117</v>
      </c>
      <c r="E17">
        <v>1</v>
      </c>
      <c r="F17">
        <v>110</v>
      </c>
      <c r="H17" s="5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>110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46214.811207870371</v>
      </c>
      <c r="C18">
        <f t="shared" si="0"/>
        <v>14</v>
      </c>
      <c r="D18" t="s">
        <v>118</v>
      </c>
      <c r="E18">
        <v>1</v>
      </c>
      <c r="F18">
        <v>318</v>
      </c>
      <c r="H18" s="5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>318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46214.811207870371</v>
      </c>
      <c r="C19">
        <f t="shared" si="0"/>
        <v>15</v>
      </c>
      <c r="D19" t="s">
        <v>119</v>
      </c>
      <c r="E19">
        <v>1</v>
      </c>
      <c r="F19">
        <v>35</v>
      </c>
      <c r="G19" t="s">
        <v>33</v>
      </c>
      <c r="H19" s="5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>31.5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46214.811207870371</v>
      </c>
      <c r="C20">
        <f t="shared" si="0"/>
        <v>16</v>
      </c>
      <c r="D20" t="s">
        <v>120</v>
      </c>
      <c r="E20">
        <v>1</v>
      </c>
      <c r="F20">
        <v>185</v>
      </c>
      <c r="G20" t="s">
        <v>33</v>
      </c>
      <c r="H20" s="5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>166.5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46214.811207870371</v>
      </c>
      <c r="C21">
        <f t="shared" si="0"/>
        <v>17</v>
      </c>
      <c r="D21" t="s">
        <v>121</v>
      </c>
      <c r="E21">
        <v>1</v>
      </c>
      <c r="F21">
        <v>78</v>
      </c>
      <c r="H21" s="5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>78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37</v>
      </c>
      <c r="E22">
        <v>2</v>
      </c>
      <c r="F22">
        <v>5</v>
      </c>
      <c r="H22" s="5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>10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122</v>
      </c>
      <c r="E23">
        <v>1</v>
      </c>
      <c r="F23">
        <v>97</v>
      </c>
      <c r="H23" s="5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>97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123</v>
      </c>
      <c r="E24">
        <v>1</v>
      </c>
      <c r="F24">
        <v>35</v>
      </c>
      <c r="H24" s="5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>35</v>
      </c>
      <c r="M24" s="32" t="s">
        <v>21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>
        <f t="shared" si="0"/>
        <v>21</v>
      </c>
      <c r="D25" t="s">
        <v>37</v>
      </c>
      <c r="E25">
        <v>4</v>
      </c>
      <c r="F25">
        <v>5</v>
      </c>
      <c r="H25" s="5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>20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>
        <f t="shared" si="0"/>
        <v>22</v>
      </c>
      <c r="D26" t="s">
        <v>37</v>
      </c>
      <c r="E26">
        <v>2</v>
      </c>
      <c r="F26">
        <v>5</v>
      </c>
      <c r="H26" s="5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>10</v>
      </c>
      <c r="M26" s="14" t="s">
        <v>22</v>
      </c>
      <c r="N26" s="14" t="s">
        <v>23</v>
      </c>
      <c r="O26" s="31" t="s">
        <v>24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20" sqref="D20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1" bestFit="1" customWidth="1"/>
  </cols>
  <sheetData>
    <row r="2" spans="2:18" ht="28.5" x14ac:dyDescent="0.45">
      <c r="C2" s="34" t="s">
        <v>9</v>
      </c>
      <c r="D2" s="34"/>
      <c r="E2" s="35"/>
      <c r="F2" s="35"/>
      <c r="G2" s="35"/>
      <c r="H2" s="35"/>
      <c r="L2" s="8"/>
      <c r="M2" s="34" t="s">
        <v>6</v>
      </c>
      <c r="N2" s="35"/>
      <c r="O2" s="35"/>
      <c r="P2" s="35"/>
      <c r="Q2" s="35"/>
      <c r="R2" s="35"/>
    </row>
    <row r="3" spans="2:18" ht="26.25" x14ac:dyDescent="0.4">
      <c r="G3" t="s">
        <v>8</v>
      </c>
      <c r="J3" s="1" t="s">
        <v>19</v>
      </c>
      <c r="K3" s="6">
        <f>SUM(Tabla113[Importa])</f>
        <v>875.5</v>
      </c>
      <c r="M3" s="37" t="s">
        <v>7</v>
      </c>
      <c r="N3" s="37"/>
      <c r="O3" s="37"/>
      <c r="P3" s="37"/>
      <c r="Q3" s="37"/>
      <c r="R3" s="37"/>
    </row>
    <row r="4" spans="2:18" ht="33.75" x14ac:dyDescent="0.5">
      <c r="B4" s="17" t="s">
        <v>25</v>
      </c>
      <c r="C4" t="s">
        <v>17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20</v>
      </c>
      <c r="K4" s="10">
        <f>COUNTIF(C5:C103,"&gt;0")</f>
        <v>15</v>
      </c>
      <c r="M4" s="36" t="s">
        <v>139</v>
      </c>
      <c r="N4" s="36"/>
      <c r="O4" s="36"/>
      <c r="P4" s="36"/>
      <c r="Q4" s="36"/>
      <c r="R4" s="36"/>
    </row>
    <row r="5" spans="2:18" x14ac:dyDescent="0.25">
      <c r="B5" s="18">
        <f ca="1">IF(Tabla113[[#This Row],['#]]&lt;&gt;"", NOW(), "")</f>
        <v>46214.811207870371</v>
      </c>
      <c r="C5">
        <f t="shared" ref="C5:C68" si="0">IF(ISNUMBER(E5), IF(ISNUMBER(C4), C4+1, 1), "")</f>
        <v>1</v>
      </c>
      <c r="D5" t="s">
        <v>124</v>
      </c>
      <c r="E5">
        <v>1</v>
      </c>
      <c r="F5">
        <v>20</v>
      </c>
      <c r="G5" t="s">
        <v>33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18</v>
      </c>
      <c r="J5" s="38" t="s">
        <v>13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46214.811207870371</v>
      </c>
      <c r="C6">
        <f t="shared" si="0"/>
        <v>2</v>
      </c>
      <c r="D6" t="s">
        <v>125</v>
      </c>
      <c r="E6">
        <v>1</v>
      </c>
      <c r="F6">
        <v>15</v>
      </c>
      <c r="G6" t="s">
        <v>33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13.5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46214.811207870371</v>
      </c>
      <c r="C7">
        <f t="shared" si="0"/>
        <v>3</v>
      </c>
      <c r="D7" t="s">
        <v>126</v>
      </c>
      <c r="E7">
        <v>1</v>
      </c>
      <c r="F7">
        <v>15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15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46214.811207870371</v>
      </c>
      <c r="C8">
        <f t="shared" si="0"/>
        <v>4</v>
      </c>
      <c r="D8" t="s">
        <v>127</v>
      </c>
      <c r="E8">
        <v>1</v>
      </c>
      <c r="F8">
        <v>15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15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46214.811207870371</v>
      </c>
      <c r="C9">
        <f t="shared" si="0"/>
        <v>5</v>
      </c>
      <c r="D9" t="s">
        <v>128</v>
      </c>
      <c r="E9">
        <v>1</v>
      </c>
      <c r="F9">
        <v>15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15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46214.811207870371</v>
      </c>
      <c r="C10">
        <f t="shared" si="0"/>
        <v>6</v>
      </c>
      <c r="D10" t="s">
        <v>36</v>
      </c>
      <c r="E10">
        <v>1</v>
      </c>
      <c r="F10">
        <v>130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130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46214.811207870371</v>
      </c>
      <c r="C11">
        <f t="shared" si="0"/>
        <v>7</v>
      </c>
      <c r="D11" t="s">
        <v>131</v>
      </c>
      <c r="E11">
        <v>4</v>
      </c>
      <c r="F11">
        <v>5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20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46214.811207870371</v>
      </c>
      <c r="C12">
        <f t="shared" si="0"/>
        <v>8</v>
      </c>
      <c r="D12" t="s">
        <v>56</v>
      </c>
      <c r="E12">
        <v>1</v>
      </c>
      <c r="F12">
        <v>15</v>
      </c>
      <c r="G12" t="s">
        <v>33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13.5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46214.811207870371</v>
      </c>
      <c r="C13">
        <f t="shared" si="0"/>
        <v>9</v>
      </c>
      <c r="D13" t="s">
        <v>134</v>
      </c>
      <c r="E13">
        <v>1</v>
      </c>
      <c r="F13">
        <v>150</v>
      </c>
      <c r="G13" t="s">
        <v>33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135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46214.811207870371</v>
      </c>
      <c r="C14">
        <f t="shared" si="0"/>
        <v>10</v>
      </c>
      <c r="D14" t="s">
        <v>135</v>
      </c>
      <c r="E14">
        <v>1</v>
      </c>
      <c r="F14">
        <v>35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35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46214.811207870371</v>
      </c>
      <c r="C15">
        <f t="shared" si="0"/>
        <v>11</v>
      </c>
      <c r="D15" t="s">
        <v>111</v>
      </c>
      <c r="E15">
        <v>1</v>
      </c>
      <c r="F15">
        <v>50</v>
      </c>
      <c r="G15" t="s">
        <v>33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45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46214.811207870371</v>
      </c>
      <c r="C16">
        <f t="shared" si="0"/>
        <v>12</v>
      </c>
      <c r="D16" t="s">
        <v>136</v>
      </c>
      <c r="E16">
        <v>1</v>
      </c>
      <c r="F16">
        <v>4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4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46214.811207870371</v>
      </c>
      <c r="C17">
        <f t="shared" si="0"/>
        <v>13</v>
      </c>
      <c r="D17" t="s">
        <v>137</v>
      </c>
      <c r="E17">
        <v>1</v>
      </c>
      <c r="F17">
        <v>5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46214.811207870371</v>
      </c>
      <c r="C18">
        <f t="shared" si="0"/>
        <v>14</v>
      </c>
      <c r="D18" t="s">
        <v>138</v>
      </c>
      <c r="E18">
        <v>1</v>
      </c>
      <c r="F18">
        <v>398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398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46214.811207870371</v>
      </c>
      <c r="C19">
        <f t="shared" si="0"/>
        <v>15</v>
      </c>
      <c r="D19" t="s">
        <v>56</v>
      </c>
      <c r="E19">
        <v>1</v>
      </c>
      <c r="F19">
        <v>15</v>
      </c>
      <c r="G19" t="s">
        <v>33</v>
      </c>
      <c r="H19" s="5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>13.5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46214.811207870371</v>
      </c>
      <c r="C20" t="str">
        <f t="shared" si="0"/>
        <v/>
      </c>
      <c r="H20" s="5" t="str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46214.811207870371</v>
      </c>
      <c r="C21" t="str">
        <f t="shared" si="0"/>
        <v/>
      </c>
      <c r="H21" s="5" t="str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/>
      </c>
      <c r="M24" s="32" t="s">
        <v>21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22</v>
      </c>
      <c r="N26" s="14" t="s">
        <v>23</v>
      </c>
      <c r="O26" s="31" t="s">
        <v>24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 t="s">
        <v>92</v>
      </c>
      <c r="N27" s="15">
        <v>65</v>
      </c>
      <c r="O27" s="39" t="s">
        <v>93</v>
      </c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 t="s">
        <v>94</v>
      </c>
      <c r="N28" s="15">
        <v>1404</v>
      </c>
      <c r="O28" s="39" t="s">
        <v>93</v>
      </c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95</v>
      </c>
      <c r="N29" s="15">
        <v>4220</v>
      </c>
      <c r="O29" s="39" t="s">
        <v>96</v>
      </c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97</v>
      </c>
      <c r="N30" s="15">
        <v>1560</v>
      </c>
      <c r="O30" s="39" t="s">
        <v>98</v>
      </c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 t="s">
        <v>129</v>
      </c>
      <c r="N31" s="15">
        <v>1736</v>
      </c>
      <c r="O31" s="39" t="s">
        <v>101</v>
      </c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 t="s">
        <v>130</v>
      </c>
      <c r="N32" s="15">
        <v>500</v>
      </c>
      <c r="O32" s="39" t="s">
        <v>101</v>
      </c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 t="s">
        <v>132</v>
      </c>
      <c r="N33" s="15">
        <v>939</v>
      </c>
      <c r="O33" s="39" t="s">
        <v>101</v>
      </c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 t="s">
        <v>133</v>
      </c>
      <c r="N34" s="15">
        <v>5564</v>
      </c>
      <c r="O34" s="39" t="s">
        <v>101</v>
      </c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 t="s">
        <v>100</v>
      </c>
      <c r="N35" s="15">
        <v>1500</v>
      </c>
      <c r="O35" s="39" t="s">
        <v>101</v>
      </c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 t="s">
        <v>99</v>
      </c>
      <c r="N36" s="15">
        <v>17488</v>
      </c>
      <c r="O36" s="39" t="s">
        <v>102</v>
      </c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topLeftCell="A2" workbookViewId="0">
      <selection activeCell="D42" sqref="D4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140</v>
      </c>
      <c r="D2" s="34"/>
      <c r="E2" s="35"/>
      <c r="F2" s="35"/>
      <c r="G2" s="35"/>
      <c r="H2" s="35"/>
      <c r="L2" s="8"/>
      <c r="M2" s="34" t="s">
        <v>6</v>
      </c>
      <c r="N2" s="35"/>
      <c r="O2" s="35"/>
      <c r="P2" s="35"/>
      <c r="Q2" s="35"/>
      <c r="R2" s="35"/>
    </row>
    <row r="3" spans="2:18" ht="26.25" x14ac:dyDescent="0.4">
      <c r="G3" t="s">
        <v>8</v>
      </c>
      <c r="J3" s="1" t="s">
        <v>19</v>
      </c>
      <c r="K3" s="6">
        <f>SUM(Tabla114[Importa])</f>
        <v>5970</v>
      </c>
      <c r="M3" s="37" t="s">
        <v>7</v>
      </c>
      <c r="N3" s="37"/>
      <c r="O3" s="37"/>
      <c r="P3" s="37"/>
      <c r="Q3" s="37"/>
      <c r="R3" s="37"/>
    </row>
    <row r="4" spans="2:18" ht="33.75" x14ac:dyDescent="0.5">
      <c r="B4" s="17" t="s">
        <v>25</v>
      </c>
      <c r="C4" t="s">
        <v>17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20</v>
      </c>
      <c r="K4" s="10">
        <f>COUNTIF(C5:C103,"&gt;0")</f>
        <v>37</v>
      </c>
      <c r="M4" s="36" t="s">
        <v>166</v>
      </c>
      <c r="N4" s="36"/>
      <c r="O4" s="36"/>
      <c r="P4" s="36"/>
      <c r="Q4" s="36"/>
      <c r="R4" s="36"/>
    </row>
    <row r="5" spans="2:18" x14ac:dyDescent="0.25">
      <c r="B5" s="18">
        <f ca="1">IF(Tabla114[[#This Row],['#]]&lt;&gt;"", NOW(), "")</f>
        <v>46214.811207870371</v>
      </c>
      <c r="C5">
        <f t="shared" ref="C5:C68" si="0">IF(ISNUMBER(E5), IF(ISNUMBER(C4), C4+1, 1), "")</f>
        <v>1</v>
      </c>
      <c r="D5" t="s">
        <v>141</v>
      </c>
      <c r="E5">
        <v>1</v>
      </c>
      <c r="F5">
        <v>75</v>
      </c>
      <c r="G5" t="s">
        <v>33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67.5</v>
      </c>
      <c r="J5" s="38" t="s">
        <v>13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46214.811207870371</v>
      </c>
      <c r="C6">
        <f t="shared" si="0"/>
        <v>2</v>
      </c>
      <c r="D6" t="s">
        <v>142</v>
      </c>
      <c r="E6">
        <v>1</v>
      </c>
      <c r="F6">
        <v>100</v>
      </c>
      <c r="G6" t="s">
        <v>33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90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46214.811207870371</v>
      </c>
      <c r="C7">
        <f t="shared" si="0"/>
        <v>3</v>
      </c>
      <c r="D7" t="s">
        <v>79</v>
      </c>
      <c r="E7">
        <v>1</v>
      </c>
      <c r="F7">
        <v>560</v>
      </c>
      <c r="G7" t="s">
        <v>33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504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46214.811207870371</v>
      </c>
      <c r="C8">
        <f t="shared" si="0"/>
        <v>4</v>
      </c>
      <c r="D8" t="s">
        <v>143</v>
      </c>
      <c r="E8">
        <v>4</v>
      </c>
      <c r="F8">
        <v>6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24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46214.811207870371</v>
      </c>
      <c r="C9">
        <f t="shared" si="0"/>
        <v>5</v>
      </c>
      <c r="D9" t="s">
        <v>71</v>
      </c>
      <c r="E9">
        <v>1</v>
      </c>
      <c r="F9">
        <v>50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50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46214.811207870371</v>
      </c>
      <c r="C10">
        <f t="shared" si="0"/>
        <v>6</v>
      </c>
      <c r="D10" t="s">
        <v>144</v>
      </c>
      <c r="E10">
        <v>1</v>
      </c>
      <c r="F10">
        <v>590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590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46214.811207870371</v>
      </c>
      <c r="C11">
        <f t="shared" si="0"/>
        <v>7</v>
      </c>
      <c r="D11" t="s">
        <v>145</v>
      </c>
      <c r="E11">
        <v>1</v>
      </c>
      <c r="F11">
        <v>750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750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46214.811207870371</v>
      </c>
      <c r="C12">
        <f t="shared" si="0"/>
        <v>8</v>
      </c>
      <c r="D12" t="s">
        <v>146</v>
      </c>
      <c r="E12">
        <v>1</v>
      </c>
      <c r="F12">
        <v>320</v>
      </c>
      <c r="G12" t="s">
        <v>33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304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46214.811207870371</v>
      </c>
      <c r="C13">
        <f t="shared" si="0"/>
        <v>9</v>
      </c>
      <c r="D13" t="s">
        <v>147</v>
      </c>
      <c r="E13">
        <v>1</v>
      </c>
      <c r="F13">
        <v>35</v>
      </c>
      <c r="G13" t="s">
        <v>33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31.5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46214.811207870371</v>
      </c>
      <c r="C14">
        <f t="shared" si="0"/>
        <v>10</v>
      </c>
      <c r="D14" t="s">
        <v>148</v>
      </c>
      <c r="E14">
        <v>1</v>
      </c>
      <c r="F14">
        <v>15</v>
      </c>
      <c r="G14" t="s">
        <v>33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13.5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46214.811207870371</v>
      </c>
      <c r="C15">
        <f t="shared" si="0"/>
        <v>11</v>
      </c>
      <c r="D15" t="s">
        <v>149</v>
      </c>
      <c r="E15">
        <v>1</v>
      </c>
      <c r="F15">
        <v>150</v>
      </c>
      <c r="G15" t="s">
        <v>33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135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46214.811207870371</v>
      </c>
      <c r="C16">
        <f t="shared" si="0"/>
        <v>12</v>
      </c>
      <c r="D16" t="s">
        <v>89</v>
      </c>
      <c r="E16">
        <v>1</v>
      </c>
      <c r="F16">
        <v>70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70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46214.811207870371</v>
      </c>
      <c r="C17">
        <f t="shared" si="0"/>
        <v>13</v>
      </c>
      <c r="D17" t="s">
        <v>150</v>
      </c>
      <c r="E17">
        <v>1</v>
      </c>
      <c r="F17">
        <v>64</v>
      </c>
      <c r="G17" t="s">
        <v>33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58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46214.811207870371</v>
      </c>
      <c r="C18">
        <f t="shared" si="0"/>
        <v>14</v>
      </c>
      <c r="D18" t="s">
        <v>146</v>
      </c>
      <c r="E18">
        <v>1</v>
      </c>
      <c r="F18">
        <v>320</v>
      </c>
      <c r="G18" t="s">
        <v>33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304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46214.811207870371</v>
      </c>
      <c r="C19">
        <f t="shared" si="0"/>
        <v>15</v>
      </c>
      <c r="D19" t="s">
        <v>146</v>
      </c>
      <c r="E19">
        <v>1</v>
      </c>
      <c r="F19">
        <v>320</v>
      </c>
      <c r="G19" t="s">
        <v>33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304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46214.811207870371</v>
      </c>
      <c r="C20">
        <f t="shared" si="0"/>
        <v>16</v>
      </c>
      <c r="D20" t="s">
        <v>151</v>
      </c>
      <c r="E20">
        <v>1</v>
      </c>
      <c r="F20">
        <v>380</v>
      </c>
      <c r="G20" t="s">
        <v>33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342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46214.811207870371</v>
      </c>
      <c r="C21">
        <f t="shared" si="0"/>
        <v>17</v>
      </c>
      <c r="D21" t="s">
        <v>152</v>
      </c>
      <c r="E21">
        <v>1</v>
      </c>
      <c r="F21">
        <v>30</v>
      </c>
      <c r="H21" s="5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>30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153</v>
      </c>
      <c r="E22">
        <v>2</v>
      </c>
      <c r="F22">
        <v>5</v>
      </c>
      <c r="G22" t="s">
        <v>33</v>
      </c>
      <c r="H22" s="5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>9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154</v>
      </c>
      <c r="E23">
        <v>1</v>
      </c>
      <c r="F23">
        <v>160</v>
      </c>
      <c r="G23" t="s">
        <v>33</v>
      </c>
      <c r="H23" s="5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>144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155</v>
      </c>
      <c r="E24">
        <v>1</v>
      </c>
      <c r="F24">
        <v>48</v>
      </c>
      <c r="G24" t="s">
        <v>33</v>
      </c>
      <c r="H24" s="5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>43.5</v>
      </c>
      <c r="M24" s="32" t="s">
        <v>21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>
        <f t="shared" si="0"/>
        <v>21</v>
      </c>
      <c r="D25" t="s">
        <v>37</v>
      </c>
      <c r="E25">
        <v>2</v>
      </c>
      <c r="F25">
        <v>5</v>
      </c>
      <c r="H25" s="5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>10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>
        <f t="shared" si="0"/>
        <v>22</v>
      </c>
      <c r="D26" t="s">
        <v>36</v>
      </c>
      <c r="E26">
        <v>2</v>
      </c>
      <c r="F26">
        <v>130</v>
      </c>
      <c r="G26" t="s">
        <v>33</v>
      </c>
      <c r="H26" s="5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>247</v>
      </c>
      <c r="M26" s="14" t="s">
        <v>22</v>
      </c>
      <c r="N26" s="14" t="s">
        <v>23</v>
      </c>
      <c r="O26" s="31" t="s">
        <v>24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>
        <f t="shared" si="0"/>
        <v>23</v>
      </c>
      <c r="D27" t="s">
        <v>55</v>
      </c>
      <c r="E27">
        <v>2</v>
      </c>
      <c r="F27">
        <v>50</v>
      </c>
      <c r="G27" t="s">
        <v>33</v>
      </c>
      <c r="H27" s="5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>90</v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>
        <f t="shared" si="0"/>
        <v>24</v>
      </c>
      <c r="D28" t="s">
        <v>111</v>
      </c>
      <c r="E28">
        <v>1</v>
      </c>
      <c r="F28">
        <v>50</v>
      </c>
      <c r="G28" t="s">
        <v>33</v>
      </c>
      <c r="H28" s="5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>45</v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>
        <f t="shared" si="0"/>
        <v>25</v>
      </c>
      <c r="D29" t="s">
        <v>156</v>
      </c>
      <c r="E29">
        <v>2</v>
      </c>
      <c r="F29">
        <v>15</v>
      </c>
      <c r="G29" t="s">
        <v>33</v>
      </c>
      <c r="H29" s="5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>27</v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>
        <f t="shared" si="0"/>
        <v>26</v>
      </c>
      <c r="D30" t="s">
        <v>157</v>
      </c>
      <c r="E30">
        <v>1</v>
      </c>
      <c r="F30">
        <v>52</v>
      </c>
      <c r="G30" t="s">
        <v>33</v>
      </c>
      <c r="H30" s="5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>47</v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>
        <f t="shared" si="0"/>
        <v>27</v>
      </c>
      <c r="D31" t="s">
        <v>58</v>
      </c>
      <c r="E31">
        <v>1</v>
      </c>
      <c r="F31">
        <v>56</v>
      </c>
      <c r="G31" t="s">
        <v>33</v>
      </c>
      <c r="H31" s="5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>50.5</v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>
        <f t="shared" si="0"/>
        <v>28</v>
      </c>
      <c r="D32" t="s">
        <v>158</v>
      </c>
      <c r="E32">
        <v>1</v>
      </c>
      <c r="F32">
        <v>270</v>
      </c>
      <c r="G32" t="s">
        <v>33</v>
      </c>
      <c r="H32" s="5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>243</v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>
        <f t="shared" si="0"/>
        <v>29</v>
      </c>
      <c r="D33" t="s">
        <v>159</v>
      </c>
      <c r="E33">
        <v>1</v>
      </c>
      <c r="F33">
        <v>105</v>
      </c>
      <c r="G33" t="s">
        <v>33</v>
      </c>
      <c r="H33" s="5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>100</v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>
        <f t="shared" si="0"/>
        <v>30</v>
      </c>
      <c r="D34" t="s">
        <v>32</v>
      </c>
      <c r="E34">
        <v>1</v>
      </c>
      <c r="F34">
        <v>150</v>
      </c>
      <c r="H34" s="5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>150</v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>
        <f t="shared" si="0"/>
        <v>31</v>
      </c>
      <c r="D35" t="s">
        <v>55</v>
      </c>
      <c r="E35">
        <v>1</v>
      </c>
      <c r="F35">
        <v>50</v>
      </c>
      <c r="H35" s="5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>50</v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>
        <f t="shared" si="0"/>
        <v>32</v>
      </c>
      <c r="D36" t="s">
        <v>160</v>
      </c>
      <c r="E36">
        <v>1</v>
      </c>
      <c r="F36">
        <v>9</v>
      </c>
      <c r="H36" s="5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>9</v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>
        <f t="shared" si="0"/>
        <v>33</v>
      </c>
      <c r="D37" t="s">
        <v>161</v>
      </c>
      <c r="E37">
        <v>1</v>
      </c>
      <c r="F37">
        <v>230</v>
      </c>
      <c r="G37" t="s">
        <v>33</v>
      </c>
      <c r="H37" s="5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>207</v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>
        <f t="shared" si="0"/>
        <v>34</v>
      </c>
      <c r="D38" t="s">
        <v>162</v>
      </c>
      <c r="E38">
        <v>1</v>
      </c>
      <c r="F38">
        <v>36</v>
      </c>
      <c r="G38" t="s">
        <v>33</v>
      </c>
      <c r="H38" s="5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>32.5</v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>
        <f t="shared" si="0"/>
        <v>35</v>
      </c>
      <c r="D39" t="s">
        <v>163</v>
      </c>
      <c r="E39">
        <v>1</v>
      </c>
      <c r="F39">
        <v>750</v>
      </c>
      <c r="H39" s="5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>750</v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>
        <f t="shared" si="0"/>
        <v>36</v>
      </c>
      <c r="D40" t="s">
        <v>164</v>
      </c>
      <c r="E40">
        <v>1</v>
      </c>
      <c r="F40">
        <v>20</v>
      </c>
      <c r="H40" s="5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>20</v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>
        <f t="shared" si="0"/>
        <v>37</v>
      </c>
      <c r="D41" t="s">
        <v>165</v>
      </c>
      <c r="E41">
        <v>1</v>
      </c>
      <c r="F41">
        <v>28</v>
      </c>
      <c r="H41" s="5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>28</v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16</v>
      </c>
      <c r="D2" s="34"/>
      <c r="E2" s="35"/>
      <c r="F2" s="35"/>
      <c r="G2" s="35"/>
      <c r="H2" s="35"/>
      <c r="L2" s="8"/>
      <c r="M2" s="34" t="s">
        <v>6</v>
      </c>
      <c r="N2" s="35"/>
      <c r="O2" s="35"/>
      <c r="P2" s="35"/>
      <c r="Q2" s="35"/>
      <c r="R2" s="35"/>
    </row>
    <row r="3" spans="2:18" ht="26.25" x14ac:dyDescent="0.4">
      <c r="G3" t="s">
        <v>8</v>
      </c>
      <c r="J3" s="1" t="s">
        <v>19</v>
      </c>
      <c r="K3" s="6">
        <f>SUM(Tabla115[Importa])</f>
        <v>0</v>
      </c>
      <c r="M3" s="37" t="s">
        <v>7</v>
      </c>
      <c r="N3" s="37"/>
      <c r="O3" s="37"/>
      <c r="P3" s="37"/>
      <c r="Q3" s="37"/>
      <c r="R3" s="37"/>
    </row>
    <row r="4" spans="2:18" ht="33.75" x14ac:dyDescent="0.5">
      <c r="B4" s="17" t="s">
        <v>25</v>
      </c>
      <c r="C4" t="s">
        <v>17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20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38" t="s">
        <v>13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46214.811207870371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46214.811207870371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46214.811207870371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46214.811207870371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46214.811207870371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46214.811207870371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46214.811207870371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46214.811207870371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46214.811207870371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46214.811207870371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46214.811207870371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46214.811207870371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46214.811207870371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46214.811207870371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46214.811207870371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46214.811207870371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32" t="s">
        <v>21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22</v>
      </c>
      <c r="N26" s="14" t="s">
        <v>23</v>
      </c>
      <c r="O26" s="31" t="s">
        <v>24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10</v>
      </c>
      <c r="C3" t="s">
        <v>11</v>
      </c>
      <c r="D3" t="s">
        <v>12</v>
      </c>
    </row>
    <row r="4" spans="2:5" ht="30" x14ac:dyDescent="0.25">
      <c r="B4" s="4" t="s">
        <v>14</v>
      </c>
      <c r="C4" s="2">
        <v>45576</v>
      </c>
      <c r="D4" s="3">
        <v>1.1000000000000001</v>
      </c>
      <c r="E4" s="3"/>
    </row>
    <row r="5" spans="2:5" ht="45" x14ac:dyDescent="0.25">
      <c r="B5" s="7" t="s">
        <v>18</v>
      </c>
      <c r="C5" s="3" t="s">
        <v>15</v>
      </c>
      <c r="D5" s="3">
        <v>1.2</v>
      </c>
      <c r="E5" s="3"/>
    </row>
    <row r="6" spans="2:5" ht="30" x14ac:dyDescent="0.25">
      <c r="B6" s="7" t="s">
        <v>26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07-07-26</vt:lpstr>
      <vt:lpstr>Martes 07-07-26</vt:lpstr>
      <vt:lpstr>Miercoles 08-07-26</vt:lpstr>
      <vt:lpstr>Jueves 09-07-26</vt:lpstr>
      <vt:lpstr>Viernes 10-07-26</vt:lpstr>
      <vt:lpstr>Sabado 11-07-26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2026-07-12T01:30:26Z</dcterms:modified>
</cp:coreProperties>
</file>