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6C5FE7C-B450-4697-9FA3-503CE1E3156A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3-07-26" sheetId="1" r:id="rId1"/>
    <sheet name="Martes 14-07-26" sheetId="2" r:id="rId2"/>
    <sheet name="Miercoles 15-07-26" sheetId="3" r:id="rId3"/>
    <sheet name="Jueves 16-07-26" sheetId="4" r:id="rId4"/>
    <sheet name="Viernes 17-07-26" sheetId="5" r:id="rId5"/>
    <sheet name="Sabado 18-07-26" sheetId="6" r:id="rId6"/>
    <sheet name="Domingo" sheetId="8" r:id="rId7"/>
    <sheet name="Cambios" sheetId="7" r:id="rId8"/>
  </sheets>
  <definedNames>
    <definedName name="_xlnm._FilterDatabase" localSheetId="0" hidden="1">'Lunes 13-07-26'!$B$4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3" i="4"/>
  <c r="C24" i="4" s="1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<sst xmlns="http://schemas.openxmlformats.org/spreadsheetml/2006/main" count="332" uniqueCount="146">
  <si>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</si>
  <si>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</si>
  <si>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</si>
  <si>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</si>
  <si>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</si>
  <si>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</si>
  <si>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</si>
  <si>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</si>
  <si>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Martes 01-02-03</t>
  </si>
  <si>
    <t>Miercoles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</si>
  <si>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</si>
  <si>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</si>
  <si>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</si>
  <si>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</si>
  <si>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</si>
  <si>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</si>
  <si>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</si>
  <si>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</si>
  <si>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</si>
  <si>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</si>
  <si>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</si>
  <si>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</si>
  <si>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</si>
  <si>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</si>
  <si>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</si>
  <si>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</si>
  <si>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</si>
  <si>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ESPEJOS COFEE RANCING</t>
  </si>
  <si>
    <t>MANIJA IZQUIERDA DM200</t>
  </si>
  <si>
    <t>ESTRELLA DE DM250</t>
  </si>
  <si>
    <t xml:space="preserve">CADENA 428 SENCILLA </t>
  </si>
  <si>
    <t>X</t>
  </si>
  <si>
    <t xml:space="preserve">SEGURO DE PIÑON </t>
  </si>
  <si>
    <t>GOMAS DE IMPACTO RC200</t>
  </si>
  <si>
    <t>MANIJA IZQUIERDA FT150</t>
  </si>
  <si>
    <t xml:space="preserve">AORCADOR DE ACELERADOR UNIVERSLA </t>
  </si>
  <si>
    <t xml:space="preserve">GUANTES NEGROS </t>
  </si>
  <si>
    <t>ACEITE LUBER</t>
  </si>
  <si>
    <t xml:space="preserve">ESPEJOS DE 170Z ITALIKA </t>
  </si>
  <si>
    <t xml:space="preserve">FOCO DE DIRECCIONAL </t>
  </si>
  <si>
    <t>PASTAS DE CLUTH CROSMAX 250</t>
  </si>
  <si>
    <t xml:space="preserve">LIMPIADOR DE CARBURADOR </t>
  </si>
  <si>
    <t>STIKER</t>
  </si>
  <si>
    <t xml:space="preserve">ALARMA </t>
  </si>
  <si>
    <t>Lunes 13 DE JULIO-26</t>
  </si>
  <si>
    <t>Jueves 16 DE JULIO-26</t>
  </si>
  <si>
    <t>KID DE CILINDRO DS150</t>
  </si>
  <si>
    <t>CIGÜEÑAL DE DS150</t>
  </si>
  <si>
    <t>GUIA DE CADENA DS150</t>
  </si>
  <si>
    <t>CADENA DE DISTRIBUCCION DS150</t>
  </si>
  <si>
    <t>BOMBA DE ACEI DS150</t>
  </si>
  <si>
    <t>CADENA DE ACEI DS140</t>
  </si>
  <si>
    <t>CHICOTE DE ACELERADOR DM200</t>
  </si>
  <si>
    <t>EJE PRIMARIO DS150</t>
  </si>
  <si>
    <t>EJE SECUNDARIO DS150</t>
  </si>
  <si>
    <t>MANIJA IZQUIERDA WS150 SPORT</t>
  </si>
  <si>
    <t>JUNTAS DE MOTOR DS150</t>
  </si>
  <si>
    <t xml:space="preserve">BALANCIN DE DS150 </t>
  </si>
  <si>
    <t>BALATAS DE CROSMAX 250</t>
  </si>
  <si>
    <t>Viernes 17 DE JULIO-26</t>
  </si>
  <si>
    <t>PEDIDO NASAKI</t>
  </si>
  <si>
    <t>P.NASAKI</t>
  </si>
  <si>
    <t>MIERCOLES 15 DE JULIO-26</t>
  </si>
  <si>
    <t>KID</t>
  </si>
  <si>
    <t>JUEVES 16 DE JULIO-26</t>
  </si>
  <si>
    <t xml:space="preserve">RENTA </t>
  </si>
  <si>
    <t>VIERNES 17 DE JULIO-26</t>
  </si>
  <si>
    <t xml:space="preserve">CUBRIO </t>
  </si>
  <si>
    <t>PAGOYAS</t>
  </si>
  <si>
    <t xml:space="preserve">TOTAL </t>
  </si>
  <si>
    <t xml:space="preserve">TOTAL DE EGRESOS </t>
  </si>
  <si>
    <t>RETEN DE MOTOR DS150</t>
  </si>
  <si>
    <t>JUNTAS DE CABEZA DS150</t>
  </si>
  <si>
    <t xml:space="preserve">LIQUIDO DE FRENO </t>
  </si>
  <si>
    <t xml:space="preserve">ACEITE AKRON </t>
  </si>
  <si>
    <t>BALATAS ATV</t>
  </si>
  <si>
    <t>BUJIA C7</t>
  </si>
  <si>
    <t xml:space="preserve">JUEGO DE MANGO DE ACELERADOR </t>
  </si>
  <si>
    <t xml:space="preserve">PEDASO DE MANGUERA </t>
  </si>
  <si>
    <t>ARBOL DE LEVAS DS150</t>
  </si>
  <si>
    <t>MANDO DERECHO DM200</t>
  </si>
  <si>
    <t>TORNILLO M10</t>
  </si>
  <si>
    <t xml:space="preserve">FUSIBLES </t>
  </si>
  <si>
    <t>FOCO DE STOP</t>
  </si>
  <si>
    <t>BUJIA D8</t>
  </si>
  <si>
    <t xml:space="preserve">CHCICOTE DE CLUTH UNIVERSAL </t>
  </si>
  <si>
    <t>FILTRO DE AIRE DS150</t>
  </si>
  <si>
    <t xml:space="preserve">FILTROD E GASOLINA CARTON </t>
  </si>
  <si>
    <t xml:space="preserve">LUBRICANTE DE CADENA LUBER </t>
  </si>
  <si>
    <t xml:space="preserve">TENSOR DE CADENA HONDA </t>
  </si>
  <si>
    <t>ARBOL DE LEVAS FT150</t>
  </si>
  <si>
    <t>BALANCIN FT150</t>
  </si>
  <si>
    <t>JUNTA DE ESTATOR FT150</t>
  </si>
  <si>
    <t xml:space="preserve">FILTRO DE GASOLINA CARTON </t>
  </si>
  <si>
    <t xml:space="preserve">RETEN DE VALVULA DE FT150 </t>
  </si>
  <si>
    <t>CUENTA SEMANA PASADA $ 26075 MENOS $ 2997 DE PEDIDO AKRON QUEDA $ 23078</t>
  </si>
  <si>
    <t xml:space="preserve">KID </t>
  </si>
  <si>
    <t xml:space="preserve">CUENAT DE AYER $ 23078 MENOS $ 1010 DE KID DE CILINDRO QUE LLEVO DANIEL QUEDA $ 22068 </t>
  </si>
  <si>
    <t>TAPON CROSMAX 250</t>
  </si>
  <si>
    <t>LUBRICANTE DE CADENA LUBER</t>
  </si>
  <si>
    <t xml:space="preserve">RESORTE </t>
  </si>
  <si>
    <t>PRODUCTO</t>
  </si>
  <si>
    <t>ACEITE MOTUL 7100-10-W40</t>
  </si>
  <si>
    <t>FILTRO DE ACEIE PULSAR 200NS</t>
  </si>
  <si>
    <t>CHICOTE DE FRENO TRASERO WS150</t>
  </si>
  <si>
    <t>CHCIOTE DE ACELERADOR DM200</t>
  </si>
  <si>
    <t xml:space="preserve">PUÑOS MORADOS </t>
  </si>
  <si>
    <t xml:space="preserve">SINCHO </t>
  </si>
  <si>
    <t>PILA QLINK 12N7 -3B</t>
  </si>
  <si>
    <t xml:space="preserve">ACEITE AKROON </t>
  </si>
  <si>
    <t>ACEITE YAMALUBE</t>
  </si>
  <si>
    <t>FILTRO DE ACE FZ16</t>
  </si>
  <si>
    <t>FILTRO DE AIRE DM200</t>
  </si>
  <si>
    <t xml:space="preserve">RESORTE DE LA PATA </t>
  </si>
  <si>
    <t xml:space="preserve">SRESORTE DE ATV </t>
  </si>
  <si>
    <t>FILTRO DE AIKRE WS175</t>
  </si>
  <si>
    <t>RODILLO DE CENTRIFUJO DS150</t>
  </si>
  <si>
    <t>RESBALON DS150</t>
  </si>
  <si>
    <t xml:space="preserve">TERMINAL DE BACTERIA </t>
  </si>
  <si>
    <t>CABLE PARA BACTERIA ROJO</t>
  </si>
  <si>
    <t xml:space="preserve">CABLE DE BACTERIA NEGRO </t>
  </si>
  <si>
    <t>SWUITH DE WS150 SPORT</t>
  </si>
  <si>
    <t>FLECHA DE EJE DE ATV 150</t>
  </si>
  <si>
    <t>x</t>
  </si>
  <si>
    <r>
      <rPr>
        <b/>
        <sz val="14"/>
        <color theme="1"/>
        <rFont val="Calibri"/>
        <family val="2"/>
        <scheme val="minor"/>
      </rPr>
      <t xml:space="preserve">CORTES DE LA SEMANA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13 DE JULIO-26                        $ 26075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$ 1815                MENOS$7057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14 DE JULIO-26                    $19018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$ 503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15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$ 1160.5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16 DE JULIO-26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$ 3536.5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17 DE JULIO 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$ 3173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 xml:space="preserve">TOTAL $10188
TOTAL EN CAJA $ 29206 </t>
    </r>
  </si>
  <si>
    <t>bujia c7</t>
  </si>
  <si>
    <t>Sabado 18 DE JULIO-26</t>
  </si>
  <si>
    <t xml:space="preserve">SWUITH DE TORNILLO </t>
  </si>
  <si>
    <t xml:space="preserve">JUNTA DE MOTOR </t>
  </si>
  <si>
    <t xml:space="preserve">CHICOTE DE CLUTH UNIVERSAL </t>
  </si>
  <si>
    <t xml:space="preserve">MANGUERA DE GASOLINA </t>
  </si>
  <si>
    <t xml:space="preserve">SWUITH UNIVERSAL </t>
  </si>
  <si>
    <t>CAPUCHON DE BUJIA DS150</t>
  </si>
  <si>
    <t xml:space="preserve">CHICOTE DE VELOCIMETRO CARGO </t>
  </si>
  <si>
    <t xml:space="preserve">SILENCIADOR </t>
  </si>
  <si>
    <t>CADENA 428X 136  CON ORING REFORZADA</t>
  </si>
  <si>
    <t xml:space="preserve">STIKER </t>
  </si>
  <si>
    <t>RED DE ACIENTO GS175</t>
  </si>
  <si>
    <t>INTERRUPTOR DE EMBRAGUE FT150</t>
  </si>
  <si>
    <t>POPOTE DE RIND ROJO</t>
  </si>
  <si>
    <t>MANDO IZQUIERDO WS150 SPORT</t>
  </si>
  <si>
    <t>ALESSI</t>
  </si>
  <si>
    <t xml:space="preserve">FILTRO DE CARTON GASOLINA </t>
  </si>
  <si>
    <t>PEDAL DE FRENO FT150</t>
  </si>
  <si>
    <t xml:space="preserve">RESORTE DE FRENO </t>
  </si>
  <si>
    <r>
      <t xml:space="preserve">CUENTA DE AYER $ 29206 MENOS $ 5650 DE PEDIDO DE ALESSIA QUEDA $23556
CUENTA DE HOY SABADO $ 2301 MENOS $ 300 PAGO DE YAS QUEDA $ 2001 MAS LO DE CAJA $ 23556 
</t>
    </r>
    <r>
      <rPr>
        <b/>
        <sz val="20"/>
        <color rgb="FFFF0000"/>
        <rFont val="Calibri"/>
        <family val="2"/>
        <scheme val="minor"/>
      </rPr>
      <t xml:space="preserve">TOTAL EN CAJA $25557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</si>
</sst>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C2" sqref="C2:H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44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19</v>
      </c>
      <c r="K3" s="6">
        <f>SUM(Tabla1[Importa])</f>
        <v>1815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20</v>
      </c>
      <c r="K4" s="10">
        <f>COUNTIF(C5:C103,"&gt;0")</f>
        <v>16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46221.792928819443</v>
      </c>
      <c r="C5">
        <f>IF(ISNUMBER(E5), IF(ISNUMBER(C4), C4+1, 1), "")</f>
        <v>1</v>
      </c>
      <c r="D5" t="s">
        <v>27</v>
      </c>
      <c r="E5">
        <v>1</v>
      </c>
      <c r="F5">
        <v>247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247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120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 t="shared" si="0"/>
        <v>3</v>
      </c>
      <c r="D7" t="s">
        <v>29</v>
      </c>
      <c r="E7">
        <v>1</v>
      </c>
      <c r="F7">
        <v>164</v>
      </c>
      <c r="G7" t="s">
        <v>31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148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si="0"/>
        <v>4</v>
      </c>
      <c r="D8" t="s">
        <v>30</v>
      </c>
      <c r="E8">
        <v>1</v>
      </c>
      <c r="F8">
        <v>175</v>
      </c>
      <c r="G8" t="s">
        <v>31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157.5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0"/>
        <v>5</v>
      </c>
      <c r="D9" t="s">
        <v>32</v>
      </c>
      <c r="E9">
        <v>1</v>
      </c>
      <c r="F9">
        <v>10</v>
      </c>
      <c r="G9" t="s">
        <v>31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0"/>
        <v>6</v>
      </c>
      <c r="D10" t="s">
        <v>33</v>
      </c>
      <c r="E10">
        <v>1</v>
      </c>
      <c r="F10">
        <v>70</v>
      </c>
      <c r="G10" t="s">
        <v>31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63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0"/>
        <v>7</v>
      </c>
      <c r="D11" t="s">
        <v>34</v>
      </c>
      <c r="E11">
        <v>1</v>
      </c>
      <c r="F11">
        <v>75</v>
      </c>
      <c r="G11" t="s">
        <v>31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67.5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0"/>
        <v>8</v>
      </c>
      <c r="D12" t="s">
        <v>35</v>
      </c>
      <c r="E12">
        <v>4</v>
      </c>
      <c r="F12">
        <v>3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0"/>
        <v>9</v>
      </c>
      <c r="D13" t="s">
        <v>36</v>
      </c>
      <c r="E13">
        <v>1</v>
      </c>
      <c r="F13">
        <v>200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200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0"/>
        <v>10</v>
      </c>
      <c r="D14" t="s">
        <v>37</v>
      </c>
      <c r="E14">
        <v>1</v>
      </c>
      <c r="F14">
        <v>95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95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0"/>
        <v>11</v>
      </c>
      <c r="D15" t="s">
        <v>38</v>
      </c>
      <c r="E15">
        <v>1</v>
      </c>
      <c r="F15">
        <v>162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162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>
        <f t="shared" si="0"/>
        <v>12</v>
      </c>
      <c r="D16" t="s">
        <v>39</v>
      </c>
      <c r="E16">
        <v>2</v>
      </c>
      <c r="F16">
        <v>12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24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>
        <f t="shared" si="0"/>
        <v>13</v>
      </c>
      <c r="D17" t="s">
        <v>40</v>
      </c>
      <c r="E17">
        <v>1</v>
      </c>
      <c r="F17">
        <v>140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140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>
        <f t="shared" si="0"/>
        <v>14</v>
      </c>
      <c r="D18" t="s">
        <v>41</v>
      </c>
      <c r="E18">
        <v>1</v>
      </c>
      <c r="F18">
        <v>75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75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>
        <f t="shared" si="0"/>
        <v>15</v>
      </c>
      <c r="D19" t="s">
        <v>42</v>
      </c>
      <c r="E19">
        <v>3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>
        <f t="shared" si="0"/>
        <v>16</v>
      </c>
      <c r="D20" t="s">
        <v>43</v>
      </c>
      <c r="E20">
        <v>1</v>
      </c>
      <c r="F20">
        <v>280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280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21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22</v>
      </c>
      <c r="N26" s="38"/>
      <c r="O26" s="14" t="s">
        <v>23</v>
      </c>
      <c r="P26" s="38" t="s">
        <v>24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/>
      <c r="N27" s="27"/>
      <c r="O27" s="30"/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SUM(Tabla110[Importa])</f>
        <v>503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11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46221.792928819443</v>
      </c>
      <c r="C5">
        <f t="shared" ref="C5:C68" si="0">IF(ISNUMBER(E5), IF(ISNUMBER(C4), C4+1, 1), "")</f>
        <v>1</v>
      </c>
      <c r="D5" t="s">
        <v>71</v>
      </c>
      <c r="E5">
        <v>1</v>
      </c>
      <c r="F5">
        <v>65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65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si="0"/>
        <v>2</v>
      </c>
      <c r="D6" t="s">
        <v>72</v>
      </c>
      <c r="E6">
        <v>1</v>
      </c>
      <c r="F6">
        <v>35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 t="shared" si="0"/>
        <v>3</v>
      </c>
      <c r="D7" t="s">
        <v>73</v>
      </c>
      <c r="E7">
        <v>1</v>
      </c>
      <c r="F7">
        <v>55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55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si="0"/>
        <v>4</v>
      </c>
      <c r="D8" t="s">
        <v>74</v>
      </c>
      <c r="E8">
        <v>1</v>
      </c>
      <c r="F8">
        <v>130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130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0"/>
        <v>5</v>
      </c>
      <c r="D9" t="s">
        <v>75</v>
      </c>
      <c r="E9">
        <v>1</v>
      </c>
      <c r="F9">
        <v>42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42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0"/>
        <v>6</v>
      </c>
      <c r="D10" t="s">
        <v>76</v>
      </c>
      <c r="E10">
        <v>1</v>
      </c>
      <c r="F10">
        <v>50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50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0"/>
        <v>7</v>
      </c>
      <c r="D11" t="s">
        <v>77</v>
      </c>
      <c r="E11">
        <v>1</v>
      </c>
      <c r="F11">
        <v>80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80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0"/>
        <v>8</v>
      </c>
      <c r="D12" t="s">
        <v>78</v>
      </c>
      <c r="E12">
        <v>1</v>
      </c>
      <c r="F12">
        <v>10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0"/>
        <v>9</v>
      </c>
      <c r="D13" t="s">
        <v>81</v>
      </c>
      <c r="E13">
        <v>1</v>
      </c>
      <c r="F13">
        <v>10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0"/>
        <v>10</v>
      </c>
      <c r="D14" t="s">
        <v>82</v>
      </c>
      <c r="E14">
        <v>2</v>
      </c>
      <c r="F14">
        <v>3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6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0"/>
        <v>11</v>
      </c>
      <c r="D15" t="s">
        <v>83</v>
      </c>
      <c r="E15">
        <v>1</v>
      </c>
      <c r="F15">
        <v>20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 t="str">
        <f t="shared" si="0"/>
        <v/>
      </c>
      <c r="H16" s="5" t="str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21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SUM(Tabla111[Importa])</f>
        <v>1160.5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17</v>
      </c>
      <c r="M4" s="23" t="s">
        <v>95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46221.792928819443</v>
      </c>
      <c r="C5">
        <f>IF(ISNUMBER(E5), IF(ISNUMBER(C4), C4+1, 1), "")</f>
        <v>1</v>
      </c>
      <c r="D5" t="s">
        <v>84</v>
      </c>
      <c r="E5">
        <v>1</v>
      </c>
      <c r="F5">
        <v>50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50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ref="C6" si="0">IF(ISNUMBER(E6), IF(ISNUMBER(C5), C5+1, 1), "")</f>
        <v>2</v>
      </c>
      <c r="D6" t="s">
        <v>85</v>
      </c>
      <c r="E6">
        <v>1</v>
      </c>
      <c r="F6">
        <v>15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>IF(ISNUMBER(E7), IF(ISNUMBER(C6), C6+1, 1), "")</f>
        <v>3</v>
      </c>
      <c r="D7" t="s">
        <v>86</v>
      </c>
      <c r="E7">
        <v>1</v>
      </c>
      <c r="F7">
        <v>70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ref="C8:C68" si="1">IF(ISNUMBER(E8), IF(ISNUMBER(C7), C7+1, 1), "")</f>
        <v>4</v>
      </c>
      <c r="D8" t="s">
        <v>87</v>
      </c>
      <c r="E8">
        <v>1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1"/>
        <v>5</v>
      </c>
      <c r="D9" t="s">
        <v>74</v>
      </c>
      <c r="E9">
        <v>1</v>
      </c>
      <c r="F9">
        <v>130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1"/>
        <v>6</v>
      </c>
      <c r="D10" t="s">
        <v>76</v>
      </c>
      <c r="E10">
        <v>1</v>
      </c>
      <c r="F10">
        <v>50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50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1"/>
        <v>7</v>
      </c>
      <c r="D11" t="s">
        <v>88</v>
      </c>
      <c r="E11">
        <v>1</v>
      </c>
      <c r="F11">
        <v>90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1"/>
        <v>8</v>
      </c>
      <c r="D12" t="s">
        <v>42</v>
      </c>
      <c r="E12">
        <v>3</v>
      </c>
      <c r="F12">
        <v>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1"/>
        <v>9</v>
      </c>
      <c r="D13" t="s">
        <v>83</v>
      </c>
      <c r="E13">
        <v>1</v>
      </c>
      <c r="F13">
        <v>20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20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1"/>
        <v>10</v>
      </c>
      <c r="D14" t="s">
        <v>89</v>
      </c>
      <c r="E14">
        <v>1</v>
      </c>
      <c r="F14">
        <v>150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1"/>
        <v>11</v>
      </c>
      <c r="D15" t="s">
        <v>90</v>
      </c>
      <c r="E15">
        <v>1</v>
      </c>
      <c r="F15">
        <v>250</v>
      </c>
      <c r="G15" t="s">
        <v>31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225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>
        <f t="shared" si="1"/>
        <v>12</v>
      </c>
      <c r="D16" t="s">
        <v>91</v>
      </c>
      <c r="E16">
        <v>1</v>
      </c>
      <c r="F16">
        <v>130</v>
      </c>
      <c r="G16" t="s">
        <v>31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117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>
        <f t="shared" si="1"/>
        <v>13</v>
      </c>
      <c r="D17" t="s">
        <v>92</v>
      </c>
      <c r="E17">
        <v>1</v>
      </c>
      <c r="F17">
        <v>20</v>
      </c>
      <c r="G17" t="s">
        <v>31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>
        <f t="shared" si="1"/>
        <v>14</v>
      </c>
      <c r="D18" t="s">
        <v>74</v>
      </c>
      <c r="E18">
        <v>1</v>
      </c>
      <c r="F18">
        <v>130</v>
      </c>
      <c r="G18" t="s">
        <v>31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123.5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>
        <f t="shared" si="1"/>
        <v>15</v>
      </c>
      <c r="D19" t="s">
        <v>84</v>
      </c>
      <c r="E19">
        <v>1</v>
      </c>
      <c r="F19">
        <v>50</v>
      </c>
      <c r="G19" t="s">
        <v>31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>
        <f t="shared" si="1"/>
        <v>16</v>
      </c>
      <c r="D20" t="s">
        <v>93</v>
      </c>
      <c r="E20">
        <v>1</v>
      </c>
      <c r="F20">
        <v>15</v>
      </c>
      <c r="G20" t="s">
        <v>31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13.5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1"/>
        <v>17</v>
      </c>
      <c r="D21" t="s">
        <v>94</v>
      </c>
      <c r="E21">
        <v>1</v>
      </c>
      <c r="F21">
        <v>15</v>
      </c>
      <c r="G21" t="s">
        <v>31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13.5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21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ht="30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60</v>
      </c>
      <c r="N27" s="15">
        <v>2997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SUM(Tabla112[Importa])</f>
        <v>3536.5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101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23</v>
      </c>
      <c r="M4" s="23" t="s">
        <v>97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46221.792928819443</v>
      </c>
      <c r="C5">
        <f t="shared" ref="C5:C68" si="0">IF(ISNUMBER(E5), IF(ISNUMBER(C4), C4+1, 1), "")</f>
        <v>1</v>
      </c>
      <c r="D5" t="s">
        <v>51</v>
      </c>
      <c r="E5">
        <v>1</v>
      </c>
      <c r="F5">
        <v>40</v>
      </c>
      <c r="G5" t="s">
        <v>31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36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si="0"/>
        <v>2</v>
      </c>
      <c r="D6" t="s">
        <v>46</v>
      </c>
      <c r="E6">
        <v>1</v>
      </c>
      <c r="F6">
        <v>480</v>
      </c>
      <c r="G6" t="s">
        <v>31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432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 t="shared" si="0"/>
        <v>3</v>
      </c>
      <c r="D7" t="s">
        <v>47</v>
      </c>
      <c r="E7">
        <v>1</v>
      </c>
      <c r="F7">
        <v>700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700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si="0"/>
        <v>4</v>
      </c>
      <c r="D8" t="s">
        <v>48</v>
      </c>
      <c r="E8">
        <v>1</v>
      </c>
      <c r="F8">
        <v>50</v>
      </c>
      <c r="G8" t="s">
        <v>31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0"/>
        <v>5</v>
      </c>
      <c r="D9" t="s">
        <v>49</v>
      </c>
      <c r="E9">
        <v>1</v>
      </c>
      <c r="F9">
        <v>68</v>
      </c>
      <c r="G9" t="s">
        <v>31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61.5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0"/>
        <v>6</v>
      </c>
      <c r="D10" t="s">
        <v>50</v>
      </c>
      <c r="E10">
        <v>1</v>
      </c>
      <c r="F10">
        <v>50</v>
      </c>
      <c r="G10" t="s">
        <v>31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0"/>
        <v>7</v>
      </c>
      <c r="D11" t="s">
        <v>52</v>
      </c>
      <c r="E11">
        <v>2</v>
      </c>
      <c r="F11">
        <v>50</v>
      </c>
      <c r="G11" t="s">
        <v>31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0"/>
        <v>8</v>
      </c>
      <c r="D12" t="s">
        <v>53</v>
      </c>
      <c r="E12">
        <v>1</v>
      </c>
      <c r="F12">
        <v>140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140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0"/>
        <v>9</v>
      </c>
      <c r="D13" t="s">
        <v>54</v>
      </c>
      <c r="E13">
        <v>1</v>
      </c>
      <c r="F13">
        <v>144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144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0"/>
        <v>10</v>
      </c>
      <c r="D14" t="s">
        <v>55</v>
      </c>
      <c r="E14">
        <v>1</v>
      </c>
      <c r="F14">
        <v>105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105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0"/>
        <v>11</v>
      </c>
      <c r="D15" t="s">
        <v>56</v>
      </c>
      <c r="E15">
        <v>1</v>
      </c>
      <c r="F15">
        <v>75</v>
      </c>
      <c r="G15" t="s">
        <v>31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67.5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>
        <f t="shared" si="0"/>
        <v>12</v>
      </c>
      <c r="D16" t="s">
        <v>57</v>
      </c>
      <c r="E16">
        <v>1</v>
      </c>
      <c r="F16">
        <v>170</v>
      </c>
      <c r="G16" t="s">
        <v>31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153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>
        <f t="shared" si="0"/>
        <v>13</v>
      </c>
      <c r="D17" t="s">
        <v>58</v>
      </c>
      <c r="E17">
        <v>1</v>
      </c>
      <c r="F17">
        <v>35</v>
      </c>
      <c r="G17" t="s">
        <v>31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31.5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>
        <f t="shared" si="0"/>
        <v>14</v>
      </c>
      <c r="D18" t="s">
        <v>79</v>
      </c>
      <c r="E18">
        <v>1</v>
      </c>
      <c r="F18">
        <v>205</v>
      </c>
      <c r="G18" t="s">
        <v>31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184.5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>
        <f t="shared" si="0"/>
        <v>15</v>
      </c>
      <c r="D19" t="s">
        <v>80</v>
      </c>
      <c r="E19">
        <v>1</v>
      </c>
      <c r="F19">
        <v>87</v>
      </c>
      <c r="G19" t="s">
        <v>31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78.5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>
        <f t="shared" si="0"/>
        <v>16</v>
      </c>
      <c r="D20" t="s">
        <v>98</v>
      </c>
      <c r="E20">
        <v>1</v>
      </c>
      <c r="F20">
        <v>375</v>
      </c>
      <c r="G20" t="s">
        <v>31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337.5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99</v>
      </c>
      <c r="E21">
        <v>1</v>
      </c>
      <c r="F21">
        <v>90</v>
      </c>
      <c r="G21" t="s">
        <v>31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81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100</v>
      </c>
      <c r="E22">
        <v>1</v>
      </c>
      <c r="F22">
        <v>28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28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42</v>
      </c>
      <c r="E23">
        <v>5</v>
      </c>
      <c r="F23">
        <v>5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25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102</v>
      </c>
      <c r="E24">
        <v>2</v>
      </c>
      <c r="F24">
        <v>320</v>
      </c>
      <c r="G24" t="s">
        <v>31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608</v>
      </c>
      <c r="M24" s="19" t="s">
        <v>21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103</v>
      </c>
      <c r="E25">
        <v>1</v>
      </c>
      <c r="F25">
        <v>48</v>
      </c>
      <c r="G25" t="s">
        <v>31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43.5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104</v>
      </c>
      <c r="E26">
        <v>1</v>
      </c>
      <c r="F26">
        <v>50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50</v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52</v>
      </c>
      <c r="E27">
        <v>1</v>
      </c>
      <c r="F27">
        <v>50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50</v>
      </c>
      <c r="M27" s="13" t="s">
        <v>96</v>
      </c>
      <c r="N27" s="15">
        <v>1010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G34" sqref="G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SUM(Tabla113[Importa])</f>
        <v>3218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29</v>
      </c>
      <c r="M4" s="23" t="s">
        <v>124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46221.792928819443</v>
      </c>
      <c r="C5">
        <f t="shared" ref="C5:C68" si="0">IF(ISNUMBER(E5), IF(ISNUMBER(C4), C4+1, 1), "")</f>
        <v>1</v>
      </c>
      <c r="D5" t="s">
        <v>105</v>
      </c>
      <c r="E5">
        <v>1</v>
      </c>
      <c r="F5">
        <v>50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50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si="0"/>
        <v>2</v>
      </c>
      <c r="D6" t="s">
        <v>106</v>
      </c>
      <c r="E6">
        <v>1</v>
      </c>
      <c r="F6">
        <v>88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88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 t="shared" si="0"/>
        <v>3</v>
      </c>
      <c r="D7" t="s">
        <v>74</v>
      </c>
      <c r="E7">
        <v>1</v>
      </c>
      <c r="F7">
        <v>130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130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si="0"/>
        <v>4</v>
      </c>
      <c r="D8" t="s">
        <v>107</v>
      </c>
      <c r="E8">
        <v>1</v>
      </c>
      <c r="F8">
        <v>1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0"/>
        <v>5</v>
      </c>
      <c r="D9" t="s">
        <v>84</v>
      </c>
      <c r="E9">
        <v>1</v>
      </c>
      <c r="F9">
        <v>50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50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0"/>
        <v>6</v>
      </c>
      <c r="D10" t="s">
        <v>93</v>
      </c>
      <c r="E10">
        <v>1</v>
      </c>
      <c r="F10">
        <v>15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0"/>
        <v>7</v>
      </c>
      <c r="D11" t="s">
        <v>108</v>
      </c>
      <c r="E11">
        <v>1</v>
      </c>
      <c r="F11">
        <v>750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0"/>
        <v>8</v>
      </c>
      <c r="D12" t="s">
        <v>109</v>
      </c>
      <c r="E12">
        <v>1</v>
      </c>
      <c r="F12">
        <v>130</v>
      </c>
      <c r="G12" t="s">
        <v>31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0"/>
        <v>9</v>
      </c>
      <c r="D13" t="s">
        <v>110</v>
      </c>
      <c r="E13">
        <v>1</v>
      </c>
      <c r="F13">
        <v>150</v>
      </c>
      <c r="G13" t="s">
        <v>31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142.5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0"/>
        <v>10</v>
      </c>
      <c r="D14" t="s">
        <v>84</v>
      </c>
      <c r="E14">
        <v>1</v>
      </c>
      <c r="F14">
        <v>50</v>
      </c>
      <c r="G14" t="s">
        <v>31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45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0"/>
        <v>11</v>
      </c>
      <c r="D15" t="s">
        <v>76</v>
      </c>
      <c r="E15">
        <v>1</v>
      </c>
      <c r="F15">
        <v>50</v>
      </c>
      <c r="G15" t="s">
        <v>31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>
        <f t="shared" si="0"/>
        <v>12</v>
      </c>
      <c r="D16" t="s">
        <v>93</v>
      </c>
      <c r="E16">
        <v>1</v>
      </c>
      <c r="F16">
        <v>15</v>
      </c>
      <c r="G16" t="s">
        <v>31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13.5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>
        <f t="shared" si="0"/>
        <v>13</v>
      </c>
      <c r="D17" t="s">
        <v>111</v>
      </c>
      <c r="E17">
        <v>1</v>
      </c>
      <c r="F17">
        <v>32</v>
      </c>
      <c r="G17" t="s">
        <v>31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29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>
        <f t="shared" si="0"/>
        <v>14</v>
      </c>
      <c r="D18" t="s">
        <v>112</v>
      </c>
      <c r="E18">
        <v>1</v>
      </c>
      <c r="F18">
        <v>71</v>
      </c>
      <c r="G18" t="s">
        <v>31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64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>
        <f t="shared" si="0"/>
        <v>15</v>
      </c>
      <c r="D19" t="s">
        <v>113</v>
      </c>
      <c r="E19">
        <v>1</v>
      </c>
      <c r="F19">
        <v>20</v>
      </c>
      <c r="G19" t="s">
        <v>31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18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>
        <f t="shared" si="0"/>
        <v>16</v>
      </c>
      <c r="D20" t="s">
        <v>114</v>
      </c>
      <c r="E20">
        <v>1</v>
      </c>
      <c r="F20">
        <v>50</v>
      </c>
      <c r="G20" t="s">
        <v>31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45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115</v>
      </c>
      <c r="E21">
        <v>1</v>
      </c>
      <c r="F21">
        <v>64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64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76</v>
      </c>
      <c r="E22">
        <v>1</v>
      </c>
      <c r="F22">
        <v>50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116</v>
      </c>
      <c r="E23">
        <v>1</v>
      </c>
      <c r="F23">
        <v>35</v>
      </c>
      <c r="G23" t="s">
        <v>31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31.5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117</v>
      </c>
      <c r="E24">
        <v>1</v>
      </c>
      <c r="F24">
        <v>15</v>
      </c>
      <c r="G24" t="s">
        <v>31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13.5</v>
      </c>
      <c r="M24" s="19" t="s">
        <v>21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118</v>
      </c>
      <c r="E25">
        <v>3</v>
      </c>
      <c r="F25">
        <v>5</v>
      </c>
      <c r="G25" t="s">
        <v>31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13.5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119</v>
      </c>
      <c r="E26">
        <v>1</v>
      </c>
      <c r="F26">
        <v>20</v>
      </c>
      <c r="G26" t="s">
        <v>31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18</v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120</v>
      </c>
      <c r="E27">
        <v>1</v>
      </c>
      <c r="F27">
        <v>20</v>
      </c>
      <c r="G27" t="s">
        <v>31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18</v>
      </c>
      <c r="M27" s="13" t="s">
        <v>61</v>
      </c>
      <c r="N27" s="15">
        <v>2997</v>
      </c>
      <c r="O27" s="40" t="s">
        <v>62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76</v>
      </c>
      <c r="E28">
        <v>1</v>
      </c>
      <c r="F28">
        <v>50</v>
      </c>
      <c r="G28" t="s">
        <v>31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45</v>
      </c>
      <c r="M28" s="13" t="s">
        <v>63</v>
      </c>
      <c r="N28" s="15">
        <v>1010</v>
      </c>
      <c r="O28" s="40" t="s">
        <v>64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74</v>
      </c>
      <c r="E29">
        <v>1</v>
      </c>
      <c r="F29">
        <v>130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130</v>
      </c>
      <c r="M29" s="13" t="s">
        <v>65</v>
      </c>
      <c r="N29" s="15">
        <v>1550</v>
      </c>
      <c r="O29" s="40" t="s">
        <v>66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42</v>
      </c>
      <c r="E30">
        <v>2</v>
      </c>
      <c r="F30">
        <v>5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10</v>
      </c>
      <c r="M30" s="13" t="s">
        <v>67</v>
      </c>
      <c r="N30" s="15">
        <v>300</v>
      </c>
      <c r="O30" s="40" t="s">
        <v>66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121</v>
      </c>
      <c r="E31">
        <v>1</v>
      </c>
      <c r="F31">
        <v>300</v>
      </c>
      <c r="G31" t="s">
        <v>31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270</v>
      </c>
      <c r="M31" s="13" t="s">
        <v>68</v>
      </c>
      <c r="N31" s="15">
        <v>1200</v>
      </c>
      <c r="O31" s="40" t="s">
        <v>66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122</v>
      </c>
      <c r="E32">
        <v>1</v>
      </c>
      <c r="F32">
        <v>1000</v>
      </c>
      <c r="G32" t="s">
        <v>123</v>
      </c>
      <c r="H32" s="5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>900</v>
      </c>
      <c r="M32" s="13" t="s">
        <v>69</v>
      </c>
      <c r="N32" s="15">
        <v>7057</v>
      </c>
      <c r="O32" s="40" t="s">
        <v>70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125</v>
      </c>
      <c r="E33">
        <v>1</v>
      </c>
      <c r="F33">
        <v>50</v>
      </c>
      <c r="G33" t="s">
        <v>123</v>
      </c>
      <c r="H33" s="5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>45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126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SUM(Tabla114[Importa])</f>
        <v>2301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29</v>
      </c>
      <c r="M4" s="23" t="s">
        <v>145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46221.792928819443</v>
      </c>
      <c r="C5">
        <f t="shared" ref="C5:C68" si="0">IF(ISNUMBER(E5), IF(ISNUMBER(C4), C4+1, 1), "")</f>
        <v>1</v>
      </c>
      <c r="D5" t="s">
        <v>127</v>
      </c>
      <c r="E5">
        <v>1</v>
      </c>
      <c r="F5">
        <v>48</v>
      </c>
      <c r="G5" t="s">
        <v>31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43.5</v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>
        <f t="shared" si="0"/>
        <v>2</v>
      </c>
      <c r="D6" t="s">
        <v>42</v>
      </c>
      <c r="E6">
        <v>2</v>
      </c>
      <c r="F6">
        <v>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>
        <f t="shared" si="0"/>
        <v>3</v>
      </c>
      <c r="D7" t="s">
        <v>128</v>
      </c>
      <c r="E7">
        <v>1</v>
      </c>
      <c r="F7">
        <v>130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130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>
        <f t="shared" si="0"/>
        <v>4</v>
      </c>
      <c r="D8" t="s">
        <v>129</v>
      </c>
      <c r="E8">
        <v>1</v>
      </c>
      <c r="F8">
        <v>15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>
        <f t="shared" si="0"/>
        <v>5</v>
      </c>
      <c r="D9" t="s">
        <v>110</v>
      </c>
      <c r="E9">
        <v>1</v>
      </c>
      <c r="F9">
        <v>150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150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>
        <f t="shared" si="0"/>
        <v>6</v>
      </c>
      <c r="D10" t="s">
        <v>130</v>
      </c>
      <c r="E10">
        <v>1</v>
      </c>
      <c r="F10">
        <v>15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>
        <f t="shared" si="0"/>
        <v>7</v>
      </c>
      <c r="D11" t="s">
        <v>84</v>
      </c>
      <c r="E11">
        <v>1</v>
      </c>
      <c r="F11">
        <v>50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>
        <f t="shared" si="0"/>
        <v>8</v>
      </c>
      <c r="D12" t="s">
        <v>131</v>
      </c>
      <c r="E12">
        <v>1</v>
      </c>
      <c r="F12">
        <v>70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70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>
        <f t="shared" si="0"/>
        <v>9</v>
      </c>
      <c r="D13" t="s">
        <v>36</v>
      </c>
      <c r="E13">
        <v>1</v>
      </c>
      <c r="F13">
        <v>185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185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>
        <f t="shared" si="0"/>
        <v>10</v>
      </c>
      <c r="D14" t="s">
        <v>132</v>
      </c>
      <c r="E14">
        <v>1</v>
      </c>
      <c r="F14">
        <v>20</v>
      </c>
      <c r="G14" t="s">
        <v>31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>
        <f t="shared" si="0"/>
        <v>11</v>
      </c>
      <c r="D15" t="s">
        <v>133</v>
      </c>
      <c r="E15">
        <v>1</v>
      </c>
      <c r="F15">
        <v>60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60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>
        <f t="shared" si="0"/>
        <v>12</v>
      </c>
      <c r="D16" t="s">
        <v>134</v>
      </c>
      <c r="E16">
        <v>1</v>
      </c>
      <c r="F16">
        <v>140</v>
      </c>
      <c r="G16" t="s">
        <v>31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126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>
        <f t="shared" si="0"/>
        <v>13</v>
      </c>
      <c r="D17" t="s">
        <v>135</v>
      </c>
      <c r="E17">
        <v>1</v>
      </c>
      <c r="F17">
        <v>484</v>
      </c>
      <c r="G17" t="s">
        <v>31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436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>
        <f t="shared" si="0"/>
        <v>14</v>
      </c>
      <c r="D18" t="s">
        <v>129</v>
      </c>
      <c r="E18">
        <v>2</v>
      </c>
      <c r="F18">
        <v>15</v>
      </c>
      <c r="G18" t="s">
        <v>31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27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>
        <f t="shared" si="0"/>
        <v>15</v>
      </c>
      <c r="D19" t="s">
        <v>99</v>
      </c>
      <c r="E19">
        <v>1</v>
      </c>
      <c r="F19">
        <v>90</v>
      </c>
      <c r="G19" t="s">
        <v>31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81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>
        <f t="shared" si="0"/>
        <v>16</v>
      </c>
      <c r="D20" t="s">
        <v>136</v>
      </c>
      <c r="E20">
        <v>2</v>
      </c>
      <c r="F20">
        <v>5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10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137</v>
      </c>
      <c r="E21">
        <v>1</v>
      </c>
      <c r="F21">
        <v>110</v>
      </c>
      <c r="G21" t="s">
        <v>31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99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138</v>
      </c>
      <c r="E22">
        <v>2</v>
      </c>
      <c r="F22">
        <v>25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42</v>
      </c>
      <c r="E23">
        <v>1</v>
      </c>
      <c r="F23">
        <v>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139</v>
      </c>
      <c r="E24">
        <v>1</v>
      </c>
      <c r="F24">
        <v>70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70</v>
      </c>
      <c r="M24" s="19" t="s">
        <v>21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110</v>
      </c>
      <c r="E25">
        <v>1</v>
      </c>
      <c r="F25">
        <v>150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150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84</v>
      </c>
      <c r="E26">
        <v>1</v>
      </c>
      <c r="F26">
        <v>50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50</v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140</v>
      </c>
      <c r="E27">
        <v>1</v>
      </c>
      <c r="F27">
        <v>221</v>
      </c>
      <c r="G27" t="s">
        <v>123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199</v>
      </c>
      <c r="M27" s="13" t="s">
        <v>141</v>
      </c>
      <c r="N27" s="15">
        <v>5650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142</v>
      </c>
      <c r="E28">
        <v>1</v>
      </c>
      <c r="F28">
        <v>15</v>
      </c>
      <c r="G28" t="s">
        <v>31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13.5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143</v>
      </c>
      <c r="E29">
        <v>1</v>
      </c>
      <c r="F29">
        <v>145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145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144</v>
      </c>
      <c r="E30">
        <v>1</v>
      </c>
      <c r="F30">
        <v>20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20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132</v>
      </c>
      <c r="E31">
        <v>1</v>
      </c>
      <c r="F31">
        <v>20</v>
      </c>
      <c r="G31" t="s">
        <v>31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18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84</v>
      </c>
      <c r="E32">
        <v>1</v>
      </c>
      <c r="F32">
        <v>50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50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42</v>
      </c>
      <c r="E33">
        <v>1</v>
      </c>
      <c r="F33">
        <v>5</v>
      </c>
      <c r="H33" s="5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>5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19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13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46221.792928819443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46221.792928819443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46221.792928819443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46221.792928819443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46221.792928819443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46221.792928819443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46221.792928819443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46221.792928819443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46221.792928819443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46221.792928819443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46221.792928819443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46221.792928819443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46221.792928819443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46221.792928819443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46221.792928819443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21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22</v>
      </c>
      <c r="N26" s="14" t="s">
        <v>23</v>
      </c>
      <c r="O26" s="38" t="s">
        <v>24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10</v>
      </c>
      <c r="C3" t="s">
        <v>11</v>
      </c>
      <c r="D3" t="s">
        <v>12</v>
      </c>
    </row>
    <row r="4" spans="2:5" ht="30" x14ac:dyDescent="0.25">
      <c r="B4" s="4" t="s">
        <v>14</v>
      </c>
      <c r="C4" s="2">
        <v>45576</v>
      </c>
      <c r="D4" s="3">
        <v>1.1000000000000001</v>
      </c>
      <c r="E4" s="3"/>
    </row>
    <row r="5" spans="2:5" ht="45" x14ac:dyDescent="0.25">
      <c r="B5" s="7" t="s">
        <v>18</v>
      </c>
      <c r="C5" s="3" t="s">
        <v>15</v>
      </c>
      <c r="D5" s="3">
        <v>1.2</v>
      </c>
      <c r="E5" s="3"/>
    </row>
    <row r="6" spans="2:5" ht="30" x14ac:dyDescent="0.25">
      <c r="B6" s="7" t="s">
        <v>26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13-07-26</vt:lpstr>
      <vt:lpstr>Martes 14-07-26</vt:lpstr>
      <vt:lpstr>Miercoles 15-07-26</vt:lpstr>
      <vt:lpstr>Jueves 16-07-26</vt:lpstr>
      <vt:lpstr>Viernes 17-07-26</vt:lpstr>
      <vt:lpstr>Sabado 18-07-26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2026-07-19T01:03:26Z</dcterms:modified>
</cp:coreProperties>
</file>