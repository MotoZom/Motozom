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847085AB-8142-49D6-893A-DD6AEE181F1A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27-07-26" sheetId="1" r:id="rId1"/>
    <sheet name="Martes 28-07-26" sheetId="2" r:id="rId2"/>
    <sheet name="Miercoles 29-06-26" sheetId="3" r:id="rId3"/>
    <sheet name="Jueves 30-07-26" sheetId="4" r:id="rId4"/>
    <sheet name="Viernes 31-07-26" sheetId="5" r:id="rId5"/>
    <sheet name="Sabado 01-08-26" sheetId="6" r:id="rId6"/>
    <sheet name="Domingo" sheetId="8" r:id="rId7"/>
    <sheet name="Cambios" sheetId="7" r:id="rId8"/>
  </sheets>
  <definedNames>
    <definedName name="_xlnm._FilterDatabase" localSheetId="0" hidden="1">'Lunes 27-07-26'!$B$4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8" i="6"/>
  <c r="C29" i="6" s="1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<sst xmlns="http://schemas.openxmlformats.org/spreadsheetml/2006/main" count="345" uniqueCount="166">
  <si>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</si>
  <si>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</si>
  <si>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</si>
  <si>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</si>
  <si>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</si>
  <si>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</si>
  <si>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</si>
  <si>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</si>
  <si>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</si>
  <si>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</si>
  <si>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</si>
  <si>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</si>
  <si>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</si>
  <si>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</si>
  <si>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</si>
  <si>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</si>
  <si>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</si>
  <si>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</si>
  <si>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</si>
  <si>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</si>
  <si>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</si>
  <si>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</si>
  <si>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</si>
  <si>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</si>
  <si>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</si>
  <si>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27 DE JULIO DE 26</t>
  </si>
  <si>
    <t>CHICOTE DE CLUTH UNIVERSAL</t>
  </si>
  <si>
    <t xml:space="preserve">PUÑOS MORADOS </t>
  </si>
  <si>
    <t xml:space="preserve">MANGUERA DE GASOLINA </t>
  </si>
  <si>
    <t xml:space="preserve">FILTRO DE GASOLINA PIEDRA </t>
  </si>
  <si>
    <t>BUJIA D8</t>
  </si>
  <si>
    <t>CLAXON DS150</t>
  </si>
  <si>
    <t>MANIJA IZQUIERDA DM200</t>
  </si>
  <si>
    <t>BUJIA C7</t>
  </si>
  <si>
    <t>X</t>
  </si>
  <si>
    <t>STIKER</t>
  </si>
  <si>
    <t>GUIAS DE CADENA DS150</t>
  </si>
  <si>
    <t xml:space="preserve">BALATA DE DISCO DS150 </t>
  </si>
  <si>
    <t xml:space="preserve">CABEZA DE MOTONETA </t>
  </si>
  <si>
    <t>ANULLOS DE PISTON DS150</t>
  </si>
  <si>
    <t>JUNTA DE CARTEL FS150</t>
  </si>
  <si>
    <t>CADENA DE DISTRIBUCCION DS150</t>
  </si>
  <si>
    <t>LUBRICANTE DE CADENA LUBER</t>
  </si>
  <si>
    <t>PIÑON DM200</t>
  </si>
  <si>
    <t xml:space="preserve">SEGURO DE PIÑON </t>
  </si>
  <si>
    <t xml:space="preserve">PUÑOS </t>
  </si>
  <si>
    <t>BALATA DE DISCO 250Z</t>
  </si>
  <si>
    <t>PEDAL DE CAMBIOS FT150</t>
  </si>
  <si>
    <t xml:space="preserve">CHCICOTE DE FRENO DELANTERO </t>
  </si>
  <si>
    <t>FOCO H6 LED</t>
  </si>
  <si>
    <t>RED DE ACEINTO WS150</t>
  </si>
  <si>
    <t>BIRLOS DE DS150</t>
  </si>
  <si>
    <t>SELLOS DE ESCAPE  DS150</t>
  </si>
  <si>
    <t xml:space="preserve">CUENTA DE SEMANA PASADA $ 27867 MENOS $ 610 DE PUÑOS QUEDA $ 27257 </t>
  </si>
  <si>
    <t xml:space="preserve">RESORTE DE PARADOR LATERAL </t>
  </si>
  <si>
    <t>CHCICOTE UNIVERSAL CLUTH</t>
  </si>
  <si>
    <t>Martes 28 DE JULIO-26</t>
  </si>
  <si>
    <t xml:space="preserve">JUNTA DE CARTEL </t>
  </si>
  <si>
    <t>TENSOR DE CADENA FT125</t>
  </si>
  <si>
    <t xml:space="preserve">CHICOTE DE FRENO DELANTERO HONDA CARGO </t>
  </si>
  <si>
    <t>POPOTE PARA RIND ROJO</t>
  </si>
  <si>
    <t>PEDIDO NASAKI</t>
  </si>
  <si>
    <t>ESPEJOS 150Z</t>
  </si>
  <si>
    <t>DIRECCIONAL DE PULSAR 200NS</t>
  </si>
  <si>
    <t>MANIJAS DE LUJO</t>
  </si>
  <si>
    <t>JUNTA DE CARTEL 250Z</t>
  </si>
  <si>
    <t>JUNTA DE ESTATOR FT150</t>
  </si>
  <si>
    <t xml:space="preserve">CUENTA DE SEMANA PASADA $ 27257 MENOS $ 1327 DE PEDIDO DE NASAKI QUEDA $ 25930 
</t>
  </si>
  <si>
    <t xml:space="preserve">AUMENTO DE AMORTIGUADOR </t>
  </si>
  <si>
    <t>Miercoles 29 DE JULIO-26</t>
  </si>
  <si>
    <t xml:space="preserve">SEGURO DE CADENA 520 ALESSSIA </t>
  </si>
  <si>
    <t>BOMBA DE FRENO DE ATV 150</t>
  </si>
  <si>
    <t>RETEN MOTOR SUELTO</t>
  </si>
  <si>
    <t>CAMARA 130 .60.13</t>
  </si>
  <si>
    <t>CAMARA 130 -90-10</t>
  </si>
  <si>
    <t xml:space="preserve">BASES DE ESPEJOS  </t>
  </si>
  <si>
    <t>ESPEJOS DE  FT150</t>
  </si>
  <si>
    <t xml:space="preserve">PALANCA PARA QUITAR LLANTA </t>
  </si>
  <si>
    <t>CAMARA 3.0018</t>
  </si>
  <si>
    <t>CAJA DE TRASMISION FT125</t>
  </si>
  <si>
    <t>SWUITH DE WS150</t>
  </si>
  <si>
    <t>CHCICOTE DE ACELERADOR 125Z</t>
  </si>
  <si>
    <t>CDI FT150 NASAKI</t>
  </si>
  <si>
    <t>CHICOTED E CLUTH UNIVERSAL</t>
  </si>
  <si>
    <t>AORCADOR UNIVERSAL DE CLUTH</t>
  </si>
  <si>
    <t xml:space="preserve">BUJIA </t>
  </si>
  <si>
    <t>MANDOS DERECHO FT150</t>
  </si>
  <si>
    <t>MANDO IZQUIERDO FT150</t>
  </si>
  <si>
    <t>AJUSTADOR DE CADENA 150Z</t>
  </si>
  <si>
    <t>PIPETA DE CARBURADOR FT150</t>
  </si>
  <si>
    <t>Jueves 30 DE JULIO-26</t>
  </si>
  <si>
    <t>Viernes 31 DE JULIO-26</t>
  </si>
  <si>
    <t>PUÑOS</t>
  </si>
  <si>
    <t>LUNES 27 DE JULIO-26</t>
  </si>
  <si>
    <t>P.NASAKI</t>
  </si>
  <si>
    <t>MARTES 28 DE JULIO-26</t>
  </si>
  <si>
    <t xml:space="preserve">FABULOSO </t>
  </si>
  <si>
    <t>FABULOSO</t>
  </si>
  <si>
    <t>MIERCOLES 29 DE JULIO-26</t>
  </si>
  <si>
    <t>JUEVES 30 DE JULIO-26</t>
  </si>
  <si>
    <t>PAGOYAS</t>
  </si>
  <si>
    <t>VIERNES 31 DE JULIO-26</t>
  </si>
  <si>
    <t>REGULADOR DE MOTONETA ITALIKA</t>
  </si>
  <si>
    <t>BANDA 743-20-30</t>
  </si>
  <si>
    <t>RODILLOS DE CENTRIFUGO DS150</t>
  </si>
  <si>
    <t>FILTRO DE AIRE D150</t>
  </si>
  <si>
    <t xml:space="preserve">TERMINAL DE BACTERIA </t>
  </si>
  <si>
    <t>VALIKER</t>
  </si>
  <si>
    <t>ACEITE</t>
  </si>
  <si>
    <t>FFOCO H4 HALOGENO</t>
  </si>
  <si>
    <t>TOTAL</t>
  </si>
  <si>
    <t>CUENTA SEMANA PASADA $ 25930 MENOS $1352 DE ACEITE Y LIQUIDO DE BARRAS QUEDA $24578</t>
  </si>
  <si>
    <t>CINTA DE AISLAR</t>
  </si>
  <si>
    <t xml:space="preserve">CDI DE MOTONETA </t>
  </si>
  <si>
    <t xml:space="preserve">ACEITE DIKAL </t>
  </si>
  <si>
    <t xml:space="preserve">BUJIA D8 </t>
  </si>
  <si>
    <t>FILTRO DE GASOLINA CARTON</t>
  </si>
  <si>
    <t>JUNTAS DE CABEZA DE DM200</t>
  </si>
  <si>
    <t>SWUTHI DE ATV ITALIKA</t>
  </si>
  <si>
    <t>BARILLA DE BALANCIN DM200</t>
  </si>
  <si>
    <t xml:space="preserve">DIRECCIONAL UNIVERSAL </t>
  </si>
  <si>
    <t>CHICOTE DE ACELERADOR DM200</t>
  </si>
  <si>
    <t>RED DE ACIENTO WS150</t>
  </si>
  <si>
    <t>TAZAS DE DIRECCION D125</t>
  </si>
  <si>
    <t>RETEN DE SUSPENSIÓN 27-50-10</t>
  </si>
  <si>
    <t>TIRAS LED  ROJA</t>
  </si>
  <si>
    <t>TIRAS LED AMARILLAS</t>
  </si>
  <si>
    <t>FILTRO DE ALTO FLUJO</t>
  </si>
  <si>
    <t>ACEITE DIKAL</t>
  </si>
  <si>
    <t>FILTRO DE AIRE WS150 SPORT</t>
  </si>
  <si>
    <t>PASTAS DE CLUTH FT150</t>
  </si>
  <si>
    <t xml:space="preserve">FOCO H 6 HALOGENO </t>
  </si>
  <si>
    <t xml:space="preserve">MOTUL 5100 </t>
  </si>
  <si>
    <t xml:space="preserve">CHICOTE DE CLUTH  </t>
  </si>
  <si>
    <t>CINTA DE AISLAR CHICA</t>
  </si>
  <si>
    <t xml:space="preserve">TOTAL DE EGRESOS </t>
  </si>
  <si>
    <r>
      <rPr>
        <b/>
        <sz val="14"/>
        <color theme="1"/>
        <rFont val="Calibri"/>
        <family val="2"/>
        <scheme val="minor"/>
      </rPr>
      <t>CORTES DE LA SEMANA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 xml:space="preserve"> CUENTA SEMANA PASA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LUNES 27 DE JULIO-26                  $27867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$ 1913          MENOS $4798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MARTES 28 DE JULIO-26              $23069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$ 1059.5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29 DE JULIO-26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$ 2471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30 DE JULIO-26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$ 1576.5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31 DE JULIO-26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$ 1092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TOTAL$ 8112
TOTAL EN CAJA $31181</t>
    </r>
  </si>
  <si>
    <t>ESPEJOS DE FT150</t>
  </si>
  <si>
    <t>ESPEJOS DE WS150</t>
  </si>
  <si>
    <t>LLANTA 110-90-16</t>
  </si>
  <si>
    <t>MANIJAS DE 150Z</t>
  </si>
  <si>
    <t>DIRECCIONAL UNIVERSAL WAPEMEX</t>
  </si>
  <si>
    <t>AUXILIARES DE LUPA</t>
  </si>
  <si>
    <t xml:space="preserve">RESORTE DE FRENO </t>
  </si>
  <si>
    <t>SILICON AXPRO</t>
  </si>
  <si>
    <t xml:space="preserve">SELLO DE ESCAPE </t>
  </si>
  <si>
    <t>RETEN DE SUSPENSIÓN 37-10-50</t>
  </si>
  <si>
    <t>ESTRELLA AT110 ITALIKA</t>
  </si>
  <si>
    <t xml:space="preserve">FOCO DE DIRECCIONAL </t>
  </si>
  <si>
    <t xml:space="preserve">LUZ </t>
  </si>
  <si>
    <t>DIRECCIONAL UNIVERSALNASAKI</t>
  </si>
  <si>
    <t xml:space="preserve">DIRECCIONALES UNIVERSALES </t>
  </si>
  <si>
    <t xml:space="preserve">CHICOTE DE CLUTH UNIVERSAL </t>
  </si>
  <si>
    <t>PILA MOTONETA NASAKI</t>
  </si>
  <si>
    <t>BALATAS DE DISCO DS150</t>
  </si>
  <si>
    <t>ESPEJOS COFEE RANCING</t>
  </si>
  <si>
    <t>POSAPIE DELANTERO 250Z</t>
  </si>
  <si>
    <t>CADENA 428 X 136 WAPEMEX</t>
  </si>
  <si>
    <t>PIÑON DE DM200</t>
  </si>
  <si>
    <t>GOMAS DE IMPACTO AT110</t>
  </si>
  <si>
    <t xml:space="preserve">TUERCA </t>
  </si>
  <si>
    <t>BALATA DE DIASCO DS150</t>
  </si>
  <si>
    <t>RONDANAS PAQUETE</t>
  </si>
  <si>
    <t>CADENA 428 X 136 NASAKI</t>
  </si>
  <si>
    <r>
      <t xml:space="preserve">CUENTA DE AYER $31181 MENOS $ 498 DE PAGO DE LUZ QUEDA $ 30683 CUENTA DE HOY SSABADO $ 4069 MENOS $ 300 DE PAGO DE YAS QUEDA $ 3769 MAS LO DE  CAJA DE AYER $ 30683 
</t>
    </r>
    <r>
      <rPr>
        <b/>
        <sz val="24"/>
        <color theme="1"/>
        <rFont val="Calibri"/>
        <family val="2"/>
        <scheme val="minor"/>
      </rPr>
      <t>TOTAL EN CAJA $ 34452</t>
    </r>
  </si>
  <si>
    <t>Sabado 01 DE AGOSTO-26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</si>
</sst>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3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33" sqref="D3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21" t="s">
        <v>25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2" t="s">
        <v>17</v>
      </c>
      <c r="K3" s="6">
        <f>SUM(Tabla1[Importa])</f>
        <v>1913</v>
      </c>
      <c r="M3" s="24" t="s">
        <v>6</v>
      </c>
      <c r="N3" s="24"/>
      <c r="O3" s="24"/>
      <c r="P3" s="24"/>
      <c r="Q3" s="24"/>
      <c r="R3" s="24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28</v>
      </c>
      <c r="M4" s="23" t="s">
        <v>53</v>
      </c>
      <c r="N4" s="23"/>
      <c r="O4" s="23"/>
      <c r="P4" s="23"/>
      <c r="Q4" s="23"/>
      <c r="R4" s="23"/>
    </row>
    <row r="5" spans="2:18" x14ac:dyDescent="0.25">
      <c r="B5" s="18">
        <f ca="1">IF(Tabla1[[#This Row],['#]]&lt;&gt;"", NOW(), "")</f>
        <v>46235.803793055558</v>
      </c>
      <c r="C5">
        <f>IF(ISNUMBER(E5), IF(ISNUMBER(C4), C4+1, 1), "")</f>
        <v>1</v>
      </c>
      <c r="D5" t="s">
        <v>26</v>
      </c>
      <c r="E5">
        <v>1</v>
      </c>
      <c r="F5">
        <v>15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15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46235.803793055558</v>
      </c>
      <c r="C6">
        <f t="shared" ref="C6:C36" si="0">IF(ISNUMBER(E6), IF(ISNUMBER(C5), C5+1, 1), "")</f>
        <v>2</v>
      </c>
      <c r="D6" t="s">
        <v>27</v>
      </c>
      <c r="E6">
        <v>1</v>
      </c>
      <c r="F6">
        <v>88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88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46235.803793055558</v>
      </c>
      <c r="C7">
        <f t="shared" si="0"/>
        <v>3</v>
      </c>
      <c r="D7" t="s">
        <v>28</v>
      </c>
      <c r="E7">
        <v>1</v>
      </c>
      <c r="F7">
        <v>15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15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46235.803793055558</v>
      </c>
      <c r="C8">
        <f t="shared" si="0"/>
        <v>4</v>
      </c>
      <c r="D8" t="s">
        <v>29</v>
      </c>
      <c r="E8">
        <v>1</v>
      </c>
      <c r="F8">
        <v>20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20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46235.803793055558</v>
      </c>
      <c r="C9">
        <f t="shared" si="0"/>
        <v>5</v>
      </c>
      <c r="D9" t="s">
        <v>30</v>
      </c>
      <c r="E9">
        <v>2</v>
      </c>
      <c r="F9">
        <v>50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100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46235.803793055558</v>
      </c>
      <c r="C10">
        <f t="shared" si="0"/>
        <v>6</v>
      </c>
      <c r="D10" t="s">
        <v>31</v>
      </c>
      <c r="E10">
        <v>1</v>
      </c>
      <c r="F10">
        <v>50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50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46235.803793055558</v>
      </c>
      <c r="C11">
        <f t="shared" si="0"/>
        <v>7</v>
      </c>
      <c r="D11" t="s">
        <v>32</v>
      </c>
      <c r="E11">
        <v>1</v>
      </c>
      <c r="F11">
        <v>120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120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46235.803793055558</v>
      </c>
      <c r="C12">
        <f t="shared" si="0"/>
        <v>8</v>
      </c>
      <c r="D12" t="s">
        <v>33</v>
      </c>
      <c r="E12">
        <v>2</v>
      </c>
      <c r="F12">
        <v>50</v>
      </c>
      <c r="G12" t="s">
        <v>34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90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46235.803793055558</v>
      </c>
      <c r="C13">
        <f t="shared" si="0"/>
        <v>9</v>
      </c>
      <c r="D13" t="s">
        <v>35</v>
      </c>
      <c r="E13">
        <v>1</v>
      </c>
      <c r="F13">
        <v>5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46235.803793055558</v>
      </c>
      <c r="C14">
        <f t="shared" si="0"/>
        <v>10</v>
      </c>
      <c r="D14" t="s">
        <v>36</v>
      </c>
      <c r="E14">
        <v>1</v>
      </c>
      <c r="F14">
        <v>47</v>
      </c>
      <c r="G14" t="s">
        <v>34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42.5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46235.803793055558</v>
      </c>
      <c r="C15">
        <f t="shared" si="0"/>
        <v>11</v>
      </c>
      <c r="D15" t="s">
        <v>37</v>
      </c>
      <c r="E15">
        <v>1</v>
      </c>
      <c r="F15">
        <v>36</v>
      </c>
      <c r="G15" t="s">
        <v>34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32.5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46235.803793055558</v>
      </c>
      <c r="C16">
        <f t="shared" si="0"/>
        <v>12</v>
      </c>
      <c r="D16" t="s">
        <v>38</v>
      </c>
      <c r="E16">
        <v>1</v>
      </c>
      <c r="F16">
        <v>500</v>
      </c>
      <c r="G16" t="s">
        <v>34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450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46235.803793055558</v>
      </c>
      <c r="C17">
        <f t="shared" si="0"/>
        <v>13</v>
      </c>
      <c r="D17" t="s">
        <v>39</v>
      </c>
      <c r="E17">
        <v>1</v>
      </c>
      <c r="F17">
        <v>59</v>
      </c>
      <c r="G17" t="s">
        <v>34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53.5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46235.803793055558</v>
      </c>
      <c r="C18">
        <f t="shared" si="0"/>
        <v>14</v>
      </c>
      <c r="D18" t="s">
        <v>40</v>
      </c>
      <c r="E18">
        <v>1</v>
      </c>
      <c r="F18">
        <v>15</v>
      </c>
      <c r="G18" t="s">
        <v>34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13.5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46235.803793055558</v>
      </c>
      <c r="C19">
        <f t="shared" si="0"/>
        <v>15</v>
      </c>
      <c r="D19" t="s">
        <v>41</v>
      </c>
      <c r="E19">
        <v>1</v>
      </c>
      <c r="F19">
        <v>68</v>
      </c>
      <c r="G19" t="s">
        <v>34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61.5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46235.803793055558</v>
      </c>
      <c r="C20">
        <f t="shared" si="0"/>
        <v>16</v>
      </c>
      <c r="D20" t="s">
        <v>42</v>
      </c>
      <c r="E20">
        <v>1</v>
      </c>
      <c r="F20">
        <v>90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90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46235.803793055558</v>
      </c>
      <c r="C21">
        <f t="shared" si="0"/>
        <v>17</v>
      </c>
      <c r="D21" t="s">
        <v>43</v>
      </c>
      <c r="E21">
        <v>1</v>
      </c>
      <c r="F21">
        <v>50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50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46235.803793055558</v>
      </c>
      <c r="C22">
        <f t="shared" si="0"/>
        <v>18</v>
      </c>
      <c r="D22" t="s">
        <v>44</v>
      </c>
      <c r="E22">
        <v>1</v>
      </c>
      <c r="F22">
        <v>10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10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46235.803793055558</v>
      </c>
      <c r="C23">
        <f t="shared" si="0"/>
        <v>19</v>
      </c>
      <c r="D23" t="s">
        <v>41</v>
      </c>
      <c r="E23">
        <v>1</v>
      </c>
      <c r="F23">
        <v>68</v>
      </c>
      <c r="G23" t="s">
        <v>34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61.5</v>
      </c>
    </row>
    <row r="24" spans="2:18" ht="15" customHeight="1" x14ac:dyDescent="0.25">
      <c r="B24" s="18">
        <f ca="1">IF(Tabla1[[#This Row],['#]]&lt;&gt;"", NOW(), "")</f>
        <v>46235.803793055558</v>
      </c>
      <c r="C24">
        <f t="shared" si="0"/>
        <v>20</v>
      </c>
      <c r="D24" t="s">
        <v>46</v>
      </c>
      <c r="E24">
        <v>1</v>
      </c>
      <c r="F24">
        <v>70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70</v>
      </c>
      <c r="M24" s="19" t="s">
        <v>19</v>
      </c>
      <c r="N24" s="19"/>
      <c r="O24" s="19"/>
      <c r="P24" s="19"/>
      <c r="Q24" s="19"/>
      <c r="R24" s="19"/>
    </row>
    <row r="25" spans="2:18" x14ac:dyDescent="0.25">
      <c r="B25" s="18">
        <f ca="1">IF(Tabla1[[#This Row],['#]]&lt;&gt;"", NOW(), "")</f>
        <v>46235.803793055558</v>
      </c>
      <c r="C25">
        <f t="shared" si="0"/>
        <v>21</v>
      </c>
      <c r="D25" t="s">
        <v>47</v>
      </c>
      <c r="E25">
        <v>1</v>
      </c>
      <c r="F25">
        <v>89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89</v>
      </c>
      <c r="M25" s="20"/>
      <c r="N25" s="20"/>
      <c r="O25" s="20"/>
      <c r="P25" s="20"/>
      <c r="Q25" s="20"/>
      <c r="R25" s="20"/>
    </row>
    <row r="26" spans="2:18" ht="15" customHeight="1" x14ac:dyDescent="0.25">
      <c r="B26" s="18">
        <f ca="1">IF(Tabla1[[#This Row],['#]]&lt;&gt;"", NOW(), "")</f>
        <v>46235.803793055558</v>
      </c>
      <c r="C26">
        <f t="shared" si="0"/>
        <v>22</v>
      </c>
      <c r="D26" t="s">
        <v>48</v>
      </c>
      <c r="E26">
        <v>1</v>
      </c>
      <c r="F26">
        <v>51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51</v>
      </c>
      <c r="M26" s="38" t="s">
        <v>20</v>
      </c>
      <c r="N26" s="38"/>
      <c r="O26" s="14" t="s">
        <v>21</v>
      </c>
      <c r="P26" s="38" t="s">
        <v>22</v>
      </c>
      <c r="Q26" s="38"/>
      <c r="R26" s="38"/>
    </row>
    <row r="27" spans="2:18" x14ac:dyDescent="0.25">
      <c r="B27" s="18">
        <f ca="1">IF(Tabla1[[#This Row],['#]]&lt;&gt;"", NOW(), "")</f>
        <v>46235.803793055558</v>
      </c>
      <c r="C27">
        <f t="shared" si="0"/>
        <v>23</v>
      </c>
      <c r="D27" t="s">
        <v>49</v>
      </c>
      <c r="E27">
        <v>1</v>
      </c>
      <c r="F27">
        <v>150</v>
      </c>
      <c r="H27" s="5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>150</v>
      </c>
      <c r="M27" s="26" t="s">
        <v>45</v>
      </c>
      <c r="N27" s="27"/>
      <c r="O27" s="30">
        <v>610</v>
      </c>
      <c r="P27" s="32"/>
      <c r="Q27" s="33"/>
      <c r="R27" s="34"/>
    </row>
    <row r="28" spans="2:18" x14ac:dyDescent="0.25">
      <c r="B28" s="18">
        <f ca="1">IF(Tabla1[[#This Row],['#]]&lt;&gt;"", NOW(), "")</f>
        <v>46235.803793055558</v>
      </c>
      <c r="C28">
        <f t="shared" si="0"/>
        <v>24</v>
      </c>
      <c r="D28" t="s">
        <v>50</v>
      </c>
      <c r="E28">
        <v>1</v>
      </c>
      <c r="F28">
        <v>125</v>
      </c>
      <c r="H28" s="5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>125</v>
      </c>
      <c r="M28" s="28"/>
      <c r="N28" s="29"/>
      <c r="O28" s="31"/>
      <c r="P28" s="35"/>
      <c r="Q28" s="36"/>
      <c r="R28" s="37"/>
    </row>
    <row r="29" spans="2:18" x14ac:dyDescent="0.25">
      <c r="B29" s="18">
        <f ca="1">IF(Tabla1[[#This Row],['#]]&lt;&gt;"", NOW(), "")</f>
        <v>46235.803793055558</v>
      </c>
      <c r="C29">
        <f t="shared" si="0"/>
        <v>25</v>
      </c>
      <c r="D29" t="s">
        <v>51</v>
      </c>
      <c r="E29">
        <v>4</v>
      </c>
      <c r="F29">
        <v>5</v>
      </c>
      <c r="G29" t="s">
        <v>34</v>
      </c>
      <c r="H29" s="5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>18</v>
      </c>
      <c r="M29" s="26"/>
      <c r="N29" s="27"/>
      <c r="O29" s="30"/>
      <c r="P29" s="32"/>
      <c r="Q29" s="33"/>
      <c r="R29" s="34"/>
    </row>
    <row r="30" spans="2:18" x14ac:dyDescent="0.25">
      <c r="B30" s="18">
        <f ca="1">IF(Tabla1[[#This Row],['#]]&lt;&gt;"", NOW(), "")</f>
        <v>46235.803793055558</v>
      </c>
      <c r="C30">
        <f t="shared" si="0"/>
        <v>26</v>
      </c>
      <c r="D30" t="s">
        <v>52</v>
      </c>
      <c r="E30">
        <v>1</v>
      </c>
      <c r="F30">
        <v>10</v>
      </c>
      <c r="G30" t="s">
        <v>34</v>
      </c>
      <c r="H30" s="5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>9</v>
      </c>
      <c r="M30" s="28"/>
      <c r="N30" s="29"/>
      <c r="O30" s="31"/>
      <c r="P30" s="35"/>
      <c r="Q30" s="36"/>
      <c r="R30" s="37"/>
    </row>
    <row r="31" spans="2:18" x14ac:dyDescent="0.25">
      <c r="B31" s="18">
        <f ca="1">IF(Tabla1[[#This Row],['#]]&lt;&gt;"", NOW(), "")</f>
        <v>46235.803793055558</v>
      </c>
      <c r="C31">
        <f t="shared" si="0"/>
        <v>27</v>
      </c>
      <c r="D31" t="s">
        <v>54</v>
      </c>
      <c r="E31">
        <v>1</v>
      </c>
      <c r="F31">
        <v>20</v>
      </c>
      <c r="G31" t="s">
        <v>34</v>
      </c>
      <c r="H31" s="5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>18</v>
      </c>
      <c r="M31" s="26"/>
      <c r="N31" s="27"/>
      <c r="O31" s="30"/>
      <c r="P31" s="32"/>
      <c r="Q31" s="33"/>
      <c r="R31" s="34"/>
    </row>
    <row r="32" spans="2:18" x14ac:dyDescent="0.25">
      <c r="B32" s="18">
        <f ca="1">IF(Tabla1[[#This Row],['#]]&lt;&gt;"", NOW(), "")</f>
        <v>46235.803793055558</v>
      </c>
      <c r="C32">
        <f t="shared" si="0"/>
        <v>28</v>
      </c>
      <c r="D32" t="s">
        <v>55</v>
      </c>
      <c r="E32">
        <v>1</v>
      </c>
      <c r="F32">
        <v>15</v>
      </c>
      <c r="H32" s="5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>15</v>
      </c>
      <c r="M32" s="28"/>
      <c r="N32" s="29"/>
      <c r="O32" s="31"/>
      <c r="P32" s="35"/>
      <c r="Q32" s="36"/>
      <c r="R32" s="37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26"/>
      <c r="N33" s="27"/>
      <c r="O33" s="30"/>
      <c r="P33" s="32"/>
      <c r="Q33" s="33"/>
      <c r="R33" s="34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8"/>
      <c r="N34" s="29"/>
      <c r="O34" s="31"/>
      <c r="P34" s="35"/>
      <c r="Q34" s="36"/>
      <c r="R34" s="37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26"/>
      <c r="N35" s="27"/>
      <c r="O35" s="30"/>
      <c r="P35" s="32"/>
      <c r="Q35" s="33"/>
      <c r="R35" s="34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8"/>
      <c r="N36" s="29"/>
      <c r="O36" s="31"/>
      <c r="P36" s="35"/>
      <c r="Q36" s="36"/>
      <c r="R36" s="37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26"/>
      <c r="N37" s="27"/>
      <c r="O37" s="30"/>
      <c r="P37" s="32"/>
      <c r="Q37" s="33"/>
      <c r="R37" s="34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8"/>
      <c r="N38" s="29"/>
      <c r="O38" s="31"/>
      <c r="P38" s="35"/>
      <c r="Q38" s="36"/>
      <c r="R38" s="37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26"/>
      <c r="N39" s="27"/>
      <c r="O39" s="30"/>
      <c r="P39" s="32"/>
      <c r="Q39" s="33"/>
      <c r="R39" s="34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8"/>
      <c r="N40" s="29"/>
      <c r="O40" s="31"/>
      <c r="P40" s="35"/>
      <c r="Q40" s="36"/>
      <c r="R40" s="37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26"/>
      <c r="N41" s="27"/>
      <c r="O41" s="30"/>
      <c r="P41" s="32"/>
      <c r="Q41" s="33"/>
      <c r="R41" s="34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8"/>
      <c r="N42" s="29"/>
      <c r="O42" s="31"/>
      <c r="P42" s="35"/>
      <c r="Q42" s="36"/>
      <c r="R42" s="37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26"/>
      <c r="N43" s="27"/>
      <c r="O43" s="30"/>
      <c r="P43" s="32"/>
      <c r="Q43" s="33"/>
      <c r="R43" s="34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8"/>
      <c r="N44" s="29"/>
      <c r="O44" s="31"/>
      <c r="P44" s="35"/>
      <c r="Q44" s="36"/>
      <c r="R44" s="37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26"/>
      <c r="N45" s="27"/>
      <c r="O45" s="30"/>
      <c r="P45" s="32"/>
      <c r="Q45" s="33"/>
      <c r="R45" s="34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8"/>
      <c r="N46" s="29"/>
      <c r="O46" s="31"/>
      <c r="P46" s="35"/>
      <c r="Q46" s="36"/>
      <c r="R46" s="37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26"/>
      <c r="N47" s="27"/>
      <c r="O47" s="30"/>
      <c r="P47" s="32"/>
      <c r="Q47" s="33"/>
      <c r="R47" s="34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8"/>
      <c r="N48" s="29"/>
      <c r="O48" s="31"/>
      <c r="P48" s="35"/>
      <c r="Q48" s="36"/>
      <c r="R48" s="37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26"/>
      <c r="N49" s="27"/>
      <c r="O49" s="30"/>
      <c r="P49" s="32"/>
      <c r="Q49" s="33"/>
      <c r="R49" s="34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8"/>
      <c r="N50" s="29"/>
      <c r="O50" s="31"/>
      <c r="P50" s="35"/>
      <c r="Q50" s="36"/>
      <c r="R50" s="37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26"/>
      <c r="N51" s="27"/>
      <c r="O51" s="30"/>
      <c r="P51" s="32"/>
      <c r="Q51" s="33"/>
      <c r="R51" s="34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8"/>
      <c r="N52" s="29"/>
      <c r="O52" s="31"/>
      <c r="P52" s="35"/>
      <c r="Q52" s="36"/>
      <c r="R52" s="37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49:N50"/>
    <mergeCell ref="O49:O50"/>
    <mergeCell ref="P49:R50"/>
    <mergeCell ref="M51:N52"/>
    <mergeCell ref="O51:O52"/>
    <mergeCell ref="P51:R52"/>
    <mergeCell ref="M45:N46"/>
    <mergeCell ref="O45:O46"/>
    <mergeCell ref="P45:R46"/>
    <mergeCell ref="M47:N48"/>
    <mergeCell ref="O47:O48"/>
    <mergeCell ref="P47:R48"/>
    <mergeCell ref="P31:R32"/>
    <mergeCell ref="P33:R34"/>
    <mergeCell ref="P35:R36"/>
    <mergeCell ref="P37:R38"/>
    <mergeCell ref="P39:R40"/>
    <mergeCell ref="O31:O32"/>
    <mergeCell ref="O33:O34"/>
    <mergeCell ref="O35:O36"/>
    <mergeCell ref="O37:O38"/>
    <mergeCell ref="O39:O40"/>
    <mergeCell ref="M31:N32"/>
    <mergeCell ref="M33:N34"/>
    <mergeCell ref="M35:N36"/>
    <mergeCell ref="M37:N38"/>
    <mergeCell ref="M39:N40"/>
    <mergeCell ref="P26:R26"/>
    <mergeCell ref="M26:N26"/>
    <mergeCell ref="M27:N28"/>
    <mergeCell ref="M29:N30"/>
    <mergeCell ref="O27:O28"/>
    <mergeCell ref="O29:O30"/>
    <mergeCell ref="P27:R28"/>
    <mergeCell ref="P29:R30"/>
    <mergeCell ref="M41:N42"/>
    <mergeCell ref="M43:N44"/>
    <mergeCell ref="O41:O42"/>
    <mergeCell ref="O43:O44"/>
    <mergeCell ref="P41:R42"/>
    <mergeCell ref="P43:R44"/>
    <mergeCell ref="M24:R24"/>
    <mergeCell ref="M25:R25"/>
    <mergeCell ref="C2:H2"/>
    <mergeCell ref="M4:R22"/>
    <mergeCell ref="M2:R2"/>
    <mergeCell ref="M3:R3"/>
    <mergeCell ref="J5:K14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56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SUM(Tabla110[Importa])</f>
        <v>1059.5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15</v>
      </c>
      <c r="M4" s="23" t="s">
        <v>67</v>
      </c>
      <c r="N4" s="23"/>
      <c r="O4" s="23"/>
      <c r="P4" s="23"/>
      <c r="Q4" s="23"/>
      <c r="R4" s="23"/>
    </row>
    <row r="5" spans="2:18" x14ac:dyDescent="0.25">
      <c r="B5" s="18">
        <f ca="1">IF(Tabla110[[#This Row],['#]]&lt;&gt;"", NOW(), "")</f>
        <v>46235.803793055558</v>
      </c>
      <c r="C5">
        <f t="shared" ref="C5:C68" si="0">IF(ISNUMBER(E5), IF(ISNUMBER(C4), C4+1, 1), "")</f>
        <v>1</v>
      </c>
      <c r="D5" t="s">
        <v>57</v>
      </c>
      <c r="E5">
        <v>1</v>
      </c>
      <c r="F5">
        <v>48</v>
      </c>
      <c r="G5" t="s">
        <v>34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43.5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46235.803793055558</v>
      </c>
      <c r="C6">
        <f t="shared" si="0"/>
        <v>2</v>
      </c>
      <c r="D6" t="s">
        <v>33</v>
      </c>
      <c r="E6">
        <v>1</v>
      </c>
      <c r="F6">
        <v>50</v>
      </c>
      <c r="G6" t="s">
        <v>34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45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46235.803793055558</v>
      </c>
      <c r="C7">
        <f t="shared" si="0"/>
        <v>3</v>
      </c>
      <c r="D7" t="s">
        <v>58</v>
      </c>
      <c r="E7">
        <v>1</v>
      </c>
      <c r="F7">
        <v>35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35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46235.803793055558</v>
      </c>
      <c r="C8">
        <f t="shared" si="0"/>
        <v>4</v>
      </c>
      <c r="D8" t="s">
        <v>59</v>
      </c>
      <c r="E8">
        <v>1</v>
      </c>
      <c r="F8">
        <v>70</v>
      </c>
      <c r="G8" t="s">
        <v>34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63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46235.803793055558</v>
      </c>
      <c r="C9">
        <f t="shared" si="0"/>
        <v>5</v>
      </c>
      <c r="D9" t="s">
        <v>35</v>
      </c>
      <c r="E9">
        <v>3</v>
      </c>
      <c r="F9">
        <v>5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15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46235.803793055558</v>
      </c>
      <c r="C10">
        <f t="shared" si="0"/>
        <v>6</v>
      </c>
      <c r="D10" t="s">
        <v>60</v>
      </c>
      <c r="E10">
        <v>1</v>
      </c>
      <c r="F10">
        <v>70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70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46235.803793055558</v>
      </c>
      <c r="C11">
        <f t="shared" si="0"/>
        <v>7</v>
      </c>
      <c r="D11" t="s">
        <v>35</v>
      </c>
      <c r="E11">
        <v>6</v>
      </c>
      <c r="F11">
        <v>5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30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46235.803793055558</v>
      </c>
      <c r="C12">
        <f t="shared" si="0"/>
        <v>8</v>
      </c>
      <c r="D12" t="s">
        <v>35</v>
      </c>
      <c r="E12">
        <v>1</v>
      </c>
      <c r="F12">
        <v>5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46235.803793055558</v>
      </c>
      <c r="C13">
        <f t="shared" si="0"/>
        <v>9</v>
      </c>
      <c r="D13" t="s">
        <v>62</v>
      </c>
      <c r="E13">
        <v>1</v>
      </c>
      <c r="F13">
        <v>100</v>
      </c>
      <c r="G13" t="s">
        <v>34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90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46235.803793055558</v>
      </c>
      <c r="C14">
        <f t="shared" si="0"/>
        <v>10</v>
      </c>
      <c r="D14" t="s">
        <v>64</v>
      </c>
      <c r="E14">
        <v>1</v>
      </c>
      <c r="F14">
        <v>355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355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46235.803793055558</v>
      </c>
      <c r="C15">
        <f t="shared" si="0"/>
        <v>11</v>
      </c>
      <c r="D15" t="s">
        <v>63</v>
      </c>
      <c r="E15">
        <v>1</v>
      </c>
      <c r="F15">
        <v>100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100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46235.803793055558</v>
      </c>
      <c r="C16">
        <f t="shared" si="0"/>
        <v>12</v>
      </c>
      <c r="D16" t="s">
        <v>65</v>
      </c>
      <c r="E16">
        <v>1</v>
      </c>
      <c r="F16">
        <v>42</v>
      </c>
      <c r="G16" t="s">
        <v>34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38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46235.803793055558</v>
      </c>
      <c r="C17">
        <f t="shared" si="0"/>
        <v>13</v>
      </c>
      <c r="D17" t="s">
        <v>66</v>
      </c>
      <c r="E17">
        <v>1</v>
      </c>
      <c r="F17">
        <v>20</v>
      </c>
      <c r="G17" t="s">
        <v>34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18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46235.803793055558</v>
      </c>
      <c r="C18">
        <f t="shared" si="0"/>
        <v>14</v>
      </c>
      <c r="D18" t="s">
        <v>33</v>
      </c>
      <c r="E18">
        <v>2</v>
      </c>
      <c r="F18">
        <v>50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100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46235.803793055558</v>
      </c>
      <c r="C19">
        <f t="shared" si="0"/>
        <v>15</v>
      </c>
      <c r="D19" t="s">
        <v>68</v>
      </c>
      <c r="E19">
        <v>1</v>
      </c>
      <c r="F19">
        <v>52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52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46235.803793055558</v>
      </c>
      <c r="C20" t="str">
        <f t="shared" si="0"/>
        <v/>
      </c>
      <c r="H20" s="5" t="str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46235.803793055558</v>
      </c>
      <c r="C21" t="str">
        <f t="shared" si="0"/>
        <v/>
      </c>
      <c r="H21" s="5" t="str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46235.803793055558</v>
      </c>
      <c r="C22" t="str">
        <f t="shared" si="0"/>
        <v/>
      </c>
      <c r="H22" s="5" t="str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46235.803793055558</v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46235.803793055558</v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>
        <f ca="1">IF(Tabla1[[#This Row],['#]]&lt;&gt;"", NOW(), "")</f>
        <v>46235.803793055558</v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x14ac:dyDescent="0.25">
      <c r="B26" s="18">
        <f ca="1">IF(Tabla1[[#This Row],['#]]&lt;&gt;"", NOW(), "")</f>
        <v>46235.803793055558</v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30" x14ac:dyDescent="0.25">
      <c r="B27" s="18">
        <f ca="1">IF(Tabla1[[#This Row],['#]]&lt;&gt;"", NOW(), "")</f>
        <v>46235.803793055558</v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61</v>
      </c>
      <c r="N27" s="15">
        <v>1327</v>
      </c>
      <c r="O27" s="40"/>
      <c r="P27" s="41"/>
      <c r="Q27" s="41"/>
      <c r="R27" s="42"/>
    </row>
    <row r="28" spans="2:18" x14ac:dyDescent="0.25">
      <c r="B28" s="18">
        <f ca="1">IF(Tabla1[[#This Row],['#]]&lt;&gt;"", NOW(), "")</f>
        <v>46235.803793055558</v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x14ac:dyDescent="0.25">
      <c r="B29" s="18">
        <f ca="1">IF(Tabla1[[#This Row],['#]]&lt;&gt;"", NOW(), "")</f>
        <v>46235.803793055558</v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>
        <f ca="1">IF(Tabla1[[#This Row],['#]]&lt;&gt;"", NOW(), "")</f>
        <v>46235.803793055558</v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>
        <f ca="1">IF(Tabla1[[#This Row],['#]]&lt;&gt;"", NOW(), "")</f>
        <v>46235.803793055558</v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>
        <f ca="1">IF(Tabla1[[#This Row],['#]]&lt;&gt;"", NOW(), "")</f>
        <v>46235.803793055558</v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M28" sqref="M2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69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SUM(Tabla111[Importa])</f>
        <v>2471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23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IF(Tabla111[[#This Row],['#]]&lt;&gt;"", NOW(), "")</f>
        <v>46235.803793055558</v>
      </c>
      <c r="C5">
        <f>IF(ISNUMBER(E5), IF(ISNUMBER(C4), C4+1, 1), "")</f>
        <v>1</v>
      </c>
      <c r="D5" t="s">
        <v>70</v>
      </c>
      <c r="E5">
        <v>2</v>
      </c>
      <c r="F5">
        <v>15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30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46235.803793055558</v>
      </c>
      <c r="C6">
        <f t="shared" ref="C6" si="0">IF(ISNUMBER(E6), IF(ISNUMBER(C5), C5+1, 1), "")</f>
        <v>2</v>
      </c>
      <c r="D6" t="s">
        <v>71</v>
      </c>
      <c r="E6">
        <v>1</v>
      </c>
      <c r="F6">
        <v>400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400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46235.803793055558</v>
      </c>
      <c r="C7">
        <f>IF(ISNUMBER(E7), IF(ISNUMBER(C6), C6+1, 1), "")</f>
        <v>3</v>
      </c>
      <c r="D7" t="s">
        <v>72</v>
      </c>
      <c r="E7">
        <v>1</v>
      </c>
      <c r="F7">
        <v>20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20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46235.803793055558</v>
      </c>
      <c r="C8">
        <f t="shared" ref="C8:C68" si="1">IF(ISNUMBER(E8), IF(ISNUMBER(C7), C7+1, 1), "")</f>
        <v>4</v>
      </c>
      <c r="D8" t="s">
        <v>76</v>
      </c>
      <c r="E8">
        <v>1</v>
      </c>
      <c r="F8">
        <v>170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170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46235.803793055558</v>
      </c>
      <c r="C9">
        <f t="shared" si="1"/>
        <v>5</v>
      </c>
      <c r="D9" t="s">
        <v>75</v>
      </c>
      <c r="E9">
        <v>1</v>
      </c>
      <c r="F9">
        <v>120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120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46235.803793055558</v>
      </c>
      <c r="C10">
        <f t="shared" si="1"/>
        <v>6</v>
      </c>
      <c r="D10" t="s">
        <v>73</v>
      </c>
      <c r="E10">
        <v>1</v>
      </c>
      <c r="F10">
        <v>85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85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46235.803793055558</v>
      </c>
      <c r="C11">
        <f t="shared" si="1"/>
        <v>7</v>
      </c>
      <c r="D11" t="s">
        <v>74</v>
      </c>
      <c r="E11">
        <v>1</v>
      </c>
      <c r="F11">
        <v>90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90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46235.803793055558</v>
      </c>
      <c r="C12">
        <f t="shared" si="1"/>
        <v>8</v>
      </c>
      <c r="D12" t="s">
        <v>42</v>
      </c>
      <c r="E12">
        <v>1</v>
      </c>
      <c r="F12">
        <v>90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90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46235.803793055558</v>
      </c>
      <c r="C13">
        <f t="shared" si="1"/>
        <v>9</v>
      </c>
      <c r="D13" t="s">
        <v>77</v>
      </c>
      <c r="E13">
        <v>2</v>
      </c>
      <c r="F13">
        <v>70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140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46235.803793055558</v>
      </c>
      <c r="C14">
        <f t="shared" si="1"/>
        <v>10</v>
      </c>
      <c r="D14" t="s">
        <v>78</v>
      </c>
      <c r="E14">
        <v>1</v>
      </c>
      <c r="F14">
        <v>65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65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46235.803793055558</v>
      </c>
      <c r="C15">
        <f t="shared" si="1"/>
        <v>11</v>
      </c>
      <c r="D15" t="s">
        <v>79</v>
      </c>
      <c r="E15">
        <v>1</v>
      </c>
      <c r="F15">
        <v>400</v>
      </c>
      <c r="G15" t="s">
        <v>34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360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46235.803793055558</v>
      </c>
      <c r="C16">
        <f t="shared" si="1"/>
        <v>12</v>
      </c>
      <c r="D16" t="s">
        <v>80</v>
      </c>
      <c r="E16">
        <v>1</v>
      </c>
      <c r="F16">
        <v>330</v>
      </c>
      <c r="G16" t="s">
        <v>34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297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46235.803793055558</v>
      </c>
      <c r="C17">
        <f t="shared" si="1"/>
        <v>13</v>
      </c>
      <c r="D17" t="s">
        <v>81</v>
      </c>
      <c r="E17">
        <v>1</v>
      </c>
      <c r="F17">
        <v>42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42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46235.803793055558</v>
      </c>
      <c r="C18">
        <f t="shared" si="1"/>
        <v>14</v>
      </c>
      <c r="D18" t="s">
        <v>82</v>
      </c>
      <c r="E18">
        <v>1</v>
      </c>
      <c r="F18">
        <v>80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80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46235.803793055558</v>
      </c>
      <c r="C19">
        <f t="shared" si="1"/>
        <v>15</v>
      </c>
      <c r="D19" t="s">
        <v>83</v>
      </c>
      <c r="E19">
        <v>1</v>
      </c>
      <c r="F19">
        <v>20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20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46235.803793055558</v>
      </c>
      <c r="C20">
        <f t="shared" si="1"/>
        <v>16</v>
      </c>
      <c r="D20" t="s">
        <v>84</v>
      </c>
      <c r="E20">
        <v>1</v>
      </c>
      <c r="F20">
        <v>5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46235.803793055558</v>
      </c>
      <c r="C21">
        <f t="shared" si="1"/>
        <v>17</v>
      </c>
      <c r="D21" t="s">
        <v>35</v>
      </c>
      <c r="E21">
        <v>4</v>
      </c>
      <c r="F21">
        <v>5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20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46235.803793055558</v>
      </c>
      <c r="C22">
        <f t="shared" si="1"/>
        <v>18</v>
      </c>
      <c r="D22" t="s">
        <v>85</v>
      </c>
      <c r="E22">
        <v>1</v>
      </c>
      <c r="F22">
        <v>50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50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46235.803793055558</v>
      </c>
      <c r="C23">
        <f t="shared" si="1"/>
        <v>19</v>
      </c>
      <c r="D23" t="s">
        <v>86</v>
      </c>
      <c r="E23">
        <v>1</v>
      </c>
      <c r="F23">
        <v>90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90</v>
      </c>
    </row>
    <row r="24" spans="2:18" ht="15" customHeight="1" x14ac:dyDescent="0.25">
      <c r="B24" s="18">
        <f ca="1">IF(Tabla1[[#This Row],['#]]&lt;&gt;"", NOW(), "")</f>
        <v>46235.803793055558</v>
      </c>
      <c r="C24">
        <f t="shared" si="1"/>
        <v>20</v>
      </c>
      <c r="D24" t="s">
        <v>87</v>
      </c>
      <c r="E24">
        <v>1</v>
      </c>
      <c r="F24">
        <v>100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100</v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>
        <f ca="1">IF(Tabla1[[#This Row],['#]]&lt;&gt;"", NOW(), "")</f>
        <v>46235.803793055558</v>
      </c>
      <c r="C25">
        <f t="shared" si="1"/>
        <v>21</v>
      </c>
      <c r="D25" t="s">
        <v>35</v>
      </c>
      <c r="E25">
        <v>3</v>
      </c>
      <c r="F25">
        <v>5</v>
      </c>
      <c r="H25" s="5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>15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46235.803793055558</v>
      </c>
      <c r="C26">
        <f t="shared" si="1"/>
        <v>22</v>
      </c>
      <c r="D26" t="s">
        <v>88</v>
      </c>
      <c r="E26">
        <v>1</v>
      </c>
      <c r="F26">
        <v>75</v>
      </c>
      <c r="H26" s="5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>75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30" x14ac:dyDescent="0.25">
      <c r="B27" s="18">
        <f ca="1">IF(Tabla1[[#This Row],['#]]&lt;&gt;"", NOW(), "")</f>
        <v>46235.803793055558</v>
      </c>
      <c r="C27">
        <f t="shared" si="1"/>
        <v>23</v>
      </c>
      <c r="D27" t="s">
        <v>89</v>
      </c>
      <c r="E27">
        <v>1</v>
      </c>
      <c r="F27">
        <v>107</v>
      </c>
      <c r="H27" s="5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>107</v>
      </c>
      <c r="M27" s="13" t="s">
        <v>96</v>
      </c>
      <c r="N27" s="15">
        <v>9</v>
      </c>
      <c r="O27" s="40"/>
      <c r="P27" s="41"/>
      <c r="Q27" s="41"/>
      <c r="R27" s="42"/>
    </row>
    <row r="28" spans="2:18" x14ac:dyDescent="0.25">
      <c r="B28" s="18">
        <f ca="1">IF(Tabla1[[#This Row],['#]]&lt;&gt;"", NOW(), "")</f>
        <v>46235.803793055558</v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x14ac:dyDescent="0.25">
      <c r="B29" s="18">
        <f ca="1">IF(Tabla1[[#This Row],['#]]&lt;&gt;"", NOW(), "")</f>
        <v>46235.803793055558</v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>
        <f ca="1">IF(Tabla1[[#This Row],['#]]&lt;&gt;"", NOW(), "")</f>
        <v>46235.803793055558</v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>
        <f ca="1">IF(Tabla1[[#This Row],['#]]&lt;&gt;"", NOW(), "")</f>
        <v>46235.803793055558</v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>
        <f ca="1">IF(Tabla1[[#This Row],['#]]&lt;&gt;"", NOW(), "")</f>
        <v>46235.803793055558</v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E1" sqref="E1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90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SUM(Tabla112[Importa])</f>
        <v>1576.5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21</v>
      </c>
      <c r="M4" s="23" t="s">
        <v>111</v>
      </c>
      <c r="N4" s="23"/>
      <c r="O4" s="23"/>
      <c r="P4" s="23"/>
      <c r="Q4" s="23"/>
      <c r="R4" s="23"/>
    </row>
    <row r="5" spans="2:18" x14ac:dyDescent="0.25">
      <c r="B5" s="18">
        <f ca="1">IF(Tabla112[[#This Row],['#]]&lt;&gt;"", NOW(), "")</f>
        <v>46235.803793055558</v>
      </c>
      <c r="C5">
        <f t="shared" ref="C5:C68" si="0">IF(ISNUMBER(E5), IF(ISNUMBER(C4), C4+1, 1), "")</f>
        <v>1</v>
      </c>
      <c r="D5" t="s">
        <v>102</v>
      </c>
      <c r="E5">
        <v>1</v>
      </c>
      <c r="F5">
        <v>238</v>
      </c>
      <c r="G5" t="s">
        <v>34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214.5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46235.803793055558</v>
      </c>
      <c r="C6">
        <f t="shared" si="0"/>
        <v>2</v>
      </c>
      <c r="D6" t="s">
        <v>103</v>
      </c>
      <c r="E6">
        <v>1</v>
      </c>
      <c r="F6">
        <v>112</v>
      </c>
      <c r="G6" t="s">
        <v>34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101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46235.803793055558</v>
      </c>
      <c r="C7">
        <f t="shared" si="0"/>
        <v>3</v>
      </c>
      <c r="D7" t="s">
        <v>104</v>
      </c>
      <c r="E7">
        <v>1</v>
      </c>
      <c r="F7">
        <v>42</v>
      </c>
      <c r="G7" t="s">
        <v>34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38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46235.803793055558</v>
      </c>
      <c r="C8">
        <f t="shared" si="0"/>
        <v>4</v>
      </c>
      <c r="D8" t="s">
        <v>105</v>
      </c>
      <c r="E8">
        <v>1</v>
      </c>
      <c r="F8">
        <v>72</v>
      </c>
      <c r="G8" t="s">
        <v>34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65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46235.803793055558</v>
      </c>
      <c r="C9">
        <f t="shared" si="0"/>
        <v>5</v>
      </c>
      <c r="D9" t="s">
        <v>106</v>
      </c>
      <c r="E9">
        <v>4</v>
      </c>
      <c r="F9">
        <v>3</v>
      </c>
      <c r="G9" t="s">
        <v>34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11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46235.803793055558</v>
      </c>
      <c r="C10">
        <f t="shared" si="0"/>
        <v>6</v>
      </c>
      <c r="D10" t="s">
        <v>109</v>
      </c>
      <c r="E10">
        <v>1</v>
      </c>
      <c r="F10">
        <v>45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45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46235.803793055558</v>
      </c>
      <c r="C11">
        <f t="shared" si="0"/>
        <v>7</v>
      </c>
      <c r="D11" t="s">
        <v>30</v>
      </c>
      <c r="E11">
        <v>1</v>
      </c>
      <c r="F11">
        <v>50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50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46235.803793055558</v>
      </c>
      <c r="C12">
        <f t="shared" si="0"/>
        <v>8</v>
      </c>
      <c r="D12" t="s">
        <v>112</v>
      </c>
      <c r="E12">
        <v>1</v>
      </c>
      <c r="F12">
        <v>12</v>
      </c>
      <c r="G12" t="s">
        <v>34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11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46235.803793055558</v>
      </c>
      <c r="C13">
        <f t="shared" si="0"/>
        <v>9</v>
      </c>
      <c r="D13" t="s">
        <v>113</v>
      </c>
      <c r="E13">
        <v>1</v>
      </c>
      <c r="F13">
        <v>138</v>
      </c>
      <c r="G13" t="s">
        <v>34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124.5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46235.803793055558</v>
      </c>
      <c r="C14">
        <f t="shared" si="0"/>
        <v>10</v>
      </c>
      <c r="D14" t="s">
        <v>114</v>
      </c>
      <c r="E14">
        <v>2</v>
      </c>
      <c r="F14">
        <v>95</v>
      </c>
      <c r="G14" t="s">
        <v>34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180.5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46235.803793055558</v>
      </c>
      <c r="C15">
        <f t="shared" si="0"/>
        <v>11</v>
      </c>
      <c r="D15" t="s">
        <v>115</v>
      </c>
      <c r="E15">
        <v>1</v>
      </c>
      <c r="F15">
        <v>50</v>
      </c>
      <c r="G15" t="s">
        <v>34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45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46235.803793055558</v>
      </c>
      <c r="C16">
        <f t="shared" si="0"/>
        <v>12</v>
      </c>
      <c r="D16" t="s">
        <v>33</v>
      </c>
      <c r="E16">
        <v>1</v>
      </c>
      <c r="F16">
        <v>50</v>
      </c>
      <c r="G16" t="s">
        <v>34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45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46235.803793055558</v>
      </c>
      <c r="C17">
        <f t="shared" si="0"/>
        <v>13</v>
      </c>
      <c r="D17" t="s">
        <v>116</v>
      </c>
      <c r="E17">
        <v>2</v>
      </c>
      <c r="F17">
        <v>15</v>
      </c>
      <c r="G17" t="s">
        <v>34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27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46235.803793055558</v>
      </c>
      <c r="C18">
        <f t="shared" si="0"/>
        <v>14</v>
      </c>
      <c r="D18" t="s">
        <v>117</v>
      </c>
      <c r="E18">
        <v>1</v>
      </c>
      <c r="F18">
        <v>35</v>
      </c>
      <c r="G18" t="s">
        <v>34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31.5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46235.803793055558</v>
      </c>
      <c r="C19">
        <f t="shared" si="0"/>
        <v>15</v>
      </c>
      <c r="D19" t="s">
        <v>35</v>
      </c>
      <c r="E19">
        <v>3</v>
      </c>
      <c r="F19">
        <v>5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15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46235.803793055558</v>
      </c>
      <c r="C20">
        <f t="shared" si="0"/>
        <v>16</v>
      </c>
      <c r="D20" t="s">
        <v>118</v>
      </c>
      <c r="E20">
        <v>1</v>
      </c>
      <c r="F20">
        <v>266</v>
      </c>
      <c r="G20" t="s">
        <v>34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239.5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46235.803793055558</v>
      </c>
      <c r="C21">
        <f t="shared" si="0"/>
        <v>17</v>
      </c>
      <c r="D21" t="s">
        <v>119</v>
      </c>
      <c r="E21">
        <v>1</v>
      </c>
      <c r="F21">
        <v>65</v>
      </c>
      <c r="G21" t="s">
        <v>34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58.5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46235.803793055558</v>
      </c>
      <c r="C22">
        <f t="shared" si="0"/>
        <v>18</v>
      </c>
      <c r="D22" t="s">
        <v>120</v>
      </c>
      <c r="E22">
        <v>1</v>
      </c>
      <c r="F22">
        <v>105</v>
      </c>
      <c r="G22" t="s">
        <v>34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94.5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46235.803793055558</v>
      </c>
      <c r="C23">
        <f t="shared" si="0"/>
        <v>19</v>
      </c>
      <c r="D23" t="s">
        <v>121</v>
      </c>
      <c r="E23">
        <v>1</v>
      </c>
      <c r="F23">
        <v>50</v>
      </c>
      <c r="G23" t="s">
        <v>34</v>
      </c>
      <c r="H23" s="5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>45</v>
      </c>
    </row>
    <row r="24" spans="2:18" ht="15" customHeight="1" x14ac:dyDescent="0.25">
      <c r="B24" s="18">
        <f ca="1">IF(Tabla1[[#This Row],['#]]&lt;&gt;"", NOW(), "")</f>
        <v>46235.803793055558</v>
      </c>
      <c r="C24">
        <f t="shared" si="0"/>
        <v>20</v>
      </c>
      <c r="D24" t="s">
        <v>35</v>
      </c>
      <c r="E24">
        <v>2</v>
      </c>
      <c r="F24">
        <v>5</v>
      </c>
      <c r="H24" s="5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>10</v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46235.803793055558</v>
      </c>
      <c r="C25">
        <f t="shared" si="0"/>
        <v>21</v>
      </c>
      <c r="D25" t="s">
        <v>122</v>
      </c>
      <c r="E25">
        <v>1</v>
      </c>
      <c r="F25">
        <v>125</v>
      </c>
      <c r="H25" s="5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>125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46235.803793055558</v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46235.803793055558</v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 t="s">
        <v>107</v>
      </c>
      <c r="N27" s="15">
        <v>512</v>
      </c>
      <c r="O27" s="40"/>
      <c r="P27" s="41"/>
      <c r="Q27" s="41"/>
      <c r="R27" s="42"/>
    </row>
    <row r="28" spans="2:18" ht="15" customHeight="1" x14ac:dyDescent="0.25">
      <c r="B28" s="18">
        <f ca="1">IF(Tabla1[[#This Row],['#]]&lt;&gt;"", NOW(), "")</f>
        <v>46235.803793055558</v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 t="s">
        <v>108</v>
      </c>
      <c r="N28" s="15">
        <v>840</v>
      </c>
      <c r="O28" s="40"/>
      <c r="P28" s="41"/>
      <c r="Q28" s="41"/>
      <c r="R28" s="42"/>
    </row>
    <row r="29" spans="2:18" ht="15" customHeight="1" x14ac:dyDescent="0.25">
      <c r="B29" s="18">
        <f ca="1">IF(Tabla1[[#This Row],['#]]&lt;&gt;"", NOW(), "")</f>
        <v>46235.803793055558</v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 t="s">
        <v>110</v>
      </c>
      <c r="N29" s="15">
        <v>1352</v>
      </c>
      <c r="O29" s="40"/>
      <c r="P29" s="41"/>
      <c r="Q29" s="41"/>
      <c r="R29" s="42"/>
    </row>
    <row r="30" spans="2:18" ht="15" customHeight="1" x14ac:dyDescent="0.25">
      <c r="B30" s="18">
        <f ca="1">IF(Tabla1[[#This Row],['#]]&lt;&gt;"", NOW(), "")</f>
        <v>46235.803793055558</v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>
        <f ca="1">IF(Tabla1[[#This Row],['#]]&lt;&gt;"", NOW(), "")</f>
        <v>46235.803793055558</v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>
        <f ca="1">IF(Tabla1[[#This Row],['#]]&lt;&gt;"", NOW(), "")</f>
        <v>46235.803793055558</v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24" sqref="D2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91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SUM(Tabla113[Importa])</f>
        <v>1092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19</v>
      </c>
      <c r="M4" s="23" t="s">
        <v>136</v>
      </c>
      <c r="N4" s="23"/>
      <c r="O4" s="23"/>
      <c r="P4" s="23"/>
      <c r="Q4" s="23"/>
      <c r="R4" s="23"/>
    </row>
    <row r="5" spans="2:18" x14ac:dyDescent="0.25">
      <c r="B5" s="18">
        <f ca="1">IF(Tabla113[[#This Row],['#]]&lt;&gt;"", NOW(), "")</f>
        <v>46235.803793055558</v>
      </c>
      <c r="C5">
        <f t="shared" ref="C5:C68" si="0">IF(ISNUMBER(E5), IF(ISNUMBER(C4), C4+1, 1), "")</f>
        <v>1</v>
      </c>
      <c r="D5" t="s">
        <v>123</v>
      </c>
      <c r="E5">
        <v>1</v>
      </c>
      <c r="F5">
        <v>171</v>
      </c>
      <c r="G5" t="s">
        <v>34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154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46235.803793055558</v>
      </c>
      <c r="C6">
        <f t="shared" si="0"/>
        <v>2</v>
      </c>
      <c r="D6" t="s">
        <v>124</v>
      </c>
      <c r="E6">
        <v>1</v>
      </c>
      <c r="F6">
        <v>38</v>
      </c>
      <c r="G6" t="s">
        <v>34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34.5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46235.803793055558</v>
      </c>
      <c r="C7">
        <f t="shared" si="0"/>
        <v>3</v>
      </c>
      <c r="D7" t="s">
        <v>121</v>
      </c>
      <c r="E7">
        <v>1</v>
      </c>
      <c r="F7">
        <v>50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50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46235.803793055558</v>
      </c>
      <c r="C8">
        <f t="shared" si="0"/>
        <v>4</v>
      </c>
      <c r="D8" t="s">
        <v>125</v>
      </c>
      <c r="E8">
        <v>4</v>
      </c>
      <c r="F8">
        <v>15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60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46235.803793055558</v>
      </c>
      <c r="C9">
        <f t="shared" si="0"/>
        <v>5</v>
      </c>
      <c r="D9" t="s">
        <v>126</v>
      </c>
      <c r="E9">
        <v>4</v>
      </c>
      <c r="F9">
        <v>15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60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46235.803793055558</v>
      </c>
      <c r="C10">
        <f t="shared" si="0"/>
        <v>6</v>
      </c>
      <c r="D10" t="s">
        <v>127</v>
      </c>
      <c r="E10">
        <v>1</v>
      </c>
      <c r="F10">
        <v>78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78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46235.803793055558</v>
      </c>
      <c r="C11">
        <f t="shared" si="0"/>
        <v>7</v>
      </c>
      <c r="D11" t="s">
        <v>28</v>
      </c>
      <c r="E11">
        <v>1</v>
      </c>
      <c r="F11">
        <v>30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30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46235.803793055558</v>
      </c>
      <c r="C12">
        <f t="shared" si="0"/>
        <v>8</v>
      </c>
      <c r="D12" t="s">
        <v>128</v>
      </c>
      <c r="E12">
        <v>1</v>
      </c>
      <c r="F12">
        <v>95</v>
      </c>
      <c r="G12" t="s">
        <v>34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90.5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46235.803793055558</v>
      </c>
      <c r="C13">
        <f t="shared" si="0"/>
        <v>9</v>
      </c>
      <c r="D13" t="s">
        <v>33</v>
      </c>
      <c r="E13">
        <v>1</v>
      </c>
      <c r="F13">
        <v>50</v>
      </c>
      <c r="G13" t="s">
        <v>34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45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46235.803793055558</v>
      </c>
      <c r="C14">
        <f t="shared" si="0"/>
        <v>10</v>
      </c>
      <c r="D14" t="s">
        <v>116</v>
      </c>
      <c r="E14">
        <v>1</v>
      </c>
      <c r="F14">
        <v>15</v>
      </c>
      <c r="G14" t="s">
        <v>34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13.5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46235.803793055558</v>
      </c>
      <c r="C15">
        <f t="shared" si="0"/>
        <v>11</v>
      </c>
      <c r="D15" t="s">
        <v>129</v>
      </c>
      <c r="E15">
        <v>1</v>
      </c>
      <c r="F15">
        <v>64</v>
      </c>
      <c r="G15" t="s">
        <v>34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58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46235.803793055558</v>
      </c>
      <c r="C16">
        <f t="shared" si="0"/>
        <v>12</v>
      </c>
      <c r="D16" t="s">
        <v>130</v>
      </c>
      <c r="E16">
        <v>1</v>
      </c>
      <c r="F16">
        <v>70</v>
      </c>
      <c r="G16" t="s">
        <v>34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63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46235.803793055558</v>
      </c>
      <c r="C17">
        <f t="shared" si="0"/>
        <v>13</v>
      </c>
      <c r="D17" t="s">
        <v>131</v>
      </c>
      <c r="E17">
        <v>1</v>
      </c>
      <c r="F17">
        <v>45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45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46235.803793055558</v>
      </c>
      <c r="C18">
        <f t="shared" si="0"/>
        <v>14</v>
      </c>
      <c r="D18" t="s">
        <v>132</v>
      </c>
      <c r="E18">
        <v>1</v>
      </c>
      <c r="F18">
        <v>250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250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46235.803793055558</v>
      </c>
      <c r="C19">
        <f t="shared" si="0"/>
        <v>15</v>
      </c>
      <c r="D19" t="s">
        <v>133</v>
      </c>
      <c r="E19">
        <v>1</v>
      </c>
      <c r="F19">
        <v>15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15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46235.803793055558</v>
      </c>
      <c r="C20">
        <f t="shared" si="0"/>
        <v>16</v>
      </c>
      <c r="D20" t="s">
        <v>134</v>
      </c>
      <c r="E20">
        <v>1</v>
      </c>
      <c r="F20">
        <v>12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12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46235.803793055558</v>
      </c>
      <c r="C21">
        <f t="shared" si="0"/>
        <v>17</v>
      </c>
      <c r="D21" t="s">
        <v>35</v>
      </c>
      <c r="E21">
        <v>1</v>
      </c>
      <c r="F21">
        <v>5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5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46235.803793055558</v>
      </c>
      <c r="C22">
        <f t="shared" si="0"/>
        <v>18</v>
      </c>
      <c r="D22" t="s">
        <v>35</v>
      </c>
      <c r="E22">
        <v>3</v>
      </c>
      <c r="F22">
        <v>5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15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46235.803793055558</v>
      </c>
      <c r="C23">
        <f t="shared" si="0"/>
        <v>19</v>
      </c>
      <c r="D23" t="s">
        <v>116</v>
      </c>
      <c r="E23">
        <v>1</v>
      </c>
      <c r="F23">
        <v>15</v>
      </c>
      <c r="G23" t="s">
        <v>34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13.5</v>
      </c>
    </row>
    <row r="24" spans="2:18" ht="15" customHeight="1" x14ac:dyDescent="0.25">
      <c r="B24" s="18">
        <f ca="1">IF(Tabla1[[#This Row],['#]]&lt;&gt;"", NOW(), "")</f>
        <v>46235.803793055558</v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46235.803793055558</v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46235.803793055558</v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46235.803793055558</v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92</v>
      </c>
      <c r="N27" s="15">
        <v>610</v>
      </c>
      <c r="O27" s="40" t="s">
        <v>93</v>
      </c>
      <c r="P27" s="41"/>
      <c r="Q27" s="41"/>
      <c r="R27" s="42"/>
    </row>
    <row r="28" spans="2:18" ht="15" customHeight="1" x14ac:dyDescent="0.25">
      <c r="B28" s="18">
        <f ca="1">IF(Tabla1[[#This Row],['#]]&lt;&gt;"", NOW(), "")</f>
        <v>46235.803793055558</v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94</v>
      </c>
      <c r="N28" s="15">
        <v>1327</v>
      </c>
      <c r="O28" s="40" t="s">
        <v>95</v>
      </c>
      <c r="P28" s="41"/>
      <c r="Q28" s="41"/>
      <c r="R28" s="42"/>
    </row>
    <row r="29" spans="2:18" ht="15" customHeight="1" x14ac:dyDescent="0.25">
      <c r="B29" s="18">
        <f ca="1">IF(Tabla1[[#This Row],['#]]&lt;&gt;"", NOW(), "")</f>
        <v>46235.803793055558</v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97</v>
      </c>
      <c r="N29" s="15">
        <v>9</v>
      </c>
      <c r="O29" s="40" t="s">
        <v>98</v>
      </c>
      <c r="P29" s="41"/>
      <c r="Q29" s="41"/>
      <c r="R29" s="42"/>
    </row>
    <row r="30" spans="2:18" ht="15" customHeight="1" x14ac:dyDescent="0.25">
      <c r="B30" s="18">
        <f ca="1">IF(Tabla1[[#This Row],['#]]&lt;&gt;"", NOW(), "")</f>
        <v>46235.803793055558</v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107</v>
      </c>
      <c r="N30" s="15">
        <v>1352</v>
      </c>
      <c r="O30" s="40" t="s">
        <v>99</v>
      </c>
      <c r="P30" s="41"/>
      <c r="Q30" s="41"/>
      <c r="R30" s="42"/>
    </row>
    <row r="31" spans="2:18" ht="15" customHeight="1" x14ac:dyDescent="0.25">
      <c r="B31" s="18">
        <f ca="1">IF(Tabla1[[#This Row],['#]]&lt;&gt;"", NOW(), "")</f>
        <v>46235.803793055558</v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100</v>
      </c>
      <c r="N31" s="15">
        <v>1500</v>
      </c>
      <c r="O31" s="40" t="s">
        <v>101</v>
      </c>
      <c r="P31" s="41"/>
      <c r="Q31" s="41"/>
      <c r="R31" s="42"/>
    </row>
    <row r="32" spans="2:18" ht="15" customHeight="1" x14ac:dyDescent="0.25">
      <c r="B32" s="18">
        <f ca="1">IF(Tabla1[[#This Row],['#]]&lt;&gt;"", NOW(), "")</f>
        <v>46235.803793055558</v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110</v>
      </c>
      <c r="N32" s="15">
        <v>4798</v>
      </c>
      <c r="O32" s="40" t="s">
        <v>135</v>
      </c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33" sqref="D3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165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SUM(Tabla114[Importa])</f>
        <v>4069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28</v>
      </c>
      <c r="M4" s="23" t="s">
        <v>164</v>
      </c>
      <c r="N4" s="23"/>
      <c r="O4" s="23"/>
      <c r="P4" s="23"/>
      <c r="Q4" s="23"/>
      <c r="R4" s="23"/>
    </row>
    <row r="5" spans="2:18" x14ac:dyDescent="0.25">
      <c r="B5" s="18">
        <f ca="1">IF(Tabla114[[#This Row],['#]]&lt;&gt;"", NOW(), "")</f>
        <v>46235.803793055558</v>
      </c>
      <c r="C5">
        <f t="shared" ref="C5:C68" si="0">IF(ISNUMBER(E5), IF(ISNUMBER(C4), C4+1, 1), "")</f>
        <v>1</v>
      </c>
      <c r="D5" t="s">
        <v>137</v>
      </c>
      <c r="E5">
        <v>1</v>
      </c>
      <c r="F5">
        <v>170</v>
      </c>
      <c r="G5" t="s">
        <v>34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153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46235.803793055558</v>
      </c>
      <c r="C6">
        <f t="shared" si="0"/>
        <v>2</v>
      </c>
      <c r="D6" t="s">
        <v>138</v>
      </c>
      <c r="E6">
        <v>1</v>
      </c>
      <c r="F6">
        <v>175</v>
      </c>
      <c r="G6" t="s">
        <v>34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157.5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46235.803793055558</v>
      </c>
      <c r="C7">
        <f t="shared" si="0"/>
        <v>3</v>
      </c>
      <c r="D7" t="s">
        <v>139</v>
      </c>
      <c r="E7">
        <v>1</v>
      </c>
      <c r="F7">
        <v>850</v>
      </c>
      <c r="G7" t="s">
        <v>34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765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46235.803793055558</v>
      </c>
      <c r="C8">
        <f t="shared" si="0"/>
        <v>4</v>
      </c>
      <c r="D8" t="s">
        <v>140</v>
      </c>
      <c r="E8">
        <v>1</v>
      </c>
      <c r="F8">
        <v>130</v>
      </c>
      <c r="G8" t="s">
        <v>34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117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46235.803793055558</v>
      </c>
      <c r="C9">
        <f t="shared" si="0"/>
        <v>5</v>
      </c>
      <c r="D9" t="s">
        <v>141</v>
      </c>
      <c r="E9">
        <v>2</v>
      </c>
      <c r="F9">
        <v>90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180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46235.803793055558</v>
      </c>
      <c r="C10">
        <f t="shared" si="0"/>
        <v>6</v>
      </c>
      <c r="D10" t="s">
        <v>142</v>
      </c>
      <c r="E10">
        <v>1</v>
      </c>
      <c r="F10">
        <v>380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380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46235.803793055558</v>
      </c>
      <c r="C11">
        <f t="shared" si="0"/>
        <v>7</v>
      </c>
      <c r="D11" t="s">
        <v>143</v>
      </c>
      <c r="E11">
        <v>1</v>
      </c>
      <c r="F11">
        <v>15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15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46235.803793055558</v>
      </c>
      <c r="C12">
        <f t="shared" si="0"/>
        <v>8</v>
      </c>
      <c r="D12" t="s">
        <v>144</v>
      </c>
      <c r="E12">
        <v>1</v>
      </c>
      <c r="F12">
        <v>70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70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46235.803793055558</v>
      </c>
      <c r="C13">
        <f t="shared" si="0"/>
        <v>9</v>
      </c>
      <c r="D13" t="s">
        <v>145</v>
      </c>
      <c r="E13">
        <v>2</v>
      </c>
      <c r="F13">
        <v>10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20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46235.803793055558</v>
      </c>
      <c r="C14">
        <f t="shared" si="0"/>
        <v>10</v>
      </c>
      <c r="D14" t="s">
        <v>146</v>
      </c>
      <c r="E14">
        <v>1</v>
      </c>
      <c r="F14">
        <v>38</v>
      </c>
      <c r="G14" t="s">
        <v>34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34.5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46235.803793055558</v>
      </c>
      <c r="C15">
        <f t="shared" si="0"/>
        <v>11</v>
      </c>
      <c r="D15" t="s">
        <v>147</v>
      </c>
      <c r="E15">
        <v>1</v>
      </c>
      <c r="F15">
        <v>145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145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46235.803793055558</v>
      </c>
      <c r="C16">
        <f t="shared" si="0"/>
        <v>12</v>
      </c>
      <c r="D16" t="s">
        <v>148</v>
      </c>
      <c r="E16">
        <v>1</v>
      </c>
      <c r="F16">
        <v>12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12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46235.803793055558</v>
      </c>
      <c r="C17">
        <f t="shared" si="0"/>
        <v>13</v>
      </c>
      <c r="D17" t="s">
        <v>150</v>
      </c>
      <c r="E17">
        <v>1</v>
      </c>
      <c r="F17">
        <v>120</v>
      </c>
      <c r="G17" t="s">
        <v>34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108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46235.803793055558</v>
      </c>
      <c r="C18">
        <f t="shared" si="0"/>
        <v>14</v>
      </c>
      <c r="D18" t="s">
        <v>120</v>
      </c>
      <c r="E18">
        <v>1</v>
      </c>
      <c r="F18">
        <v>105</v>
      </c>
      <c r="G18" t="s">
        <v>34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94.5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46235.803793055558</v>
      </c>
      <c r="C19">
        <f t="shared" si="0"/>
        <v>15</v>
      </c>
      <c r="D19" t="s">
        <v>151</v>
      </c>
      <c r="E19">
        <v>1</v>
      </c>
      <c r="F19">
        <v>105</v>
      </c>
      <c r="G19" t="s">
        <v>34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94.5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46235.803793055558</v>
      </c>
      <c r="C20">
        <f t="shared" si="0"/>
        <v>16</v>
      </c>
      <c r="D20" t="s">
        <v>152</v>
      </c>
      <c r="E20">
        <v>1</v>
      </c>
      <c r="F20">
        <v>15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15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46235.803793055558</v>
      </c>
      <c r="C21">
        <f t="shared" si="0"/>
        <v>17</v>
      </c>
      <c r="D21" t="s">
        <v>153</v>
      </c>
      <c r="E21">
        <v>1</v>
      </c>
      <c r="F21">
        <v>500</v>
      </c>
      <c r="G21" t="s">
        <v>34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450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46235.803793055558</v>
      </c>
      <c r="C22">
        <f t="shared" si="0"/>
        <v>18</v>
      </c>
      <c r="D22" t="s">
        <v>154</v>
      </c>
      <c r="E22">
        <v>1</v>
      </c>
      <c r="F22">
        <v>36</v>
      </c>
      <c r="G22" t="s">
        <v>34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32.5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46235.803793055558</v>
      </c>
      <c r="C23">
        <f t="shared" si="0"/>
        <v>19</v>
      </c>
      <c r="D23" t="s">
        <v>155</v>
      </c>
      <c r="E23">
        <v>1</v>
      </c>
      <c r="F23">
        <v>290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290</v>
      </c>
    </row>
    <row r="24" spans="2:18" ht="15" customHeight="1" x14ac:dyDescent="0.25">
      <c r="B24" s="18">
        <f ca="1">IF(Tabla1[[#This Row],['#]]&lt;&gt;"", NOW(), "")</f>
        <v>46235.803793055558</v>
      </c>
      <c r="C24">
        <f t="shared" si="0"/>
        <v>20</v>
      </c>
      <c r="D24" t="s">
        <v>156</v>
      </c>
      <c r="E24">
        <v>1</v>
      </c>
      <c r="F24">
        <v>315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315</v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46235.803793055558</v>
      </c>
      <c r="C25">
        <f t="shared" si="0"/>
        <v>21</v>
      </c>
      <c r="D25" t="s">
        <v>140</v>
      </c>
      <c r="E25">
        <v>1</v>
      </c>
      <c r="F25">
        <v>130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130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46235.803793055558</v>
      </c>
      <c r="C26">
        <f t="shared" si="0"/>
        <v>22</v>
      </c>
      <c r="D26" t="s">
        <v>157</v>
      </c>
      <c r="E26">
        <v>1</v>
      </c>
      <c r="F26">
        <v>175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175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46235.803793055558</v>
      </c>
      <c r="C27">
        <f t="shared" si="0"/>
        <v>23</v>
      </c>
      <c r="D27" t="s">
        <v>158</v>
      </c>
      <c r="E27">
        <v>1</v>
      </c>
      <c r="F27">
        <v>50</v>
      </c>
      <c r="H27" s="5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>50</v>
      </c>
      <c r="M27" s="13" t="s">
        <v>149</v>
      </c>
      <c r="N27" s="15">
        <v>498</v>
      </c>
      <c r="O27" s="40"/>
      <c r="P27" s="41"/>
      <c r="Q27" s="41"/>
      <c r="R27" s="42"/>
    </row>
    <row r="28" spans="2:18" ht="15" customHeight="1" x14ac:dyDescent="0.25">
      <c r="B28" s="18">
        <f ca="1">IF(Tabla1[[#This Row],['#]]&lt;&gt;"", NOW(), "")</f>
        <v>46235.803793055558</v>
      </c>
      <c r="C28">
        <f t="shared" si="0"/>
        <v>24</v>
      </c>
      <c r="D28" t="s">
        <v>159</v>
      </c>
      <c r="E28">
        <v>1</v>
      </c>
      <c r="F28">
        <v>35</v>
      </c>
      <c r="H28" s="5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>35</v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>
        <f ca="1">IF(Tabla1[[#This Row],['#]]&lt;&gt;"", NOW(), "")</f>
        <v>46235.803793055558</v>
      </c>
      <c r="C29">
        <f t="shared" si="0"/>
        <v>25</v>
      </c>
      <c r="D29" t="s">
        <v>160</v>
      </c>
      <c r="E29">
        <v>1</v>
      </c>
      <c r="F29">
        <v>3</v>
      </c>
      <c r="H29" s="5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>3</v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>
        <f ca="1">IF(Tabla1[[#This Row],['#]]&lt;&gt;"", NOW(), "")</f>
        <v>46235.803793055558</v>
      </c>
      <c r="C30">
        <f t="shared" si="0"/>
        <v>26</v>
      </c>
      <c r="D30" t="s">
        <v>161</v>
      </c>
      <c r="E30">
        <v>1</v>
      </c>
      <c r="F30">
        <v>36</v>
      </c>
      <c r="G30" t="s">
        <v>34</v>
      </c>
      <c r="H30" s="5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>32.5</v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>
        <f ca="1">IF(Tabla1[[#This Row],['#]]&lt;&gt;"", NOW(), "")</f>
        <v>46235.803793055558</v>
      </c>
      <c r="C31">
        <f t="shared" si="0"/>
        <v>27</v>
      </c>
      <c r="D31" t="s">
        <v>162</v>
      </c>
      <c r="E31">
        <v>1</v>
      </c>
      <c r="F31">
        <v>20</v>
      </c>
      <c r="H31" s="5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>20</v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>
        <f ca="1">IF(Tabla1[[#This Row],['#]]&lt;&gt;"", NOW(), "")</f>
        <v>46235.803793055558</v>
      </c>
      <c r="C32">
        <f t="shared" si="0"/>
        <v>28</v>
      </c>
      <c r="D32" t="s">
        <v>163</v>
      </c>
      <c r="E32">
        <v>1</v>
      </c>
      <c r="F32">
        <v>175</v>
      </c>
      <c r="H32" s="5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>175</v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14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46235.803793055558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46235.803793055558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46235.803793055558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46235.803793055558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46235.803793055558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46235.803793055558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46235.803793055558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46235.803793055558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46235.803793055558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46235.803793055558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46235.803793055558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46235.803793055558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46235.803793055558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46235.803793055558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46235.803793055558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46235.803793055558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46235.803793055558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46235.803793055558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46235.803793055558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46235.803793055558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46235.803793055558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46235.803793055558</v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>
        <f ca="1">IF(Tabla1[[#This Row],['#]]&lt;&gt;"", NOW(), "")</f>
        <v>46235.803793055558</v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>
        <f ca="1">IF(Tabla1[[#This Row],['#]]&lt;&gt;"", NOW(), "")</f>
        <v>46235.803793055558</v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>
        <f ca="1">IF(Tabla1[[#This Row],['#]]&lt;&gt;"", NOW(), "")</f>
        <v>46235.803793055558</v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>
        <f ca="1">IF(Tabla1[[#This Row],['#]]&lt;&gt;"", NOW(), "")</f>
        <v>46235.803793055558</v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>
        <f ca="1">IF(Tabla1[[#This Row],['#]]&lt;&gt;"", NOW(), "")</f>
        <v>46235.803793055558</v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27-07-26</vt:lpstr>
      <vt:lpstr>Martes 28-07-26</vt:lpstr>
      <vt:lpstr>Miercoles 29-06-26</vt:lpstr>
      <vt:lpstr>Jueves 30-07-26</vt:lpstr>
      <vt:lpstr>Viernes 31-07-26</vt:lpstr>
      <vt:lpstr>Sabado 01-08-26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2026-08-02T01:17:29Z</dcterms:modified>
</cp:coreProperties>
</file>