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0C2A40B-B051-4A38-9177-A94E453229B9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07-09-26" sheetId="1" r:id="rId1"/>
    <sheet name="Martes 08-09-26" sheetId="2" r:id="rId2"/>
    <sheet name="Miercoles 09-09-26" sheetId="3" r:id="rId3"/>
    <sheet name="Jueves 10-09-26" sheetId="4" r:id="rId4"/>
    <sheet name="Viernes 10-09-26" sheetId="5" r:id="rId5"/>
    <sheet name="Sabado 12-09-26" sheetId="6" r:id="rId6"/>
    <sheet name="Domingo" sheetId="8" r:id="rId7"/>
    <sheet name="Cambios" sheetId="7" r:id="rId8"/>
  </sheets>
  <definedNames>
    <definedName name="_xlnm._FilterDatabase" localSheetId="0" hidden="1">'Lunes 07-09-26'!$B$4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3" l="1"/>
  <c r="H18" i="3"/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9" i="3"/>
  <c r="H20" i="3"/>
  <c r="H21" i="3"/>
  <c r="H22" i="3"/>
  <c r="H23" i="3"/>
  <c r="H24" i="3"/>
  <c r="H25" i="3"/>
  <c r="H26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28" i="4"/>
  <c r="C29" i="4" s="1"/>
  <c r="C30" i="4" s="1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7" i="2"/>
  <c r="C28" i="2" s="1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<sst xmlns="http://schemas.openxmlformats.org/spreadsheetml/2006/main" count="392" uniqueCount="180">
  <si>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</si>
  <si>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</si>
  <si>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</si>
  <si>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</si>
  <si>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</si>
  <si>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</si>
  <si>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</si>
  <si>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</si>
  <si>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</si>
  <si>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</si>
  <si>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</si>
  <si>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</si>
  <si>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</si>
  <si>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</si>
  <si>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</si>
  <si>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</si>
  <si>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</si>
  <si>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</si>
  <si>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</si>
  <si>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</si>
  <si>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</si>
  <si>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</si>
  <si>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</si>
  <si>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</si>
  <si>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</si>
  <si>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 xml:space="preserve">PEDIDO ALESSIA </t>
  </si>
  <si>
    <t>Lunes 07 DE SEPTIEMBRE-26</t>
  </si>
  <si>
    <t>FILTRO DE AIRE WS150</t>
  </si>
  <si>
    <t>ACEITE MOTUL 3000</t>
  </si>
  <si>
    <t>BUJIA C7</t>
  </si>
  <si>
    <t>BUJIA D8</t>
  </si>
  <si>
    <t>STIKER</t>
  </si>
  <si>
    <t>X</t>
  </si>
  <si>
    <t>FILTRO DE AIRE D150</t>
  </si>
  <si>
    <t>BALATA DE TAMBOR CHICO</t>
  </si>
  <si>
    <t xml:space="preserve">FILTRO DE GASOLINA CARTON </t>
  </si>
  <si>
    <t xml:space="preserve">FOCO H6 HALOGENO </t>
  </si>
  <si>
    <t xml:space="preserve">MANGUERA DE GASOLINA </t>
  </si>
  <si>
    <t>CAPUCHON DE BUJIA FT150</t>
  </si>
  <si>
    <t>CUPREPOLVO DE CALIPER UNIVERSAL</t>
  </si>
  <si>
    <t>FILTRO DE AIRE 150Z</t>
  </si>
  <si>
    <t>RETEN DE SUSPENSIÓN 31-40-10.5</t>
  </si>
  <si>
    <t>HARNES H4</t>
  </si>
  <si>
    <t>SALPICADERA DELANTERA FT150</t>
  </si>
  <si>
    <t>MANIJA IZQUIERDA FT150</t>
  </si>
  <si>
    <t xml:space="preserve">CUBRE CAMBIO </t>
  </si>
  <si>
    <t>ESPEJOS DE 150Z ALESSIA</t>
  </si>
  <si>
    <t>FILTRO DE AIRE 250Z</t>
  </si>
  <si>
    <t>ACEITE YAMALUBE</t>
  </si>
  <si>
    <t>x</t>
  </si>
  <si>
    <t>ACEITE AKRON</t>
  </si>
  <si>
    <t>REGULADOR DE 250Z ITALIKA</t>
  </si>
  <si>
    <t>PASTAS DE CLUTH DE PULSAR 200NS</t>
  </si>
  <si>
    <t>CLUTH DE FT150</t>
  </si>
  <si>
    <t xml:space="preserve">LUBRICANTE DE CADENA HELIOS </t>
  </si>
  <si>
    <t xml:space="preserve">BALATA DE DISCO DE HONDA INVICTA </t>
  </si>
  <si>
    <t xml:space="preserve">SWITJ DE PRESION  UNIVERSAL </t>
  </si>
  <si>
    <t xml:space="preserve">CUENTA DE SEMANA PASADA $27760 MENOS $ 3456 DE PEDIDO DE ALESSIA QUEDA $ 24304 </t>
  </si>
  <si>
    <t>PILA 12N7-3B WAPEMEX</t>
  </si>
  <si>
    <t>Martes 08 DE SEPTIEMBRE-26</t>
  </si>
  <si>
    <t>CADENA 428 CON OFRING</t>
  </si>
  <si>
    <t xml:space="preserve">ACEITE AKRON </t>
  </si>
  <si>
    <t>PASTAS DE 250Z DE CLUTH</t>
  </si>
  <si>
    <t>FARO DE FT150</t>
  </si>
  <si>
    <t>HARNES DE FT150</t>
  </si>
  <si>
    <t>MANDO DERECHO DE 125Z</t>
  </si>
  <si>
    <t>TUBO MOVIL DE ACELERADOR</t>
  </si>
  <si>
    <t>TIRA LED ROJA</t>
  </si>
  <si>
    <t xml:space="preserve">FILTRO DE ALTO FLUJO </t>
  </si>
  <si>
    <t>ESCAPE UNIVERSAL</t>
  </si>
  <si>
    <t xml:space="preserve">TABLERO UNIVERSAL </t>
  </si>
  <si>
    <t xml:space="preserve">BOMBA DE FRENO TRASERO UNIVERSAL </t>
  </si>
  <si>
    <t>BALERO 6203</t>
  </si>
  <si>
    <t>BALERO 6201</t>
  </si>
  <si>
    <t>BALERO 6301</t>
  </si>
  <si>
    <t>BALATA TRASERA CROSMAX 250</t>
  </si>
  <si>
    <t>ACEITE DIKAL SEMISINTETICO</t>
  </si>
  <si>
    <t>BUJIA C9</t>
  </si>
  <si>
    <t>FILTRO DE ACEIT PULSAR 200NS</t>
  </si>
  <si>
    <t>FILTRO DE AIRE PULSAR 200NS</t>
  </si>
  <si>
    <t xml:space="preserve">ESPEJOS DE HONDA FUERON PARA DANIEL </t>
  </si>
  <si>
    <t xml:space="preserve">LLAVE DE GASOLINA </t>
  </si>
  <si>
    <t>ESPEJOS DE WS150</t>
  </si>
  <si>
    <t>VALVULAS DE DS150</t>
  </si>
  <si>
    <t>CHCICOTE DE FENO TRASERO WS150</t>
  </si>
  <si>
    <t>GOMAS DEL TANQUE FT150</t>
  </si>
  <si>
    <t>BALERO6002</t>
  </si>
  <si>
    <t>Miercoles 09 DE SEPTIEMBRE-26</t>
  </si>
  <si>
    <t xml:space="preserve">TABLERO DIGITAL </t>
  </si>
  <si>
    <t>CIGÜEÑAL DE MOTONETA</t>
  </si>
  <si>
    <t>NOTA 6</t>
  </si>
  <si>
    <t xml:space="preserve">CASCO YOGE </t>
  </si>
  <si>
    <t>RED DE ACIENTO DS150</t>
  </si>
  <si>
    <t>KIT DE ARRASTRE DM150</t>
  </si>
  <si>
    <t>BALATA DE DISCO DS150</t>
  </si>
  <si>
    <t>CLAXON DS150</t>
  </si>
  <si>
    <t>CHICOTE DE VELOCIMETRO DM200</t>
  </si>
  <si>
    <t>FILTRO DE AIRE DM200</t>
  </si>
  <si>
    <t>BALATA DE DISCO DM200</t>
  </si>
  <si>
    <t xml:space="preserve">CHICOTE DE CLUTH UNIVERSAL </t>
  </si>
  <si>
    <t xml:space="preserve">FILTRO DE AIRE CARTON </t>
  </si>
  <si>
    <t>BALERO 6004</t>
  </si>
  <si>
    <t>CADENA 428X 126</t>
  </si>
  <si>
    <t>BALATA DE DISCO FT150 ALESSIA</t>
  </si>
  <si>
    <t>CHICOTE DE VELOCIMETRO WS150</t>
  </si>
  <si>
    <t>FLOTADOR DE GASOLINA WS150</t>
  </si>
  <si>
    <t>ARAÑA DE VELOCIMETRO WS150</t>
  </si>
  <si>
    <t xml:space="preserve">GUANTES </t>
  </si>
  <si>
    <t xml:space="preserve">GOGLES NEGROS </t>
  </si>
  <si>
    <t xml:space="preserve">FOCO DE PELLIZCO </t>
  </si>
  <si>
    <t>RED DE ACIENTO WS150</t>
  </si>
  <si>
    <t>RED DE CASCO NEGRA</t>
  </si>
  <si>
    <t xml:space="preserve">CUENTA DE SEMANA PASADA $24304 MENOS $ 1440 DE NOTA 6 QUEDA $ 22864 </t>
  </si>
  <si>
    <t xml:space="preserve">GOMA DE CALIPER </t>
  </si>
  <si>
    <t>Jueves 10 DE SEPTIEMBRTE-26</t>
  </si>
  <si>
    <t>SILENCIADOR DE ESCAPE</t>
  </si>
  <si>
    <t>CALIPER DE ATV</t>
  </si>
  <si>
    <t>ACEITE MOTUL 5100</t>
  </si>
  <si>
    <t>FILTRO DE ACEI FZA16</t>
  </si>
  <si>
    <t>BUJIA MAESWTRA PULSAR 200NS</t>
  </si>
  <si>
    <t>FILTRO DE AIRE DM200 ALESSIA</t>
  </si>
  <si>
    <t>CHICOTE DE FRENO DELANTERO CARGO 150</t>
  </si>
  <si>
    <t>WAPEMEX</t>
  </si>
  <si>
    <t>OSCAR</t>
  </si>
  <si>
    <t xml:space="preserve">VALIKER </t>
  </si>
  <si>
    <t>FOCO H4 HAOLEGO</t>
  </si>
  <si>
    <t>FILTRO DE AIRE WS175</t>
  </si>
  <si>
    <t>Viernes 10 DE SEPTIEMBRE-26</t>
  </si>
  <si>
    <t xml:space="preserve">SWUITH DE DM200 </t>
  </si>
  <si>
    <t>P.NASAKI</t>
  </si>
  <si>
    <t xml:space="preserve">TOTAL </t>
  </si>
  <si>
    <t>FILTRO DE ACEI R15</t>
  </si>
  <si>
    <t>SELLO DE ESCAPE DS150</t>
  </si>
  <si>
    <t xml:space="preserve">CUENTA SEMANA PASADA$ 22864 MENOS $ 7566 DE LOS EGRESOS QUEDA $ 15298 </t>
  </si>
  <si>
    <t>JEJED E RIND DS150</t>
  </si>
  <si>
    <t>P.ALESIA</t>
  </si>
  <si>
    <t>LUNES 07 DE SEPTIEMBRE-26</t>
  </si>
  <si>
    <t>MIERCOLES 09 DE SEPTIEMBRE -26</t>
  </si>
  <si>
    <t>WAPEME</t>
  </si>
  <si>
    <t>JUEVES 10 DE SEPTIEMBRE-26</t>
  </si>
  <si>
    <t>P.OSCAR</t>
  </si>
  <si>
    <t>VALIKER</t>
  </si>
  <si>
    <t>PAGOYAS</t>
  </si>
  <si>
    <t>VIERNES 11 DE SEPTIEMBRE-26</t>
  </si>
  <si>
    <t>CADENA 428 SENCILLA ALESSIA</t>
  </si>
  <si>
    <t>RETEN DE MOTOR DS150</t>
  </si>
  <si>
    <t xml:space="preserve">TOTAL DE EGRESOS </t>
  </si>
  <si>
    <t>TORNILLO</t>
  </si>
  <si>
    <t>PIÑON DE DM200</t>
  </si>
  <si>
    <t xml:space="preserve">SEGURO DE PIÑON </t>
  </si>
  <si>
    <t xml:space="preserve">GOOGLES NEGROS </t>
  </si>
  <si>
    <t>CAMARA 130-70-17</t>
  </si>
  <si>
    <t>ACEITE REPSOL</t>
  </si>
  <si>
    <t>BANDA 835-20-30</t>
  </si>
  <si>
    <t>JUNTA DETRASMISION DS150</t>
  </si>
  <si>
    <t>CHICOTE DE CLUTH UNIVERSAL</t>
  </si>
  <si>
    <t>ABRAZADERA DE MANGUERA</t>
  </si>
  <si>
    <t>FILTRO DE GASOLINA PIEDRA</t>
  </si>
  <si>
    <t xml:space="preserve"> </t>
  </si>
  <si>
    <t>CAPUCHON DE BUJIA DS150</t>
  </si>
  <si>
    <t>CAMARA 3.50.18</t>
  </si>
  <si>
    <t xml:space="preserve">TUERCA </t>
  </si>
  <si>
    <t xml:space="preserve">DIRECCINALES UNIVERSAL </t>
  </si>
  <si>
    <r>
      <rPr>
        <b/>
        <sz val="14"/>
        <color theme="1"/>
        <rFont val="Calibri"/>
        <family val="2"/>
        <scheme val="minor"/>
      </rPr>
      <t xml:space="preserve">CORTES DE LA SEMANA    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07 DE SEPTIEMBRE-26             $27760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$ 3101                 MENOS $13962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08 DE SEPTIEMBRE-26         $13798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$ 4250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09 DE SEPTIEMBRE-26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$ 4027.5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10 DE SEPTIEMBRE 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$ 2703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11 DE SEPTIEMBRE 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$1345.5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TOTAL $15427
TOTAL EN CAJA $ 29225</t>
    </r>
  </si>
  <si>
    <t>Sabado 12 DE SEPTIEMBRE-26</t>
  </si>
  <si>
    <t xml:space="preserve">PILA WAPEMEX MOTONETA </t>
  </si>
  <si>
    <t>BALATA VORTEX 300</t>
  </si>
  <si>
    <t>RED DE CASCO</t>
  </si>
  <si>
    <t>SEGURO DE PIÑON</t>
  </si>
  <si>
    <t>CUBRE RAYO ROJO</t>
  </si>
  <si>
    <t>VALVULAS DE FT150</t>
  </si>
  <si>
    <t>RETEN</t>
  </si>
  <si>
    <t>BANDA 743-20-30</t>
  </si>
  <si>
    <t>RESBALON DE CENTRIFUJO DS150</t>
  </si>
  <si>
    <t xml:space="preserve">MANGUERA DE FRENO </t>
  </si>
  <si>
    <t>BALATA DM250</t>
  </si>
  <si>
    <t>CHICOTE DE ACELERADOR FT125</t>
  </si>
  <si>
    <t>CALAVERA DE FT125</t>
  </si>
  <si>
    <t>BALATA DE TAMBOR  DS150</t>
  </si>
  <si>
    <r>
      <t xml:space="preserve">CUENTA DE AYER $29225 
CUENTA DE HOY SABADO $ 1755 MENOS $ 300 PAGO DE YAS QUEDA $ 1455 MAS LO DE AYER $29225 
</t>
    </r>
    <r>
      <rPr>
        <b/>
        <sz val="22"/>
        <color theme="1"/>
        <rFont val="Calibri"/>
        <family val="2"/>
        <scheme val="minor"/>
      </rPr>
      <t xml:space="preserve">TOTAL EN CAJA $ 30680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</si>
</sst>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4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topLeftCell="A2" workbookViewId="0">
      <selection activeCell="D41" sqref="D4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26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3101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36</v>
      </c>
      <c r="M4" s="36" t="s">
        <v>57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46277.79185775463</v>
      </c>
      <c r="C5">
        <f>IF(ISNUMBER(E5), IF(ISNUMBER(C4), C4+1, 1), "")</f>
        <v>1</v>
      </c>
      <c r="D5" t="s">
        <v>27</v>
      </c>
      <c r="E5">
        <v>1</v>
      </c>
      <c r="F5">
        <v>97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97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46277.79185775463</v>
      </c>
      <c r="C6">
        <f t="shared" ref="C6:C36" si="0">IF(ISNUMBER(E6), IF(ISNUMBER(C5), C5+1, 1), "")</f>
        <v>2</v>
      </c>
      <c r="D6" t="s">
        <v>28</v>
      </c>
      <c r="E6">
        <v>1</v>
      </c>
      <c r="F6">
        <v>200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200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46277.79185775463</v>
      </c>
      <c r="C7">
        <f t="shared" si="0"/>
        <v>3</v>
      </c>
      <c r="D7" t="s">
        <v>29</v>
      </c>
      <c r="E7">
        <v>1</v>
      </c>
      <c r="F7">
        <v>50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50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46277.79185775463</v>
      </c>
      <c r="C8">
        <f t="shared" si="0"/>
        <v>4</v>
      </c>
      <c r="D8" t="s">
        <v>30</v>
      </c>
      <c r="E8">
        <v>1</v>
      </c>
      <c r="F8">
        <v>50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50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46277.79185775463</v>
      </c>
      <c r="C9">
        <f t="shared" si="0"/>
        <v>5</v>
      </c>
      <c r="D9" t="s">
        <v>31</v>
      </c>
      <c r="E9">
        <v>1</v>
      </c>
      <c r="F9">
        <v>5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46277.79185775463</v>
      </c>
      <c r="C10">
        <f t="shared" si="0"/>
        <v>6</v>
      </c>
      <c r="D10" t="s">
        <v>31</v>
      </c>
      <c r="E10">
        <v>6</v>
      </c>
      <c r="F10">
        <v>5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30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46277.79185775463</v>
      </c>
      <c r="C11">
        <f t="shared" si="0"/>
        <v>7</v>
      </c>
      <c r="D11" t="s">
        <v>31</v>
      </c>
      <c r="E11">
        <v>4</v>
      </c>
      <c r="F11">
        <v>5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20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46277.79185775463</v>
      </c>
      <c r="C12">
        <f t="shared" si="0"/>
        <v>8</v>
      </c>
      <c r="D12" t="s">
        <v>29</v>
      </c>
      <c r="E12">
        <v>1</v>
      </c>
      <c r="F12">
        <v>50</v>
      </c>
      <c r="G12" t="s">
        <v>32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45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46277.79185775463</v>
      </c>
      <c r="C13">
        <f t="shared" si="0"/>
        <v>9</v>
      </c>
      <c r="D13" t="s">
        <v>33</v>
      </c>
      <c r="E13">
        <v>1</v>
      </c>
      <c r="F13">
        <v>68</v>
      </c>
      <c r="G13" t="s">
        <v>32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61.5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46277.79185775463</v>
      </c>
      <c r="C14">
        <f t="shared" si="0"/>
        <v>10</v>
      </c>
      <c r="D14" t="s">
        <v>34</v>
      </c>
      <c r="E14">
        <v>1</v>
      </c>
      <c r="F14">
        <v>65</v>
      </c>
      <c r="G14" t="s">
        <v>32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58.5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46277.79185775463</v>
      </c>
      <c r="C15">
        <f t="shared" si="0"/>
        <v>11</v>
      </c>
      <c r="D15" t="s">
        <v>35</v>
      </c>
      <c r="E15">
        <v>1</v>
      </c>
      <c r="F15">
        <v>15</v>
      </c>
      <c r="G15" t="s">
        <v>32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13.5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46277.79185775463</v>
      </c>
      <c r="C16">
        <f t="shared" si="0"/>
        <v>12</v>
      </c>
      <c r="D16" t="s">
        <v>36</v>
      </c>
      <c r="E16">
        <v>1</v>
      </c>
      <c r="F16">
        <v>50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50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46277.79185775463</v>
      </c>
      <c r="C17">
        <f t="shared" si="0"/>
        <v>13</v>
      </c>
      <c r="D17" t="s">
        <v>30</v>
      </c>
      <c r="E17">
        <v>1</v>
      </c>
      <c r="F17">
        <v>50</v>
      </c>
      <c r="G17" t="s">
        <v>32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45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46277.79185775463</v>
      </c>
      <c r="C18">
        <f t="shared" si="0"/>
        <v>14</v>
      </c>
      <c r="D18" t="s">
        <v>35</v>
      </c>
      <c r="E18">
        <v>1</v>
      </c>
      <c r="F18">
        <v>15</v>
      </c>
      <c r="G18" t="s">
        <v>32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13.5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46277.79185775463</v>
      </c>
      <c r="C19">
        <f t="shared" si="0"/>
        <v>15</v>
      </c>
      <c r="D19" t="s">
        <v>37</v>
      </c>
      <c r="E19">
        <v>1</v>
      </c>
      <c r="F19">
        <v>30</v>
      </c>
      <c r="G19" t="s">
        <v>32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27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46277.79185775463</v>
      </c>
      <c r="C20">
        <f t="shared" si="0"/>
        <v>16</v>
      </c>
      <c r="D20" t="s">
        <v>38</v>
      </c>
      <c r="E20">
        <v>1</v>
      </c>
      <c r="F20">
        <v>20</v>
      </c>
      <c r="G20" t="s">
        <v>32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18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46277.79185775463</v>
      </c>
      <c r="C21">
        <f t="shared" si="0"/>
        <v>17</v>
      </c>
      <c r="D21" t="s">
        <v>39</v>
      </c>
      <c r="E21">
        <v>1</v>
      </c>
      <c r="F21">
        <v>25</v>
      </c>
      <c r="G21" t="s">
        <v>32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22.5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46277.79185775463</v>
      </c>
      <c r="C22">
        <f t="shared" si="0"/>
        <v>18</v>
      </c>
      <c r="D22" t="s">
        <v>40</v>
      </c>
      <c r="E22">
        <v>1</v>
      </c>
      <c r="F22">
        <v>53</v>
      </c>
      <c r="G22" t="s">
        <v>32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48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46277.79185775463</v>
      </c>
      <c r="C23">
        <f t="shared" si="0"/>
        <v>19</v>
      </c>
      <c r="D23" t="s">
        <v>41</v>
      </c>
      <c r="E23">
        <v>1</v>
      </c>
      <c r="F23">
        <v>38</v>
      </c>
      <c r="G23" t="s">
        <v>32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34.5</v>
      </c>
    </row>
    <row r="24" spans="2:18" ht="15" customHeight="1" x14ac:dyDescent="0.25">
      <c r="B24" s="18">
        <f ca="1">IF(Tabla1[[#This Row],['#]]&lt;&gt;"", NOW(), "")</f>
        <v>46277.79185775463</v>
      </c>
      <c r="C24">
        <f t="shared" si="0"/>
        <v>20</v>
      </c>
      <c r="D24" t="s">
        <v>42</v>
      </c>
      <c r="E24">
        <v>1</v>
      </c>
      <c r="F24">
        <v>22</v>
      </c>
      <c r="G24" t="s">
        <v>32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20</v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>
        <f ca="1">IF(Tabla1[[#This Row],['#]]&lt;&gt;"", NOW(), "")</f>
        <v>46277.79185775463</v>
      </c>
      <c r="C25">
        <f t="shared" si="0"/>
        <v>21</v>
      </c>
      <c r="D25" t="s">
        <v>43</v>
      </c>
      <c r="E25">
        <v>1</v>
      </c>
      <c r="F25">
        <v>250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250</v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>
        <f ca="1">IF(Tabla1[[#This Row],['#]]&lt;&gt;"", NOW(), "")</f>
        <v>46277.79185775463</v>
      </c>
      <c r="C26">
        <f t="shared" si="0"/>
        <v>22</v>
      </c>
      <c r="D26" t="s">
        <v>44</v>
      </c>
      <c r="E26">
        <v>1</v>
      </c>
      <c r="F26">
        <v>45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45</v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>
        <f ca="1">IF(Tabla1[[#This Row],['#]]&lt;&gt;"", NOW(), "")</f>
        <v>46277.79185775463</v>
      </c>
      <c r="C27">
        <f t="shared" si="0"/>
        <v>23</v>
      </c>
      <c r="D27" t="s">
        <v>45</v>
      </c>
      <c r="E27">
        <v>1</v>
      </c>
      <c r="F27">
        <v>35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35</v>
      </c>
      <c r="M27" s="19" t="s">
        <v>25</v>
      </c>
      <c r="N27" s="20"/>
      <c r="O27" s="23">
        <v>3456</v>
      </c>
      <c r="P27" s="25"/>
      <c r="Q27" s="26"/>
      <c r="R27" s="27"/>
    </row>
    <row r="28" spans="2:18" x14ac:dyDescent="0.25">
      <c r="B28" s="18">
        <f ca="1">IF(Tabla1[[#This Row],['#]]&lt;&gt;"", NOW(), "")</f>
        <v>46277.79185775463</v>
      </c>
      <c r="C28">
        <f t="shared" si="0"/>
        <v>24</v>
      </c>
      <c r="D28" t="s">
        <v>46</v>
      </c>
      <c r="E28">
        <v>1</v>
      </c>
      <c r="F28">
        <v>130</v>
      </c>
      <c r="H28" s="5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>130</v>
      </c>
      <c r="M28" s="21"/>
      <c r="N28" s="22"/>
      <c r="O28" s="24"/>
      <c r="P28" s="28"/>
      <c r="Q28" s="29"/>
      <c r="R28" s="30"/>
    </row>
    <row r="29" spans="2:18" x14ac:dyDescent="0.25">
      <c r="B29" s="18">
        <f ca="1">IF(Tabla1[[#This Row],['#]]&lt;&gt;"", NOW(), "")</f>
        <v>46277.79185775463</v>
      </c>
      <c r="C29">
        <f t="shared" si="0"/>
        <v>25</v>
      </c>
      <c r="D29" t="s">
        <v>47</v>
      </c>
      <c r="E29">
        <v>1</v>
      </c>
      <c r="F29">
        <v>72</v>
      </c>
      <c r="G29" t="s">
        <v>32</v>
      </c>
      <c r="H29" s="5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>65</v>
      </c>
      <c r="M29" s="19"/>
      <c r="N29" s="20"/>
      <c r="O29" s="23"/>
      <c r="P29" s="25"/>
      <c r="Q29" s="26"/>
      <c r="R29" s="27"/>
    </row>
    <row r="30" spans="2:18" x14ac:dyDescent="0.25">
      <c r="B30" s="18">
        <f ca="1">IF(Tabla1[[#This Row],['#]]&lt;&gt;"", NOW(), "")</f>
        <v>46277.79185775463</v>
      </c>
      <c r="C30">
        <f t="shared" si="0"/>
        <v>26</v>
      </c>
      <c r="D30" t="s">
        <v>48</v>
      </c>
      <c r="E30">
        <v>1</v>
      </c>
      <c r="F30">
        <v>150</v>
      </c>
      <c r="G30" t="s">
        <v>49</v>
      </c>
      <c r="H30" s="5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>142.5</v>
      </c>
      <c r="M30" s="21"/>
      <c r="N30" s="22"/>
      <c r="O30" s="24"/>
      <c r="P30" s="28"/>
      <c r="Q30" s="29"/>
      <c r="R30" s="30"/>
    </row>
    <row r="31" spans="2:18" x14ac:dyDescent="0.25">
      <c r="B31" s="18">
        <f ca="1">IF(Tabla1[[#This Row],['#]]&lt;&gt;"", NOW(), "")</f>
        <v>46277.79185775463</v>
      </c>
      <c r="C31">
        <f t="shared" si="0"/>
        <v>27</v>
      </c>
      <c r="D31" t="s">
        <v>50</v>
      </c>
      <c r="E31">
        <v>1</v>
      </c>
      <c r="F31">
        <v>130</v>
      </c>
      <c r="G31" t="s">
        <v>32</v>
      </c>
      <c r="H31" s="5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>123.5</v>
      </c>
      <c r="M31" s="19"/>
      <c r="N31" s="20"/>
      <c r="O31" s="23"/>
      <c r="P31" s="25"/>
      <c r="Q31" s="26"/>
      <c r="R31" s="27"/>
    </row>
    <row r="32" spans="2:18" x14ac:dyDescent="0.25">
      <c r="B32" s="18">
        <f ca="1">IF(Tabla1[[#This Row],['#]]&lt;&gt;"", NOW(), "")</f>
        <v>46277.79185775463</v>
      </c>
      <c r="C32">
        <f t="shared" si="0"/>
        <v>28</v>
      </c>
      <c r="D32" t="s">
        <v>35</v>
      </c>
      <c r="E32">
        <v>1</v>
      </c>
      <c r="F32">
        <v>15</v>
      </c>
      <c r="G32" t="s">
        <v>32</v>
      </c>
      <c r="H32" s="5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>13.5</v>
      </c>
      <c r="M32" s="21"/>
      <c r="N32" s="22"/>
      <c r="O32" s="24"/>
      <c r="P32" s="28"/>
      <c r="Q32" s="29"/>
      <c r="R32" s="30"/>
    </row>
    <row r="33" spans="2:18" x14ac:dyDescent="0.25">
      <c r="B33" s="18">
        <f ca="1">IF(Tabla1[[#This Row],['#]]&lt;&gt;"", NOW(), "")</f>
        <v>46277.79185775463</v>
      </c>
      <c r="C33">
        <f t="shared" si="0"/>
        <v>29</v>
      </c>
      <c r="D33" t="s">
        <v>30</v>
      </c>
      <c r="E33">
        <v>1</v>
      </c>
      <c r="F33">
        <v>50</v>
      </c>
      <c r="G33" t="s">
        <v>32</v>
      </c>
      <c r="H33" s="5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>45</v>
      </c>
      <c r="M33" s="19"/>
      <c r="N33" s="20"/>
      <c r="O33" s="23"/>
      <c r="P33" s="25"/>
      <c r="Q33" s="26"/>
      <c r="R33" s="27"/>
    </row>
    <row r="34" spans="2:18" x14ac:dyDescent="0.25">
      <c r="B34" s="18">
        <f ca="1">IF(Tabla1[[#This Row],['#]]&lt;&gt;"", NOW(), "")</f>
        <v>46277.79185775463</v>
      </c>
      <c r="C34">
        <f t="shared" si="0"/>
        <v>30</v>
      </c>
      <c r="D34" t="s">
        <v>51</v>
      </c>
      <c r="E34">
        <v>1</v>
      </c>
      <c r="F34">
        <v>320</v>
      </c>
      <c r="G34" t="s">
        <v>32</v>
      </c>
      <c r="H34" s="5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>288</v>
      </c>
      <c r="M34" s="21"/>
      <c r="N34" s="22"/>
      <c r="O34" s="24"/>
      <c r="P34" s="28"/>
      <c r="Q34" s="29"/>
      <c r="R34" s="30"/>
    </row>
    <row r="35" spans="2:18" x14ac:dyDescent="0.25">
      <c r="B35" s="18">
        <f ca="1">IF(Tabla1[[#This Row],['#]]&lt;&gt;"", NOW(), "")</f>
        <v>46277.79185775463</v>
      </c>
      <c r="C35">
        <f t="shared" si="0"/>
        <v>31</v>
      </c>
      <c r="D35" t="s">
        <v>52</v>
      </c>
      <c r="E35">
        <v>1</v>
      </c>
      <c r="F35">
        <v>120</v>
      </c>
      <c r="G35" t="s">
        <v>32</v>
      </c>
      <c r="H35" s="5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>108</v>
      </c>
      <c r="M35" s="19"/>
      <c r="N35" s="20"/>
      <c r="O35" s="23"/>
      <c r="P35" s="25"/>
      <c r="Q35" s="26"/>
      <c r="R35" s="27"/>
    </row>
    <row r="36" spans="2:18" x14ac:dyDescent="0.25">
      <c r="B36" s="18">
        <f ca="1">IF(Tabla1[[#This Row],['#]]&lt;&gt;"", NOW(), "")</f>
        <v>46277.79185775463</v>
      </c>
      <c r="C36">
        <f t="shared" si="0"/>
        <v>32</v>
      </c>
      <c r="D36" t="s">
        <v>53</v>
      </c>
      <c r="E36">
        <v>1</v>
      </c>
      <c r="F36">
        <v>276</v>
      </c>
      <c r="G36" t="s">
        <v>32</v>
      </c>
      <c r="H36" s="5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>248.5</v>
      </c>
      <c r="M36" s="21"/>
      <c r="N36" s="22"/>
      <c r="O36" s="24"/>
      <c r="P36" s="28"/>
      <c r="Q36" s="29"/>
      <c r="R36" s="30"/>
    </row>
    <row r="37" spans="2:18" x14ac:dyDescent="0.25">
      <c r="B37" s="18">
        <f ca="1">IF(Tabla1[[#This Row],['#]]&lt;&gt;"", NOW(), "")</f>
        <v>46277.79185775463</v>
      </c>
      <c r="C37">
        <f t="shared" ref="C37:C68" si="1">IF(ISNUMBER(E37), IF(ISNUMBER(C36), C36+1, 1), "")</f>
        <v>33</v>
      </c>
      <c r="D37" t="s">
        <v>54</v>
      </c>
      <c r="E37">
        <v>1</v>
      </c>
      <c r="F37">
        <v>95</v>
      </c>
      <c r="G37" t="s">
        <v>32</v>
      </c>
      <c r="H37" s="5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>85.5</v>
      </c>
      <c r="M37" s="19"/>
      <c r="N37" s="20"/>
      <c r="O37" s="23"/>
      <c r="P37" s="25"/>
      <c r="Q37" s="26"/>
      <c r="R37" s="27"/>
    </row>
    <row r="38" spans="2:18" x14ac:dyDescent="0.25">
      <c r="B38" s="18">
        <f ca="1">IF(Tabla1[[#This Row],['#]]&lt;&gt;"", NOW(), "")</f>
        <v>46277.79185775463</v>
      </c>
      <c r="C38">
        <f t="shared" si="1"/>
        <v>34</v>
      </c>
      <c r="D38" t="s">
        <v>55</v>
      </c>
      <c r="E38">
        <v>1</v>
      </c>
      <c r="F38">
        <v>99</v>
      </c>
      <c r="G38" t="s">
        <v>32</v>
      </c>
      <c r="H38" s="5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>89.5</v>
      </c>
      <c r="M38" s="21"/>
      <c r="N38" s="22"/>
      <c r="O38" s="24"/>
      <c r="P38" s="28"/>
      <c r="Q38" s="29"/>
      <c r="R38" s="30"/>
    </row>
    <row r="39" spans="2:18" x14ac:dyDescent="0.25">
      <c r="B39" s="18">
        <f ca="1">IF(Tabla1[[#This Row],['#]]&lt;&gt;"", NOW(), "")</f>
        <v>46277.79185775463</v>
      </c>
      <c r="C39">
        <f t="shared" si="1"/>
        <v>35</v>
      </c>
      <c r="D39" t="s">
        <v>56</v>
      </c>
      <c r="E39">
        <v>1</v>
      </c>
      <c r="F39">
        <v>70</v>
      </c>
      <c r="G39" t="s">
        <v>32</v>
      </c>
      <c r="H39" s="5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>63</v>
      </c>
      <c r="M39" s="19"/>
      <c r="N39" s="20"/>
      <c r="O39" s="23"/>
      <c r="P39" s="25"/>
      <c r="Q39" s="26"/>
      <c r="R39" s="27"/>
    </row>
    <row r="40" spans="2:18" x14ac:dyDescent="0.25">
      <c r="B40" s="18">
        <f ca="1">IF(Tabla1[[#This Row],['#]]&lt;&gt;"", NOW(), "")</f>
        <v>46277.79185775463</v>
      </c>
      <c r="C40">
        <f t="shared" si="1"/>
        <v>36</v>
      </c>
      <c r="D40" t="s">
        <v>58</v>
      </c>
      <c r="E40">
        <v>1</v>
      </c>
      <c r="F40">
        <v>460</v>
      </c>
      <c r="H40" s="5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>460</v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34" sqref="D3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59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4250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29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46277.79185775463</v>
      </c>
      <c r="C5">
        <f t="shared" ref="C5:C68" si="0">IF(ISNUMBER(E5), IF(ISNUMBER(C4), C4+1, 1), "")</f>
        <v>1</v>
      </c>
      <c r="D5" t="s">
        <v>60</v>
      </c>
      <c r="E5">
        <v>1</v>
      </c>
      <c r="F5">
        <v>480</v>
      </c>
      <c r="G5" t="s">
        <v>32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432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46277.79185775463</v>
      </c>
      <c r="C6">
        <f t="shared" si="0"/>
        <v>2</v>
      </c>
      <c r="D6" t="s">
        <v>61</v>
      </c>
      <c r="E6">
        <v>1</v>
      </c>
      <c r="F6">
        <v>130</v>
      </c>
      <c r="G6" t="s">
        <v>32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123.5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46277.79185775463</v>
      </c>
      <c r="C7">
        <f t="shared" si="0"/>
        <v>3</v>
      </c>
      <c r="D7" t="s">
        <v>62</v>
      </c>
      <c r="E7">
        <v>1</v>
      </c>
      <c r="F7">
        <v>100</v>
      </c>
      <c r="G7" t="s">
        <v>32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90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46277.79185775463</v>
      </c>
      <c r="C8">
        <f t="shared" si="0"/>
        <v>4</v>
      </c>
      <c r="D8" t="s">
        <v>63</v>
      </c>
      <c r="E8">
        <v>1</v>
      </c>
      <c r="F8">
        <v>355</v>
      </c>
      <c r="G8" t="s">
        <v>32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319.5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46277.79185775463</v>
      </c>
      <c r="C9">
        <f t="shared" si="0"/>
        <v>5</v>
      </c>
      <c r="D9" t="s">
        <v>64</v>
      </c>
      <c r="E9">
        <v>1</v>
      </c>
      <c r="F9">
        <v>395</v>
      </c>
      <c r="G9" t="s">
        <v>32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355.5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46277.79185775463</v>
      </c>
      <c r="C10">
        <f t="shared" si="0"/>
        <v>6</v>
      </c>
      <c r="D10" t="s">
        <v>65</v>
      </c>
      <c r="E10">
        <v>1</v>
      </c>
      <c r="F10">
        <v>104</v>
      </c>
      <c r="G10" t="s">
        <v>32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94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46277.79185775463</v>
      </c>
      <c r="C11">
        <f t="shared" si="0"/>
        <v>7</v>
      </c>
      <c r="D11" t="s">
        <v>66</v>
      </c>
      <c r="E11">
        <v>1</v>
      </c>
      <c r="F11">
        <v>15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15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46277.79185775463</v>
      </c>
      <c r="C12">
        <f t="shared" si="0"/>
        <v>8</v>
      </c>
      <c r="D12" t="s">
        <v>67</v>
      </c>
      <c r="E12">
        <v>1</v>
      </c>
      <c r="F12">
        <v>15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15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46277.79185775463</v>
      </c>
      <c r="C13">
        <f t="shared" si="0"/>
        <v>9</v>
      </c>
      <c r="D13" t="s">
        <v>68</v>
      </c>
      <c r="E13">
        <v>1</v>
      </c>
      <c r="F13">
        <v>78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78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46277.79185775463</v>
      </c>
      <c r="C14">
        <f t="shared" si="0"/>
        <v>10</v>
      </c>
      <c r="D14" t="s">
        <v>69</v>
      </c>
      <c r="E14">
        <v>1</v>
      </c>
      <c r="F14">
        <v>750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750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46277.79185775463</v>
      </c>
      <c r="C15">
        <f t="shared" si="0"/>
        <v>11</v>
      </c>
      <c r="D15" t="s">
        <v>70</v>
      </c>
      <c r="E15">
        <v>1</v>
      </c>
      <c r="F15">
        <v>420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420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46277.79185775463</v>
      </c>
      <c r="C16">
        <f t="shared" si="0"/>
        <v>12</v>
      </c>
      <c r="D16" t="s">
        <v>31</v>
      </c>
      <c r="E16">
        <v>5</v>
      </c>
      <c r="F16">
        <v>5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25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46277.79185775463</v>
      </c>
      <c r="C17">
        <f t="shared" si="0"/>
        <v>13</v>
      </c>
      <c r="D17" t="s">
        <v>71</v>
      </c>
      <c r="E17">
        <v>1</v>
      </c>
      <c r="F17">
        <v>250</v>
      </c>
      <c r="G17" t="s">
        <v>32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225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46277.79185775463</v>
      </c>
      <c r="C18">
        <f t="shared" si="0"/>
        <v>14</v>
      </c>
      <c r="D18" t="s">
        <v>72</v>
      </c>
      <c r="E18">
        <v>1</v>
      </c>
      <c r="F18">
        <v>30</v>
      </c>
      <c r="G18" t="s">
        <v>32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27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46277.79185775463</v>
      </c>
      <c r="C19">
        <f t="shared" si="0"/>
        <v>15</v>
      </c>
      <c r="D19" t="s">
        <v>73</v>
      </c>
      <c r="E19">
        <v>1</v>
      </c>
      <c r="F19">
        <v>30</v>
      </c>
      <c r="G19" t="s">
        <v>32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27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46277.79185775463</v>
      </c>
      <c r="C20">
        <f t="shared" si="0"/>
        <v>16</v>
      </c>
      <c r="D20" t="s">
        <v>74</v>
      </c>
      <c r="E20">
        <v>1</v>
      </c>
      <c r="F20">
        <v>30</v>
      </c>
      <c r="G20" t="s">
        <v>32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27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46277.79185775463</v>
      </c>
      <c r="C21">
        <f t="shared" si="0"/>
        <v>17</v>
      </c>
      <c r="D21" t="s">
        <v>75</v>
      </c>
      <c r="E21">
        <v>1</v>
      </c>
      <c r="F21">
        <v>35</v>
      </c>
      <c r="G21" t="s">
        <v>32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31.5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46277.79185775463</v>
      </c>
      <c r="C22">
        <f t="shared" si="0"/>
        <v>18</v>
      </c>
      <c r="D22" t="s">
        <v>76</v>
      </c>
      <c r="E22">
        <v>2</v>
      </c>
      <c r="F22">
        <v>195</v>
      </c>
      <c r="G22" t="s">
        <v>32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370.5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46277.79185775463</v>
      </c>
      <c r="C23">
        <f t="shared" si="0"/>
        <v>19</v>
      </c>
      <c r="D23" t="s">
        <v>77</v>
      </c>
      <c r="E23">
        <v>2</v>
      </c>
      <c r="F23">
        <v>50</v>
      </c>
      <c r="G23" t="s">
        <v>32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90</v>
      </c>
    </row>
    <row r="24" spans="2:18" ht="15" customHeight="1" x14ac:dyDescent="0.25">
      <c r="B24" s="18">
        <f ca="1">IF(Tabla1[[#This Row],['#]]&lt;&gt;"", NOW(), "")</f>
        <v>46277.79185775463</v>
      </c>
      <c r="C24">
        <f t="shared" si="0"/>
        <v>20</v>
      </c>
      <c r="D24" t="s">
        <v>78</v>
      </c>
      <c r="E24">
        <v>1</v>
      </c>
      <c r="F24">
        <v>50</v>
      </c>
      <c r="G24" t="s">
        <v>32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45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46277.79185775463</v>
      </c>
      <c r="C25">
        <f t="shared" si="0"/>
        <v>21</v>
      </c>
      <c r="D25" t="s">
        <v>79</v>
      </c>
      <c r="E25">
        <v>1</v>
      </c>
      <c r="F25">
        <v>90</v>
      </c>
      <c r="G25" t="s">
        <v>32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81</v>
      </c>
      <c r="M25" s="37"/>
      <c r="N25" s="37"/>
      <c r="O25" s="37"/>
      <c r="P25" s="37"/>
      <c r="Q25" s="37"/>
      <c r="R25" s="37"/>
    </row>
    <row r="26" spans="2:18" x14ac:dyDescent="0.25">
      <c r="B26" s="18">
        <f ca="1">IF(Tabla1[[#This Row],['#]]&lt;&gt;"", NOW(), "")</f>
        <v>46277.79185775463</v>
      </c>
      <c r="C26">
        <f t="shared" si="0"/>
        <v>22</v>
      </c>
      <c r="D26" t="s">
        <v>80</v>
      </c>
      <c r="E26">
        <v>1</v>
      </c>
      <c r="F26">
        <v>150</v>
      </c>
      <c r="H26" s="5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>150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>
        <f ca="1">IF(Tabla1[[#This Row],['#]]&lt;&gt;"", NOW(), "")</f>
        <v>46277.79185775463</v>
      </c>
      <c r="C27">
        <f t="shared" si="0"/>
        <v>23</v>
      </c>
      <c r="D27" t="s">
        <v>81</v>
      </c>
      <c r="E27">
        <v>1</v>
      </c>
      <c r="F27">
        <v>70</v>
      </c>
      <c r="G27" t="s">
        <v>32</v>
      </c>
      <c r="H27" s="5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>63</v>
      </c>
      <c r="M27" s="13"/>
      <c r="N27" s="15"/>
      <c r="O27" s="39"/>
      <c r="P27" s="40"/>
      <c r="Q27" s="40"/>
      <c r="R27" s="41"/>
    </row>
    <row r="28" spans="2:18" x14ac:dyDescent="0.25">
      <c r="B28" s="18">
        <f ca="1">IF(Tabla1[[#This Row],['#]]&lt;&gt;"", NOW(), "")</f>
        <v>46277.79185775463</v>
      </c>
      <c r="C28">
        <f t="shared" si="0"/>
        <v>24</v>
      </c>
      <c r="D28" t="s">
        <v>31</v>
      </c>
      <c r="E28">
        <v>2</v>
      </c>
      <c r="F28">
        <v>5</v>
      </c>
      <c r="H28" s="5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>10</v>
      </c>
      <c r="M28" s="13"/>
      <c r="N28" s="15"/>
      <c r="O28" s="39"/>
      <c r="P28" s="40"/>
      <c r="Q28" s="40"/>
      <c r="R28" s="41"/>
    </row>
    <row r="29" spans="2:18" x14ac:dyDescent="0.25">
      <c r="B29" s="18">
        <f ca="1">IF(Tabla1[[#This Row],['#]]&lt;&gt;"", NOW(), "")</f>
        <v>46277.79185775463</v>
      </c>
      <c r="C29">
        <f t="shared" si="0"/>
        <v>25</v>
      </c>
      <c r="D29" t="s">
        <v>82</v>
      </c>
      <c r="E29">
        <v>1</v>
      </c>
      <c r="F29">
        <v>150</v>
      </c>
      <c r="H29" s="5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>150</v>
      </c>
      <c r="M29" s="13"/>
      <c r="N29" s="15"/>
      <c r="O29" s="39"/>
      <c r="P29" s="40"/>
      <c r="Q29" s="40"/>
      <c r="R29" s="41"/>
    </row>
    <row r="30" spans="2:18" x14ac:dyDescent="0.25">
      <c r="B30" s="18">
        <f ca="1">IF(Tabla1[[#This Row],['#]]&lt;&gt;"", NOW(), "")</f>
        <v>46277.79185775463</v>
      </c>
      <c r="C30">
        <f t="shared" si="0"/>
        <v>26</v>
      </c>
      <c r="D30" t="s">
        <v>83</v>
      </c>
      <c r="E30">
        <v>1</v>
      </c>
      <c r="F30">
        <v>90</v>
      </c>
      <c r="H30" s="5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>90</v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46277.79185775463</v>
      </c>
      <c r="C31">
        <f t="shared" si="0"/>
        <v>27</v>
      </c>
      <c r="D31" t="s">
        <v>86</v>
      </c>
      <c r="E31">
        <v>1</v>
      </c>
      <c r="F31">
        <v>28</v>
      </c>
      <c r="G31" t="s">
        <v>32</v>
      </c>
      <c r="H31" s="5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>25.5</v>
      </c>
      <c r="M31" s="13"/>
      <c r="N31" s="15"/>
      <c r="O31" s="39"/>
      <c r="P31" s="40"/>
      <c r="Q31" s="40"/>
      <c r="R31" s="41"/>
    </row>
    <row r="32" spans="2:18" x14ac:dyDescent="0.25">
      <c r="B32" s="18">
        <f ca="1">IF(Tabla1[[#This Row],['#]]&lt;&gt;"", NOW(), "")</f>
        <v>46277.79185775463</v>
      </c>
      <c r="C32">
        <f t="shared" si="0"/>
        <v>28</v>
      </c>
      <c r="D32" t="s">
        <v>84</v>
      </c>
      <c r="E32">
        <v>1</v>
      </c>
      <c r="F32">
        <v>60</v>
      </c>
      <c r="H32" s="5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>60</v>
      </c>
      <c r="M32" s="13"/>
      <c r="N32" s="15"/>
      <c r="O32" s="39"/>
      <c r="P32" s="40"/>
      <c r="Q32" s="40"/>
      <c r="R32" s="41"/>
    </row>
    <row r="33" spans="2:18" x14ac:dyDescent="0.25">
      <c r="B33" s="18">
        <f ca="1">IF(Tabla1[[#This Row],['#]]&lt;&gt;"", NOW(), "")</f>
        <v>46277.79185775463</v>
      </c>
      <c r="C33">
        <f t="shared" si="0"/>
        <v>29</v>
      </c>
      <c r="D33" t="s">
        <v>85</v>
      </c>
      <c r="E33">
        <v>2</v>
      </c>
      <c r="F33">
        <v>30</v>
      </c>
      <c r="H33" s="5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>60</v>
      </c>
      <c r="M33" s="13"/>
      <c r="N33" s="15"/>
      <c r="O33" s="39"/>
      <c r="P33" s="40"/>
      <c r="Q33" s="40"/>
      <c r="R33" s="41"/>
    </row>
    <row r="34" spans="2:18" x14ac:dyDescent="0.25">
      <c r="B34" s="18">
        <f ca="1">IF(Tabla1[[#This Row],['#]]&lt;&gt;"", NOW(), "")</f>
        <v>46277.79185775463</v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>
        <f ca="1">IF(Tabla1[[#This Row],['#]]&lt;&gt;"", NOW(), "")</f>
        <v>46277.79185775463</v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>
        <f ca="1">IF(Tabla1[[#This Row],['#]]&lt;&gt;"", NOW(), "")</f>
        <v>46277.79185775463</v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>
        <f ca="1">IF(Tabla1[[#This Row],['#]]&lt;&gt;"", NOW(), "")</f>
        <v>46277.79185775463</v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>
        <f ca="1">IF(Tabla1[[#This Row],['#]]&lt;&gt;"", NOW(), "")</f>
        <v>46277.79185775463</v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>
        <f ca="1">IF(Tabla1[[#This Row],['#]]&lt;&gt;"", NOW(), "")</f>
        <v>46277.79185775463</v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>
        <f ca="1">IF(Tabla1[[#This Row],['#]]&lt;&gt;"", NOW(), "")</f>
        <v>46277.79185775463</v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33" sqref="D3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87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4027.5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28</v>
      </c>
      <c r="M4" s="36" t="s">
        <v>112</v>
      </c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46277.79185775463</v>
      </c>
      <c r="C5">
        <f>IF(ISNUMBER(E5), IF(ISNUMBER(C4), C4+1, 1), "")</f>
        <v>1</v>
      </c>
      <c r="D5" t="s">
        <v>88</v>
      </c>
      <c r="E5">
        <v>1</v>
      </c>
      <c r="F5">
        <v>400</v>
      </c>
      <c r="G5" t="s">
        <v>32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360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46277.79185775463</v>
      </c>
      <c r="C6">
        <f>IF(ISNUMBER(E6), IF(ISNUMBER(C5), C5+1, 1), "")</f>
        <v>2</v>
      </c>
      <c r="D6" t="s">
        <v>89</v>
      </c>
      <c r="E6">
        <v>1</v>
      </c>
      <c r="F6">
        <v>890</v>
      </c>
      <c r="G6" t="s">
        <v>32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801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46277.79185775463</v>
      </c>
      <c r="C7">
        <f>IF(ISNUMBER(E7), IF(ISNUMBER(C6), C6+1, 1), "")</f>
        <v>3</v>
      </c>
      <c r="D7" t="s">
        <v>91</v>
      </c>
      <c r="E7">
        <v>1</v>
      </c>
      <c r="F7">
        <v>850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850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46277.79185775463</v>
      </c>
      <c r="C8">
        <f t="shared" ref="C8:C68" si="0">IF(ISNUMBER(E8), IF(ISNUMBER(C7), C7+1, 1), "")</f>
        <v>4</v>
      </c>
      <c r="D8" t="s">
        <v>92</v>
      </c>
      <c r="E8">
        <v>1</v>
      </c>
      <c r="F8">
        <v>125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125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46277.79185775463</v>
      </c>
      <c r="C9">
        <f t="shared" si="0"/>
        <v>5</v>
      </c>
      <c r="D9" t="s">
        <v>93</v>
      </c>
      <c r="E9">
        <v>1</v>
      </c>
      <c r="F9">
        <v>471</v>
      </c>
      <c r="G9" t="s">
        <v>32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424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46277.79185775463</v>
      </c>
      <c r="C10">
        <f t="shared" si="0"/>
        <v>6</v>
      </c>
      <c r="D10" t="s">
        <v>94</v>
      </c>
      <c r="E10">
        <v>1</v>
      </c>
      <c r="F10">
        <v>36</v>
      </c>
      <c r="G10" t="s">
        <v>32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32.5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46277.79185775463</v>
      </c>
      <c r="C11">
        <f t="shared" si="0"/>
        <v>7</v>
      </c>
      <c r="D11" t="s">
        <v>95</v>
      </c>
      <c r="E11">
        <v>1</v>
      </c>
      <c r="F11">
        <v>60</v>
      </c>
      <c r="G11" t="s">
        <v>32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54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46277.79185775463</v>
      </c>
      <c r="C12">
        <f t="shared" si="0"/>
        <v>8</v>
      </c>
      <c r="D12" t="s">
        <v>29</v>
      </c>
      <c r="E12">
        <v>1</v>
      </c>
      <c r="F12">
        <v>50</v>
      </c>
      <c r="G12" t="s">
        <v>32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45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46277.79185775463</v>
      </c>
      <c r="C13">
        <f t="shared" si="0"/>
        <v>9</v>
      </c>
      <c r="D13" t="s">
        <v>96</v>
      </c>
      <c r="E13">
        <v>1</v>
      </c>
      <c r="F13">
        <v>50</v>
      </c>
      <c r="G13" t="s">
        <v>32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45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46277.79185775463</v>
      </c>
      <c r="C14">
        <f t="shared" si="0"/>
        <v>10</v>
      </c>
      <c r="D14" t="s">
        <v>97</v>
      </c>
      <c r="E14">
        <v>1</v>
      </c>
      <c r="F14">
        <v>71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71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46277.79185775463</v>
      </c>
      <c r="C15">
        <f t="shared" si="0"/>
        <v>11</v>
      </c>
      <c r="D15" t="s">
        <v>98</v>
      </c>
      <c r="E15">
        <v>1</v>
      </c>
      <c r="F15">
        <v>48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48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46277.79185775463</v>
      </c>
      <c r="C16">
        <f t="shared" si="0"/>
        <v>12</v>
      </c>
      <c r="D16" t="s">
        <v>31</v>
      </c>
      <c r="E16">
        <v>1</v>
      </c>
      <c r="F16">
        <v>5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46277.79185775463</v>
      </c>
      <c r="C17">
        <f t="shared" si="0"/>
        <v>13</v>
      </c>
      <c r="D17" t="s">
        <v>99</v>
      </c>
      <c r="E17">
        <v>1</v>
      </c>
      <c r="F17">
        <v>15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15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46277.79185775463</v>
      </c>
      <c r="C18">
        <f t="shared" si="0"/>
        <v>14</v>
      </c>
      <c r="D18" t="s">
        <v>40</v>
      </c>
      <c r="E18">
        <v>1</v>
      </c>
      <c r="F18">
        <v>53</v>
      </c>
      <c r="G18" t="s">
        <v>32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48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46277.79185775463</v>
      </c>
      <c r="C19">
        <f t="shared" si="0"/>
        <v>15</v>
      </c>
      <c r="D19" t="s">
        <v>30</v>
      </c>
      <c r="E19">
        <v>1</v>
      </c>
      <c r="F19">
        <v>50</v>
      </c>
      <c r="G19" t="s">
        <v>32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45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46277.79185775463</v>
      </c>
      <c r="C20">
        <f t="shared" si="0"/>
        <v>16</v>
      </c>
      <c r="D20" t="s">
        <v>100</v>
      </c>
      <c r="E20">
        <v>1</v>
      </c>
      <c r="F20">
        <v>15</v>
      </c>
      <c r="G20" t="s">
        <v>32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13.5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46277.79185775463</v>
      </c>
      <c r="C21">
        <f t="shared" si="0"/>
        <v>17</v>
      </c>
      <c r="D21" t="s">
        <v>101</v>
      </c>
      <c r="E21">
        <v>1</v>
      </c>
      <c r="F21">
        <v>35</v>
      </c>
      <c r="G21" t="s">
        <v>32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31.5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46277.79185775463</v>
      </c>
      <c r="C22">
        <f t="shared" si="0"/>
        <v>18</v>
      </c>
      <c r="D22" t="s">
        <v>102</v>
      </c>
      <c r="E22">
        <v>1</v>
      </c>
      <c r="F22">
        <v>197</v>
      </c>
      <c r="G22" t="s">
        <v>32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177.5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46277.79185775463</v>
      </c>
      <c r="C23">
        <f t="shared" si="0"/>
        <v>19</v>
      </c>
      <c r="D23" t="s">
        <v>103</v>
      </c>
      <c r="E23">
        <v>1</v>
      </c>
      <c r="F23">
        <v>48</v>
      </c>
      <c r="G23" t="s">
        <v>32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43.5</v>
      </c>
    </row>
    <row r="24" spans="2:18" ht="15" customHeight="1" x14ac:dyDescent="0.25">
      <c r="B24" s="18">
        <f ca="1">IF(Tabla1[[#This Row],['#]]&lt;&gt;"", NOW(), "")</f>
        <v>46277.79185775463</v>
      </c>
      <c r="C24">
        <f t="shared" si="0"/>
        <v>20</v>
      </c>
      <c r="D24" t="s">
        <v>104</v>
      </c>
      <c r="E24">
        <v>1</v>
      </c>
      <c r="F24">
        <v>40</v>
      </c>
      <c r="G24" t="s">
        <v>32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36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46277.79185775463</v>
      </c>
      <c r="C25">
        <f t="shared" si="0"/>
        <v>21</v>
      </c>
      <c r="D25" t="s">
        <v>105</v>
      </c>
      <c r="E25">
        <v>1</v>
      </c>
      <c r="F25">
        <v>81</v>
      </c>
      <c r="G25" t="s">
        <v>32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73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46277.79185775463</v>
      </c>
      <c r="C26">
        <f t="shared" si="0"/>
        <v>22</v>
      </c>
      <c r="D26" t="s">
        <v>106</v>
      </c>
      <c r="E26">
        <v>1</v>
      </c>
      <c r="F26">
        <v>130</v>
      </c>
      <c r="G26" t="s">
        <v>32</v>
      </c>
      <c r="H26" s="5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>117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>
        <f ca="1">IF(Tabla1[[#This Row],['#]]&lt;&gt;"", NOW(), "")</f>
        <v>46277.79185775463</v>
      </c>
      <c r="C27">
        <f t="shared" si="0"/>
        <v>23</v>
      </c>
      <c r="D27" t="s">
        <v>107</v>
      </c>
      <c r="E27">
        <v>1</v>
      </c>
      <c r="F27">
        <v>185</v>
      </c>
      <c r="G27" t="s">
        <v>32</v>
      </c>
      <c r="H27" s="5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>166.5</v>
      </c>
      <c r="M27" s="13" t="s">
        <v>90</v>
      </c>
      <c r="N27" s="15">
        <v>1440</v>
      </c>
      <c r="O27" s="39"/>
      <c r="P27" s="40"/>
      <c r="Q27" s="40"/>
      <c r="R27" s="41"/>
    </row>
    <row r="28" spans="2:18" x14ac:dyDescent="0.25">
      <c r="B28" s="18">
        <f ca="1">IF(Tabla1[[#This Row],['#]]&lt;&gt;"", NOW(), "")</f>
        <v>46277.79185775463</v>
      </c>
      <c r="C28">
        <f t="shared" si="0"/>
        <v>24</v>
      </c>
      <c r="D28" t="s">
        <v>108</v>
      </c>
      <c r="E28">
        <v>1</v>
      </c>
      <c r="F28">
        <v>190</v>
      </c>
      <c r="G28" t="s">
        <v>32</v>
      </c>
      <c r="H28" s="5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>171</v>
      </c>
      <c r="M28" s="13"/>
      <c r="N28" s="15"/>
      <c r="O28" s="39"/>
      <c r="P28" s="40"/>
      <c r="Q28" s="40"/>
      <c r="R28" s="41"/>
    </row>
    <row r="29" spans="2:18" x14ac:dyDescent="0.25">
      <c r="B29" s="18">
        <f ca="1">IF(Tabla1[[#This Row],['#]]&lt;&gt;"", NOW(), "")</f>
        <v>46277.79185775463</v>
      </c>
      <c r="C29">
        <f t="shared" si="0"/>
        <v>25</v>
      </c>
      <c r="D29" t="s">
        <v>109</v>
      </c>
      <c r="E29">
        <v>1</v>
      </c>
      <c r="F29">
        <v>35</v>
      </c>
      <c r="G29" t="s">
        <v>32</v>
      </c>
      <c r="H29" s="5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>31.5</v>
      </c>
      <c r="M29" s="13"/>
      <c r="N29" s="15"/>
      <c r="O29" s="39"/>
      <c r="P29" s="40"/>
      <c r="Q29" s="40"/>
      <c r="R29" s="41"/>
    </row>
    <row r="30" spans="2:18" x14ac:dyDescent="0.25">
      <c r="B30" s="18">
        <f ca="1">IF(Tabla1[[#This Row],['#]]&lt;&gt;"", NOW(), "")</f>
        <v>46277.79185775463</v>
      </c>
      <c r="C30">
        <f t="shared" si="0"/>
        <v>26</v>
      </c>
      <c r="D30" t="s">
        <v>110</v>
      </c>
      <c r="E30">
        <v>1</v>
      </c>
      <c r="F30">
        <v>125</v>
      </c>
      <c r="G30" t="s">
        <v>32</v>
      </c>
      <c r="H30" s="5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>112.5</v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46277.79185775463</v>
      </c>
      <c r="C31">
        <f t="shared" si="0"/>
        <v>27</v>
      </c>
      <c r="D31" t="s">
        <v>111</v>
      </c>
      <c r="E31">
        <v>1</v>
      </c>
      <c r="F31">
        <v>70</v>
      </c>
      <c r="G31" t="s">
        <v>32</v>
      </c>
      <c r="H31" s="5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>63</v>
      </c>
      <c r="M31" s="13"/>
      <c r="N31" s="15"/>
      <c r="O31" s="39"/>
      <c r="P31" s="40"/>
      <c r="Q31" s="40"/>
      <c r="R31" s="41"/>
    </row>
    <row r="32" spans="2:18" x14ac:dyDescent="0.25">
      <c r="B32" s="18">
        <f ca="1">IF(Tabla1[[#This Row],['#]]&lt;&gt;"", NOW(), "")</f>
        <v>46277.79185775463</v>
      </c>
      <c r="C32">
        <f t="shared" si="0"/>
        <v>28</v>
      </c>
      <c r="D32" t="s">
        <v>113</v>
      </c>
      <c r="E32">
        <v>1</v>
      </c>
      <c r="F32">
        <v>25</v>
      </c>
      <c r="G32" t="s">
        <v>32</v>
      </c>
      <c r="H32" s="5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>22.5</v>
      </c>
      <c r="M32" s="13"/>
      <c r="N32" s="15"/>
      <c r="O32" s="39"/>
      <c r="P32" s="40"/>
      <c r="Q32" s="40"/>
      <c r="R32" s="41"/>
    </row>
    <row r="33" spans="2:18" x14ac:dyDescent="0.25">
      <c r="B33" s="18">
        <f ca="1">IF(Tabla1[[#This Row],['#]]&lt;&gt;"", NOW(), "")</f>
        <v>46277.79185775463</v>
      </c>
      <c r="C33" t="str">
        <f t="shared" si="0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>
        <f ca="1">IF(Tabla1[[#This Row],['#]]&lt;&gt;"", NOW(), "")</f>
        <v>46277.79185775463</v>
      </c>
      <c r="C34" t="str">
        <f t="shared" si="0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>
        <f ca="1">IF(Tabla1[[#This Row],['#]]&lt;&gt;"", NOW(), "")</f>
        <v>46277.79185775463</v>
      </c>
      <c r="C35" t="str">
        <f t="shared" si="0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>
        <f ca="1">IF(Tabla1[[#This Row],['#]]&lt;&gt;"", NOW(), "")</f>
        <v>46277.79185775463</v>
      </c>
      <c r="C36" t="str">
        <f t="shared" si="0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>
        <f ca="1">IF(Tabla1[[#This Row],['#]]&lt;&gt;"", NOW(), "")</f>
        <v>46277.79185775463</v>
      </c>
      <c r="C37" t="str">
        <f t="shared" si="0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>
        <f ca="1">IF(Tabla1[[#This Row],['#]]&lt;&gt;"", NOW(), "")</f>
        <v>46277.79185775463</v>
      </c>
      <c r="C38" t="str">
        <f t="shared" si="0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>
        <f ca="1">IF(Tabla1[[#This Row],['#]]&lt;&gt;"", NOW(), "")</f>
        <v>46277.79185775463</v>
      </c>
      <c r="C39" t="str">
        <f t="shared" si="0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>
        <f ca="1">IF(Tabla1[[#This Row],['#]]&lt;&gt;"", NOW(), "")</f>
        <v>46277.79185775463</v>
      </c>
      <c r="C40" t="str">
        <f t="shared" si="0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30" sqref="D3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114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2703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25</v>
      </c>
      <c r="M4" s="36" t="s">
        <v>133</v>
      </c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46277.79185775463</v>
      </c>
      <c r="C5">
        <f t="shared" ref="C5:C68" si="0">IF(ISNUMBER(E5), IF(ISNUMBER(C4), C4+1, 1), "")</f>
        <v>1</v>
      </c>
      <c r="D5" t="s">
        <v>115</v>
      </c>
      <c r="E5">
        <v>1</v>
      </c>
      <c r="F5">
        <v>142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142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46277.79185775463</v>
      </c>
      <c r="C6">
        <f t="shared" si="0"/>
        <v>2</v>
      </c>
      <c r="D6" t="s">
        <v>116</v>
      </c>
      <c r="E6">
        <v>1</v>
      </c>
      <c r="F6">
        <v>450</v>
      </c>
      <c r="G6" t="s">
        <v>32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405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46277.79185775463</v>
      </c>
      <c r="C7">
        <f t="shared" si="0"/>
        <v>3</v>
      </c>
      <c r="D7" t="s">
        <v>117</v>
      </c>
      <c r="E7">
        <v>1</v>
      </c>
      <c r="F7">
        <v>250</v>
      </c>
      <c r="G7" t="s">
        <v>32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237.5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46277.79185775463</v>
      </c>
      <c r="C8">
        <f t="shared" si="0"/>
        <v>4</v>
      </c>
      <c r="D8" t="s">
        <v>118</v>
      </c>
      <c r="E8">
        <v>1</v>
      </c>
      <c r="F8">
        <v>32</v>
      </c>
      <c r="G8" t="s">
        <v>32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29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46277.79185775463</v>
      </c>
      <c r="C9">
        <f t="shared" si="0"/>
        <v>5</v>
      </c>
      <c r="D9" t="s">
        <v>119</v>
      </c>
      <c r="E9">
        <v>1</v>
      </c>
      <c r="F9">
        <v>191</v>
      </c>
      <c r="G9" t="s">
        <v>32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172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46277.79185775463</v>
      </c>
      <c r="C10">
        <f t="shared" si="0"/>
        <v>6</v>
      </c>
      <c r="D10" t="s">
        <v>120</v>
      </c>
      <c r="E10">
        <v>1</v>
      </c>
      <c r="F10">
        <v>71</v>
      </c>
      <c r="G10" t="s">
        <v>32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64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46277.79185775463</v>
      </c>
      <c r="C11">
        <f t="shared" si="0"/>
        <v>7</v>
      </c>
      <c r="D11" t="s">
        <v>121</v>
      </c>
      <c r="E11">
        <v>1</v>
      </c>
      <c r="F11">
        <v>70</v>
      </c>
      <c r="G11" t="s">
        <v>32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63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46277.79185775463</v>
      </c>
      <c r="C12">
        <f t="shared" si="0"/>
        <v>8</v>
      </c>
      <c r="D12" t="s">
        <v>125</v>
      </c>
      <c r="E12">
        <v>2</v>
      </c>
      <c r="F12">
        <v>50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100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46277.79185775463</v>
      </c>
      <c r="C13">
        <f t="shared" si="0"/>
        <v>9</v>
      </c>
      <c r="D13" t="s">
        <v>31</v>
      </c>
      <c r="E13">
        <v>2</v>
      </c>
      <c r="F13">
        <v>5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10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46277.79185775463</v>
      </c>
      <c r="C14">
        <f t="shared" si="0"/>
        <v>10</v>
      </c>
      <c r="D14" t="s">
        <v>126</v>
      </c>
      <c r="E14">
        <v>1</v>
      </c>
      <c r="F14">
        <v>64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64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46277.79185775463</v>
      </c>
      <c r="C15">
        <f t="shared" si="0"/>
        <v>11</v>
      </c>
      <c r="D15" t="s">
        <v>29</v>
      </c>
      <c r="E15">
        <v>1</v>
      </c>
      <c r="F15">
        <v>50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50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46277.79185775463</v>
      </c>
      <c r="C16">
        <f t="shared" si="0"/>
        <v>12</v>
      </c>
      <c r="D16" t="s">
        <v>128</v>
      </c>
      <c r="E16">
        <v>1</v>
      </c>
      <c r="F16">
        <v>270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270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46277.79185775463</v>
      </c>
      <c r="C17">
        <f t="shared" si="0"/>
        <v>13</v>
      </c>
      <c r="D17" t="s">
        <v>131</v>
      </c>
      <c r="E17">
        <v>1</v>
      </c>
      <c r="F17">
        <v>90</v>
      </c>
      <c r="G17" t="s">
        <v>32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81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46277.79185775463</v>
      </c>
      <c r="C18">
        <f t="shared" si="0"/>
        <v>14</v>
      </c>
      <c r="D18" t="s">
        <v>132</v>
      </c>
      <c r="E18">
        <v>1</v>
      </c>
      <c r="F18">
        <v>10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10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46277.79185775463</v>
      </c>
      <c r="C19">
        <f t="shared" si="0"/>
        <v>15</v>
      </c>
      <c r="D19" t="s">
        <v>101</v>
      </c>
      <c r="E19">
        <v>1</v>
      </c>
      <c r="F19">
        <v>35</v>
      </c>
      <c r="G19" t="s">
        <v>32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31.5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46277.79185775463</v>
      </c>
      <c r="C20">
        <f t="shared" si="0"/>
        <v>16</v>
      </c>
      <c r="D20" t="s">
        <v>134</v>
      </c>
      <c r="E20">
        <v>1</v>
      </c>
      <c r="F20">
        <v>118</v>
      </c>
      <c r="G20" t="s">
        <v>32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106.5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46277.79185775463</v>
      </c>
      <c r="C21">
        <f t="shared" si="0"/>
        <v>17</v>
      </c>
      <c r="D21" t="s">
        <v>144</v>
      </c>
      <c r="E21">
        <v>1</v>
      </c>
      <c r="F21">
        <v>175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175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46277.79185775463</v>
      </c>
      <c r="C22">
        <f t="shared" si="0"/>
        <v>18</v>
      </c>
      <c r="D22" t="s">
        <v>145</v>
      </c>
      <c r="E22">
        <v>1</v>
      </c>
      <c r="F22">
        <v>65</v>
      </c>
      <c r="G22" t="s">
        <v>32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58.5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46277.79185775463</v>
      </c>
      <c r="C23">
        <f t="shared" si="0"/>
        <v>19</v>
      </c>
      <c r="D23" t="s">
        <v>61</v>
      </c>
      <c r="E23">
        <v>1</v>
      </c>
      <c r="F23">
        <v>130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130</v>
      </c>
    </row>
    <row r="24" spans="2:18" ht="15" customHeight="1" x14ac:dyDescent="0.25">
      <c r="B24" s="18">
        <f ca="1">IF(Tabla1[[#This Row],['#]]&lt;&gt;"", NOW(), "")</f>
        <v>46277.79185775463</v>
      </c>
      <c r="C24">
        <f t="shared" si="0"/>
        <v>20</v>
      </c>
      <c r="D24" t="s">
        <v>147</v>
      </c>
      <c r="E24">
        <v>2</v>
      </c>
      <c r="F24">
        <v>4</v>
      </c>
      <c r="H24" s="5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>8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46277.79185775463</v>
      </c>
      <c r="C25">
        <f t="shared" si="0"/>
        <v>21</v>
      </c>
      <c r="D25" t="s">
        <v>148</v>
      </c>
      <c r="E25">
        <v>1</v>
      </c>
      <c r="F25">
        <v>50</v>
      </c>
      <c r="H25" s="5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>50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46277.79185775463</v>
      </c>
      <c r="C26">
        <f t="shared" si="0"/>
        <v>22</v>
      </c>
      <c r="D26" t="s">
        <v>149</v>
      </c>
      <c r="E26">
        <v>1</v>
      </c>
      <c r="F26">
        <v>10</v>
      </c>
      <c r="H26" s="5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>10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46277.79185775463</v>
      </c>
      <c r="C27">
        <f t="shared" si="0"/>
        <v>23</v>
      </c>
      <c r="D27" t="s">
        <v>150</v>
      </c>
      <c r="E27">
        <v>1</v>
      </c>
      <c r="F27">
        <v>190</v>
      </c>
      <c r="H27" s="5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>190</v>
      </c>
      <c r="M27" s="13" t="s">
        <v>122</v>
      </c>
      <c r="N27" s="15">
        <v>1886</v>
      </c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46277.79185775463</v>
      </c>
      <c r="C28">
        <f t="shared" si="0"/>
        <v>24</v>
      </c>
      <c r="D28" t="s">
        <v>152</v>
      </c>
      <c r="E28">
        <v>1</v>
      </c>
      <c r="F28">
        <v>147</v>
      </c>
      <c r="H28" s="5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>147</v>
      </c>
      <c r="M28" s="13" t="s">
        <v>123</v>
      </c>
      <c r="N28" s="15">
        <v>440</v>
      </c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46277.79185775463</v>
      </c>
      <c r="C29">
        <f t="shared" si="0"/>
        <v>25</v>
      </c>
      <c r="D29" t="s">
        <v>151</v>
      </c>
      <c r="E29">
        <v>1</v>
      </c>
      <c r="F29">
        <v>99</v>
      </c>
      <c r="H29" s="5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>99</v>
      </c>
      <c r="M29" s="13" t="s">
        <v>124</v>
      </c>
      <c r="N29" s="15">
        <v>780</v>
      </c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46277.79185775463</v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 t="s">
        <v>129</v>
      </c>
      <c r="N30" s="15">
        <v>4460</v>
      </c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46277.79185775463</v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 t="s">
        <v>130</v>
      </c>
      <c r="N31" s="15">
        <v>7566</v>
      </c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46277.79185775463</v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46277.79185775463</v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46277.79185775463</v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46277.79185775463</v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>
        <f ca="1">IF(Tabla1[[#This Row],['#]]&lt;&gt;"", NOW(), "")</f>
        <v>46277.79185775463</v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>
        <f ca="1">IF(Tabla1[[#This Row],['#]]&lt;&gt;"", NOW(), "")</f>
        <v>46277.79185775463</v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>
        <f ca="1">IF(Tabla1[[#This Row],['#]]&lt;&gt;"", NOW(), "")</f>
        <v>46277.79185775463</v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>
        <f ca="1">IF(Tabla1[[#This Row],['#]]&lt;&gt;"", NOW(), "")</f>
        <v>46277.79185775463</v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>
        <f ca="1">IF(Tabla1[[#This Row],['#]]&lt;&gt;"", NOW(), "")</f>
        <v>46277.79185775463</v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103"/>
  <sheetViews>
    <sheetView workbookViewId="0">
      <selection activeCell="D19" sqref="D1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1:18" ht="28.5" x14ac:dyDescent="0.45">
      <c r="C2" s="34" t="s">
        <v>127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1:18" ht="26.25" x14ac:dyDescent="0.4">
      <c r="G3" t="s">
        <v>7</v>
      </c>
      <c r="J3" s="1" t="s">
        <v>17</v>
      </c>
      <c r="K3" s="6">
        <f>SUM(Tabla113[Importa])</f>
        <v>1345.5</v>
      </c>
      <c r="M3" s="37" t="s">
        <v>6</v>
      </c>
      <c r="N3" s="37"/>
      <c r="O3" s="37"/>
      <c r="P3" s="37"/>
      <c r="Q3" s="37"/>
      <c r="R3" s="37"/>
    </row>
    <row r="4" spans="1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14</v>
      </c>
      <c r="M4" s="36" t="s">
        <v>163</v>
      </c>
      <c r="N4" s="36"/>
      <c r="O4" s="36"/>
      <c r="P4" s="36"/>
      <c r="Q4" s="36"/>
      <c r="R4" s="36"/>
    </row>
    <row r="5" spans="1:18" x14ac:dyDescent="0.25">
      <c r="B5" s="18">
        <f ca="1">IF(Tabla113[[#This Row],['#]]&lt;&gt;"", NOW(), "")</f>
        <v>46277.79185775463</v>
      </c>
      <c r="C5">
        <f t="shared" ref="C5:C68" si="0">IF(ISNUMBER(E5), IF(ISNUMBER(C4), C4+1, 1), "")</f>
        <v>1</v>
      </c>
      <c r="D5" t="s">
        <v>153</v>
      </c>
      <c r="E5">
        <v>1</v>
      </c>
      <c r="F5">
        <v>135</v>
      </c>
      <c r="G5" t="s">
        <v>32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121.5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1:18" ht="15" customHeight="1" x14ac:dyDescent="0.25">
      <c r="B6" s="18">
        <f ca="1">IF(Tabla1[[#This Row],['#]]&lt;&gt;"", NOW(), "")</f>
        <v>46277.79185775463</v>
      </c>
      <c r="C6">
        <f t="shared" si="0"/>
        <v>2</v>
      </c>
      <c r="D6" t="s">
        <v>154</v>
      </c>
      <c r="E6">
        <v>1</v>
      </c>
      <c r="F6">
        <v>27</v>
      </c>
      <c r="G6" t="s">
        <v>32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24.5</v>
      </c>
      <c r="J6" s="38"/>
      <c r="K6" s="38"/>
      <c r="M6" s="36"/>
      <c r="N6" s="36"/>
      <c r="O6" s="36"/>
      <c r="P6" s="36"/>
      <c r="Q6" s="36"/>
      <c r="R6" s="36"/>
    </row>
    <row r="7" spans="1:18" x14ac:dyDescent="0.25">
      <c r="B7" s="18">
        <f ca="1">IF(Tabla1[[#This Row],['#]]&lt;&gt;"", NOW(), "")</f>
        <v>46277.79185775463</v>
      </c>
      <c r="C7">
        <f t="shared" si="0"/>
        <v>3</v>
      </c>
      <c r="D7" t="s">
        <v>37</v>
      </c>
      <c r="E7">
        <v>30</v>
      </c>
      <c r="F7">
        <v>28.5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855</v>
      </c>
      <c r="J7" s="38"/>
      <c r="K7" s="38"/>
      <c r="M7" s="36"/>
      <c r="N7" s="36"/>
      <c r="O7" s="36"/>
      <c r="P7" s="36"/>
      <c r="Q7" s="36"/>
      <c r="R7" s="36"/>
    </row>
    <row r="8" spans="1:18" x14ac:dyDescent="0.25">
      <c r="B8" s="18">
        <f ca="1">IF(Tabla1[[#This Row],['#]]&lt;&gt;"", NOW(), "")</f>
        <v>46277.79185775463</v>
      </c>
      <c r="C8">
        <f t="shared" si="0"/>
        <v>4</v>
      </c>
      <c r="D8" t="s">
        <v>94</v>
      </c>
      <c r="E8">
        <v>1</v>
      </c>
      <c r="F8">
        <v>36</v>
      </c>
      <c r="G8" t="s">
        <v>32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32.5</v>
      </c>
      <c r="J8" s="38"/>
      <c r="K8" s="38"/>
      <c r="M8" s="36"/>
      <c r="N8" s="36"/>
      <c r="O8" s="36"/>
      <c r="P8" s="36"/>
      <c r="Q8" s="36"/>
      <c r="R8" s="36"/>
    </row>
    <row r="9" spans="1:18" x14ac:dyDescent="0.25">
      <c r="B9" s="18">
        <f ca="1">IF(Tabla1[[#This Row],['#]]&lt;&gt;"", NOW(), "")</f>
        <v>46277.79185775463</v>
      </c>
      <c r="C9">
        <f t="shared" si="0"/>
        <v>5</v>
      </c>
      <c r="D9" t="s">
        <v>155</v>
      </c>
      <c r="E9">
        <v>1</v>
      </c>
      <c r="F9">
        <v>15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15</v>
      </c>
      <c r="J9" s="38"/>
      <c r="K9" s="38"/>
      <c r="M9" s="36"/>
      <c r="N9" s="36"/>
      <c r="O9" s="36"/>
      <c r="P9" s="36"/>
      <c r="Q9" s="36"/>
      <c r="R9" s="36"/>
    </row>
    <row r="10" spans="1:18" x14ac:dyDescent="0.25">
      <c r="B10" s="18">
        <f ca="1">IF(Tabla1[[#This Row],['#]]&lt;&gt;"", NOW(), "")</f>
        <v>46277.79185775463</v>
      </c>
      <c r="C10">
        <f t="shared" si="0"/>
        <v>6</v>
      </c>
      <c r="D10" t="s">
        <v>37</v>
      </c>
      <c r="E10">
        <v>1</v>
      </c>
      <c r="F10">
        <v>15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15</v>
      </c>
      <c r="J10" s="38"/>
      <c r="K10" s="38"/>
      <c r="M10" s="36"/>
      <c r="N10" s="36"/>
      <c r="O10" s="36"/>
      <c r="P10" s="36"/>
      <c r="Q10" s="36"/>
      <c r="R10" s="36"/>
    </row>
    <row r="11" spans="1:18" x14ac:dyDescent="0.25">
      <c r="B11" s="18">
        <f ca="1">IF(Tabla1[[#This Row],['#]]&lt;&gt;"", NOW(), "")</f>
        <v>46277.79185775463</v>
      </c>
      <c r="C11">
        <f t="shared" si="0"/>
        <v>7</v>
      </c>
      <c r="D11" t="s">
        <v>156</v>
      </c>
      <c r="E11">
        <v>4</v>
      </c>
      <c r="F11">
        <v>4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16</v>
      </c>
      <c r="J11" s="38"/>
      <c r="K11" s="38"/>
      <c r="M11" s="36"/>
      <c r="N11" s="36"/>
      <c r="O11" s="36"/>
      <c r="P11" s="36"/>
      <c r="Q11" s="36"/>
      <c r="R11" s="36"/>
    </row>
    <row r="12" spans="1:18" x14ac:dyDescent="0.25">
      <c r="A12" t="s">
        <v>158</v>
      </c>
      <c r="B12" s="18">
        <f ca="1">IF(Tabla1[[#This Row],['#]]&lt;&gt;"", NOW(), "")</f>
        <v>46277.79185775463</v>
      </c>
      <c r="C12">
        <f t="shared" si="0"/>
        <v>8</v>
      </c>
      <c r="D12" t="s">
        <v>37</v>
      </c>
      <c r="E12">
        <v>1</v>
      </c>
      <c r="F12">
        <v>30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30</v>
      </c>
      <c r="J12" s="38"/>
      <c r="K12" s="38"/>
      <c r="M12" s="36"/>
      <c r="N12" s="36"/>
      <c r="O12" s="36"/>
      <c r="P12" s="36"/>
      <c r="Q12" s="36"/>
      <c r="R12" s="36"/>
    </row>
    <row r="13" spans="1:18" x14ac:dyDescent="0.25">
      <c r="B13" s="18">
        <f ca="1">IF(Tabla1[[#This Row],['#]]&lt;&gt;"", NOW(), "")</f>
        <v>46277.79185775463</v>
      </c>
      <c r="C13">
        <f t="shared" si="0"/>
        <v>9</v>
      </c>
      <c r="D13" t="s">
        <v>157</v>
      </c>
      <c r="E13">
        <v>1</v>
      </c>
      <c r="F13">
        <v>20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20</v>
      </c>
      <c r="J13" s="38"/>
      <c r="K13" s="38"/>
      <c r="M13" s="36"/>
      <c r="N13" s="36"/>
      <c r="O13" s="36"/>
      <c r="P13" s="36"/>
      <c r="Q13" s="36"/>
      <c r="R13" s="36"/>
    </row>
    <row r="14" spans="1:18" x14ac:dyDescent="0.25">
      <c r="B14" s="18">
        <f ca="1">IF(Tabla1[[#This Row],['#]]&lt;&gt;"", NOW(), "")</f>
        <v>46277.79185775463</v>
      </c>
      <c r="C14">
        <f t="shared" si="0"/>
        <v>10</v>
      </c>
      <c r="D14" t="s">
        <v>159</v>
      </c>
      <c r="E14">
        <v>1</v>
      </c>
      <c r="F14">
        <v>20</v>
      </c>
      <c r="G14" t="s">
        <v>32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18</v>
      </c>
      <c r="J14" s="38"/>
      <c r="K14" s="38"/>
      <c r="M14" s="36"/>
      <c r="N14" s="36"/>
      <c r="O14" s="36"/>
      <c r="P14" s="36"/>
      <c r="Q14" s="36"/>
      <c r="R14" s="36"/>
    </row>
    <row r="15" spans="1:18" x14ac:dyDescent="0.25">
      <c r="B15" s="18">
        <f ca="1">IF(Tabla1[[#This Row],['#]]&lt;&gt;"", NOW(), "")</f>
        <v>46277.79185775463</v>
      </c>
      <c r="C15">
        <f t="shared" si="0"/>
        <v>11</v>
      </c>
      <c r="D15" t="s">
        <v>160</v>
      </c>
      <c r="E15">
        <v>1</v>
      </c>
      <c r="F15">
        <v>70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70</v>
      </c>
      <c r="M15" s="36"/>
      <c r="N15" s="36"/>
      <c r="O15" s="36"/>
      <c r="P15" s="36"/>
      <c r="Q15" s="36"/>
      <c r="R15" s="36"/>
    </row>
    <row r="16" spans="1:18" x14ac:dyDescent="0.25">
      <c r="B16" s="18">
        <f ca="1">IF(Tabla1[[#This Row],['#]]&lt;&gt;"", NOW(), "")</f>
        <v>46277.79185775463</v>
      </c>
      <c r="C16">
        <f t="shared" si="0"/>
        <v>12</v>
      </c>
      <c r="D16" t="s">
        <v>161</v>
      </c>
      <c r="E16">
        <v>1</v>
      </c>
      <c r="F16">
        <v>28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28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46277.79185775463</v>
      </c>
      <c r="C17">
        <f t="shared" si="0"/>
        <v>13</v>
      </c>
      <c r="D17" t="s">
        <v>162</v>
      </c>
      <c r="E17">
        <v>1</v>
      </c>
      <c r="F17">
        <v>100</v>
      </c>
      <c r="G17" t="s">
        <v>32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90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46277.79185775463</v>
      </c>
      <c r="C18">
        <f t="shared" si="0"/>
        <v>14</v>
      </c>
      <c r="D18" t="s">
        <v>31</v>
      </c>
      <c r="E18">
        <v>2</v>
      </c>
      <c r="F18">
        <v>5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10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46277.79185775463</v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46277.79185775463</v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46277.79185775463</v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46277.79185775463</v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46277.79185775463</v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46277.79185775463</v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46277.79185775463</v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46277.79185775463</v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46277.79185775463</v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135</v>
      </c>
      <c r="N27" s="15">
        <v>3456</v>
      </c>
      <c r="O27" s="39" t="s">
        <v>136</v>
      </c>
      <c r="P27" s="40"/>
      <c r="Q27" s="40"/>
      <c r="R27" s="41"/>
    </row>
    <row r="28" spans="2:18" ht="15" customHeight="1" x14ac:dyDescent="0.25">
      <c r="B28" s="18">
        <f ca="1">IF(Tabla1[[#This Row],['#]]&lt;&gt;"", NOW(), "")</f>
        <v>46277.79185775463</v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90</v>
      </c>
      <c r="N28" s="15">
        <v>1440</v>
      </c>
      <c r="O28" s="39" t="s">
        <v>137</v>
      </c>
      <c r="P28" s="40"/>
      <c r="Q28" s="40"/>
      <c r="R28" s="41"/>
    </row>
    <row r="29" spans="2:18" ht="15" customHeight="1" x14ac:dyDescent="0.25">
      <c r="B29" s="18">
        <f ca="1">IF(Tabla1[[#This Row],['#]]&lt;&gt;"", NOW(), "")</f>
        <v>46277.79185775463</v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138</v>
      </c>
      <c r="N29" s="15">
        <v>1886</v>
      </c>
      <c r="O29" s="39" t="s">
        <v>139</v>
      </c>
      <c r="P29" s="40"/>
      <c r="Q29" s="40"/>
      <c r="R29" s="41"/>
    </row>
    <row r="30" spans="2:18" ht="15" customHeight="1" x14ac:dyDescent="0.25">
      <c r="B30" s="18">
        <f ca="1">IF(Tabla1[[#This Row],['#]]&lt;&gt;"", NOW(), "")</f>
        <v>46277.79185775463</v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140</v>
      </c>
      <c r="N30" s="15">
        <v>440</v>
      </c>
      <c r="O30" s="39" t="s">
        <v>139</v>
      </c>
      <c r="P30" s="40"/>
      <c r="Q30" s="40"/>
      <c r="R30" s="41"/>
    </row>
    <row r="31" spans="2:18" ht="15" customHeight="1" x14ac:dyDescent="0.25">
      <c r="B31" s="18">
        <f ca="1">IF(Tabla1[[#This Row],['#]]&lt;&gt;"", NOW(), "")</f>
        <v>46277.79185775463</v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141</v>
      </c>
      <c r="N31" s="15">
        <v>780</v>
      </c>
      <c r="O31" s="39" t="s">
        <v>139</v>
      </c>
      <c r="P31" s="40"/>
      <c r="Q31" s="40"/>
      <c r="R31" s="41"/>
    </row>
    <row r="32" spans="2:18" ht="15" customHeight="1" x14ac:dyDescent="0.25">
      <c r="B32" s="18">
        <f ca="1">IF(Tabla1[[#This Row],['#]]&lt;&gt;"", NOW(), "")</f>
        <v>46277.79185775463</v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129</v>
      </c>
      <c r="N32" s="15">
        <v>4460</v>
      </c>
      <c r="O32" s="39" t="s">
        <v>139</v>
      </c>
      <c r="P32" s="40"/>
      <c r="Q32" s="40"/>
      <c r="R32" s="41"/>
    </row>
    <row r="33" spans="2:18" ht="15" customHeight="1" x14ac:dyDescent="0.25">
      <c r="B33" s="18">
        <f ca="1">IF(Tabla1[[#This Row],['#]]&lt;&gt;"", NOW(), "")</f>
        <v>46277.79185775463</v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142</v>
      </c>
      <c r="N33" s="15">
        <v>1500</v>
      </c>
      <c r="O33" s="39" t="s">
        <v>143</v>
      </c>
      <c r="P33" s="40"/>
      <c r="Q33" s="40"/>
      <c r="R33" s="41"/>
    </row>
    <row r="34" spans="2:18" ht="15" customHeight="1" x14ac:dyDescent="0.25">
      <c r="B34" s="18">
        <f ca="1">IF(Tabla1[[#This Row],['#]]&lt;&gt;"", NOW(), "")</f>
        <v>46277.79185775463</v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 t="s">
        <v>130</v>
      </c>
      <c r="N34" s="15">
        <v>13962</v>
      </c>
      <c r="O34" s="39" t="s">
        <v>146</v>
      </c>
      <c r="P34" s="40"/>
      <c r="Q34" s="40"/>
      <c r="R34" s="41"/>
    </row>
    <row r="35" spans="2:18" ht="15" customHeight="1" x14ac:dyDescent="0.25">
      <c r="B35" s="18">
        <f ca="1">IF(Tabla1[[#This Row],['#]]&lt;&gt;"", NOW(), "")</f>
        <v>46277.79185775463</v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>
        <f ca="1">IF(Tabla1[[#This Row],['#]]&lt;&gt;"", NOW(), "")</f>
        <v>46277.79185775463</v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>
        <f ca="1">IF(Tabla1[[#This Row],['#]]&lt;&gt;"", NOW(), "")</f>
        <v>46277.79185775463</v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>
        <f ca="1">IF(Tabla1[[#This Row],['#]]&lt;&gt;"", NOW(), "")</f>
        <v>46277.79185775463</v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>
        <f ca="1">IF(Tabla1[[#This Row],['#]]&lt;&gt;"", NOW(), "")</f>
        <v>46277.79185775463</v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>
        <f ca="1">IF(Tabla1[[#This Row],['#]]&lt;&gt;"", NOW(), "")</f>
        <v>46277.79185775463</v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2" sqref="D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164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1755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17</v>
      </c>
      <c r="M4" s="36" t="s">
        <v>179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46277.79185775463</v>
      </c>
      <c r="C5">
        <f t="shared" ref="C5:C68" si="0">IF(ISNUMBER(E5), IF(ISNUMBER(C4), C4+1, 1), "")</f>
        <v>1</v>
      </c>
      <c r="D5" t="s">
        <v>165</v>
      </c>
      <c r="E5">
        <v>1</v>
      </c>
      <c r="F5">
        <v>420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420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46277.79185775463</v>
      </c>
      <c r="C6">
        <f t="shared" si="0"/>
        <v>2</v>
      </c>
      <c r="D6" t="s">
        <v>165</v>
      </c>
      <c r="E6">
        <v>1</v>
      </c>
      <c r="F6">
        <v>420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420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46277.79185775463</v>
      </c>
      <c r="C7">
        <f t="shared" si="0"/>
        <v>3</v>
      </c>
      <c r="D7" t="s">
        <v>166</v>
      </c>
      <c r="E7">
        <v>1</v>
      </c>
      <c r="F7">
        <v>45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45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46277.79185775463</v>
      </c>
      <c r="C8">
        <f t="shared" si="0"/>
        <v>4</v>
      </c>
      <c r="D8" t="s">
        <v>167</v>
      </c>
      <c r="E8">
        <v>1</v>
      </c>
      <c r="F8">
        <v>70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70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46277.79185775463</v>
      </c>
      <c r="C9">
        <f t="shared" si="0"/>
        <v>5</v>
      </c>
      <c r="D9" t="s">
        <v>77</v>
      </c>
      <c r="E9">
        <v>1</v>
      </c>
      <c r="F9">
        <v>50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50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46277.79185775463</v>
      </c>
      <c r="C10">
        <f t="shared" si="0"/>
        <v>6</v>
      </c>
      <c r="D10" t="s">
        <v>168</v>
      </c>
      <c r="E10">
        <v>1</v>
      </c>
      <c r="F10">
        <v>10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10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46277.79185775463</v>
      </c>
      <c r="C11">
        <f t="shared" si="0"/>
        <v>7</v>
      </c>
      <c r="D11" t="s">
        <v>169</v>
      </c>
      <c r="E11">
        <v>1</v>
      </c>
      <c r="F11">
        <v>70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70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46277.79185775463</v>
      </c>
      <c r="C12">
        <f t="shared" si="0"/>
        <v>8</v>
      </c>
      <c r="D12" t="s">
        <v>170</v>
      </c>
      <c r="E12">
        <v>1</v>
      </c>
      <c r="F12">
        <v>126</v>
      </c>
      <c r="G12" t="s">
        <v>32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113.5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46277.79185775463</v>
      </c>
      <c r="C13">
        <f t="shared" si="0"/>
        <v>9</v>
      </c>
      <c r="D13" t="s">
        <v>171</v>
      </c>
      <c r="E13">
        <v>1</v>
      </c>
      <c r="F13">
        <v>6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6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46277.79185775463</v>
      </c>
      <c r="C14">
        <f t="shared" si="0"/>
        <v>10</v>
      </c>
      <c r="D14" t="s">
        <v>172</v>
      </c>
      <c r="E14">
        <v>1</v>
      </c>
      <c r="F14">
        <v>130</v>
      </c>
      <c r="G14" t="s">
        <v>32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117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46277.79185775463</v>
      </c>
      <c r="C15">
        <f t="shared" si="0"/>
        <v>11</v>
      </c>
      <c r="D15" t="s">
        <v>173</v>
      </c>
      <c r="E15">
        <v>1</v>
      </c>
      <c r="F15">
        <v>15</v>
      </c>
      <c r="G15" t="s">
        <v>32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13.5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46277.79185775463</v>
      </c>
      <c r="C16">
        <f t="shared" si="0"/>
        <v>12</v>
      </c>
      <c r="D16" t="s">
        <v>174</v>
      </c>
      <c r="E16">
        <v>1</v>
      </c>
      <c r="F16">
        <v>80</v>
      </c>
      <c r="G16" t="s">
        <v>32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72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46277.79185775463</v>
      </c>
      <c r="C17">
        <f t="shared" si="0"/>
        <v>13</v>
      </c>
      <c r="D17" t="s">
        <v>175</v>
      </c>
      <c r="E17">
        <v>1</v>
      </c>
      <c r="F17">
        <v>48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48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46277.79185775463</v>
      </c>
      <c r="C18">
        <f t="shared" si="0"/>
        <v>14</v>
      </c>
      <c r="D18" t="s">
        <v>176</v>
      </c>
      <c r="E18">
        <v>1</v>
      </c>
      <c r="F18">
        <v>40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40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46277.79185775463</v>
      </c>
      <c r="C19">
        <f t="shared" si="0"/>
        <v>15</v>
      </c>
      <c r="D19" t="s">
        <v>31</v>
      </c>
      <c r="E19">
        <v>1</v>
      </c>
      <c r="F19">
        <v>5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46277.79185775463</v>
      </c>
      <c r="C20">
        <f t="shared" si="0"/>
        <v>16</v>
      </c>
      <c r="D20" t="s">
        <v>177</v>
      </c>
      <c r="E20">
        <v>1</v>
      </c>
      <c r="F20">
        <v>180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180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46277.79185775463</v>
      </c>
      <c r="C21">
        <f t="shared" si="0"/>
        <v>17</v>
      </c>
      <c r="D21" t="s">
        <v>178</v>
      </c>
      <c r="E21">
        <v>1</v>
      </c>
      <c r="F21">
        <v>75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75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46277.79185775463</v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46277.79185775463</v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46277.79185775463</v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46277.79185775463</v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46277.79185775463</v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46277.79185775463</v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46277.79185775463</v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46277.79185775463</v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46277.79185775463</v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46277.79185775463</v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46277.79185775463</v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46277.79185775463</v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46277.79185775463</v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46277.79185775463</v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>
        <f ca="1">IF(Tabla1[[#This Row],['#]]&lt;&gt;"", NOW(), "")</f>
        <v>46277.79185775463</v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>
        <f ca="1">IF(Tabla1[[#This Row],['#]]&lt;&gt;"", NOW(), "")</f>
        <v>46277.79185775463</v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>
        <f ca="1">IF(Tabla1[[#This Row],['#]]&lt;&gt;"", NOW(), "")</f>
        <v>46277.79185775463</v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>
        <f ca="1">IF(Tabla1[[#This Row],['#]]&lt;&gt;"", NOW(), "")</f>
        <v>46277.79185775463</v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>
        <f ca="1">IF(Tabla1[[#This Row],['#]]&lt;&gt;"", NOW(), "")</f>
        <v>46277.79185775463</v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46277.79185775463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46277.79185775463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46277.79185775463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46277.79185775463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46277.79185775463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46277.79185775463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46277.79185775463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46277.79185775463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46277.79185775463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46277.79185775463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46277.79185775463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46277.79185775463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46277.79185775463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46277.79185775463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46277.79185775463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46277.79185775463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46277.79185775463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46277.79185775463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46277.79185775463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46277.79185775463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46277.79185775463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46277.79185775463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46277.79185775463</v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46277.79185775463</v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46277.79185775463</v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46277.79185775463</v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46277.79185775463</v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46277.79185775463</v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46277.79185775463</v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46277.79185775463</v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>
        <f ca="1">IF(Tabla1[[#This Row],['#]]&lt;&gt;"", NOW(), "")</f>
        <v>46277.79185775463</v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>
        <f ca="1">IF(Tabla1[[#This Row],['#]]&lt;&gt;"", NOW(), "")</f>
        <v>46277.79185775463</v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>
        <f ca="1">IF(Tabla1[[#This Row],['#]]&lt;&gt;"", NOW(), "")</f>
        <v>46277.79185775463</v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>
        <f ca="1">IF(Tabla1[[#This Row],['#]]&lt;&gt;"", NOW(), "")</f>
        <v>46277.79185775463</v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>
        <f ca="1">IF(Tabla1[[#This Row],['#]]&lt;&gt;"", NOW(), "")</f>
        <v>46277.79185775463</v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07-09-26</vt:lpstr>
      <vt:lpstr>Martes 08-09-26</vt:lpstr>
      <vt:lpstr>Miercoles 09-09-26</vt:lpstr>
      <vt:lpstr>Jueves 10-09-26</vt:lpstr>
      <vt:lpstr>Viernes 10-09-26</vt:lpstr>
      <vt:lpstr>Sabado 12-09-26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2026-09-13T01:03:59Z</dcterms:modified>
</cp:coreProperties>
</file>