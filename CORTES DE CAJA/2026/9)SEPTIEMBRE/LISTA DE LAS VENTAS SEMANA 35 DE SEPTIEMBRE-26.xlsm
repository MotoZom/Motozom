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C720792B-C5E6-4F11-9AD5-7DA52BE35EA8}" xr6:coauthVersionLast="47" xr6:coauthVersionMax="47" xr10:uidLastSave="{00000000-0000-0000-0000-000000000000}"/>
  <bookViews>
    <workbookView xWindow="-120" yWindow="-120" windowWidth="29040" windowHeight="17640" activeTab="5" xr2:uid="{00000000-000D-0000-FFFF-FFFF00000000}"/>
  </bookViews>
  <sheets>
    <sheet name="Lunes 21-09-26" sheetId="1" r:id="rId1"/>
    <sheet name="Martes 22-09-26" sheetId="2" r:id="rId2"/>
    <sheet name="Miercoles 22-09-26" sheetId="3" r:id="rId3"/>
    <sheet name="JUEVES 24-09-26" sheetId="4" r:id="rId4"/>
    <sheet name="Viernes 25-09-26" sheetId="5" r:id="rId5"/>
    <sheet name="Sabado 26-09-26" sheetId="6" r:id="rId6"/>
    <sheet name="Domingo" sheetId="8" r:id="rId7"/>
    <sheet name="Cambios" sheetId="7" r:id="rId8"/>
  </sheets>
  <definedNames>
    <definedName name="_xlnm._FilterDatabase" localSheetId="0" hidden="1">'Lunes 21-09-26'!$B$4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8" l="1"/>
  <c r="K20" i="8" s="1"/>
  <c r="K18" i="6"/>
  <c r="K20" i="6" s="1"/>
  <c r="K18" i="5"/>
  <c r="K20" i="5" s="1"/>
  <c r="K18" i="4"/>
  <c r="K20" i="4" s="1"/>
  <c r="K18" i="3"/>
  <c r="K20" i="3" s="1"/>
  <c r="K18" i="2"/>
  <c r="K20" i="2" s="1"/>
  <c r="K18" i="1" l="1"/>
  <c r="K20" i="1" s="1"/>
  <c r="C5" i="3" l="1"/>
  <c r="H5" i="2"/>
  <c r="H7" i="1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5" i="1"/>
  <c r="H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C5" i="1" l="1"/>
  <c r="C5" i="2"/>
  <c r="C6" i="2"/>
  <c r="C6" i="3"/>
  <c r="C7" i="3"/>
  <c r="C5" i="4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K3" i="8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K3" i="5"/>
  <c r="C5" i="5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15" i="2"/>
  <c r="C16" i="2" s="1"/>
  <c r="C17" i="2" s="1"/>
  <c r="C18" i="2" s="1"/>
  <c r="C19" i="2" s="1"/>
  <c r="C20" i="2" s="1"/>
  <c r="C21" i="2" s="1"/>
  <c r="C22" i="2" s="1"/>
  <c r="C14" i="2"/>
  <c r="C13" i="2"/>
  <c r="C12" i="2"/>
  <c r="C11" i="2"/>
  <c r="C10" i="2"/>
  <c r="C9" i="2"/>
  <c r="C8" i="2"/>
  <c r="C7" i="2"/>
  <c r="C6" i="1"/>
  <c r="C7" i="1"/>
  <c r="C8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K4" i="8" l="1"/>
  <c r="K4" i="4"/>
  <c r="C9" i="1"/>
  <c r="K3" i="2"/>
  <c r="K4" i="2"/>
  <c r="K3" i="6"/>
  <c r="K4" i="5"/>
  <c r="K3" i="4"/>
  <c r="K3" i="3"/>
  <c r="K4" i="3"/>
  <c r="K4" i="6"/>
  <c r="K12" i="2" l="1"/>
  <c r="K10" i="2"/>
  <c r="K10" i="5"/>
  <c r="K12" i="5"/>
  <c r="K12" i="6"/>
  <c r="K10" i="6"/>
  <c r="K12" i="4"/>
  <c r="K10" i="4"/>
  <c r="K10" i="3"/>
  <c r="K12" i="3"/>
  <c r="K12" i="8"/>
  <c r="K10" i="8"/>
  <c r="C10" i="1"/>
  <c r="C11" i="1" s="1"/>
  <c r="K3" i="1"/>
  <c r="K4" i="1" l="1"/>
  <c r="K10" i="1" l="1"/>
  <c r="K12" i="1"/>
</calcChain>
</file>

<file path=xl/sharedStrings.xml><?xml version="1.0" encoding="utf-8"?>
<sst xmlns="http://schemas.openxmlformats.org/spreadsheetml/2006/main" count="319" uniqueCount="119">
  <si>
    <t>Producto</t>
  </si>
  <si>
    <t>Cantidad</t>
  </si>
  <si>
    <t>Precio</t>
  </si>
  <si>
    <t>Descuento</t>
  </si>
  <si>
    <t>Importa</t>
  </si>
  <si>
    <t>Lunes 01-02-03</t>
  </si>
  <si>
    <t>Notas del dia</t>
  </si>
  <si>
    <t>Para dar un salto de linea presionar alt. + enter</t>
  </si>
  <si>
    <t>Colocar x si descuento</t>
  </si>
  <si>
    <t>Cambio</t>
  </si>
  <si>
    <t>Fecha</t>
  </si>
  <si>
    <t>version</t>
  </si>
  <si>
    <r>
      <t>Nota:</t>
    </r>
    <r>
      <rPr>
        <sz val="11"/>
        <color rgb="FFFF0000"/>
        <rFont val="Calibri"/>
        <family val="2"/>
        <scheme val="minor"/>
      </rPr>
      <t xml:space="preserve"> Si hay descuento es </t>
    </r>
    <r>
      <rPr>
        <b/>
        <sz val="11"/>
        <color rgb="FFFF0000"/>
        <rFont val="Calibri"/>
        <family val="2"/>
        <scheme val="minor"/>
      </rPr>
      <t>importante escribir</t>
    </r>
    <r>
      <rPr>
        <sz val="11"/>
        <color rgb="FFFF0000"/>
        <rFont val="Calibri"/>
        <family val="2"/>
        <scheme val="minor"/>
      </rPr>
      <t xml:space="preserve"> si el articulo </t>
    </r>
    <r>
      <rPr>
        <b/>
        <sz val="11"/>
        <color rgb="FFFF0000"/>
        <rFont val="Calibri"/>
        <family val="2"/>
        <scheme val="minor"/>
      </rPr>
      <t>es aceite</t>
    </r>
    <r>
      <rPr>
        <sz val="11"/>
        <color rgb="FFFF0000"/>
        <rFont val="Calibri"/>
        <family val="2"/>
        <scheme val="minor"/>
      </rPr>
      <t xml:space="preserve">, para aplicar un descuento de </t>
    </r>
    <r>
      <rPr>
        <b/>
        <sz val="11"/>
        <color rgb="FFFF0000"/>
        <rFont val="Calibri"/>
        <family val="2"/>
        <scheme val="minor"/>
      </rPr>
      <t>solo el 5%</t>
    </r>
  </si>
  <si>
    <t>Cambio en la formula de descuento para solo dar el 5% de descuento cuando se trata de aceites</t>
  </si>
  <si>
    <t>16/11/2024</t>
  </si>
  <si>
    <t>Domingo 01-02-03</t>
  </si>
  <si>
    <t>#</t>
  </si>
  <si>
    <t>• Se aplicaron funciones de redondeo
• Corrección de formatos para la venta total en todas las pestañas
• Se agrego una nueva columna para el numero de articulos</t>
  </si>
  <si>
    <t>Venta Total:</t>
  </si>
  <si>
    <t>Num. 
Productos:</t>
  </si>
  <si>
    <t>Egresos</t>
  </si>
  <si>
    <t>Egreso</t>
  </si>
  <si>
    <t>Costo</t>
  </si>
  <si>
    <t>Comentarios</t>
  </si>
  <si>
    <t>Hora</t>
  </si>
  <si>
    <t>• Se agrego una nueva tabla para los egresos
• Nueva columna automatica para la colocar la hora de la venta</t>
  </si>
  <si>
    <t>Total en 
caja:</t>
  </si>
  <si>
    <t xml:space="preserve">Total de 
egresos: </t>
  </si>
  <si>
    <t>16/09/2026</t>
  </si>
  <si>
    <t>Resta en 
caja:</t>
  </si>
  <si>
    <r>
      <t>Nota:</t>
    </r>
    <r>
      <rPr>
        <sz val="11"/>
        <color rgb="FFFF0000"/>
        <rFont val="Calibri"/>
        <family val="2"/>
        <scheme val="minor"/>
      </rPr>
      <t xml:space="preserve"> Si hay descuento es </t>
    </r>
    <r>
      <rPr>
        <b/>
        <sz val="11"/>
        <color rgb="FFFF0000"/>
        <rFont val="Calibri"/>
        <family val="2"/>
        <scheme val="minor"/>
      </rPr>
      <t>importante escribir</t>
    </r>
    <r>
      <rPr>
        <sz val="11"/>
        <color rgb="FFFF0000"/>
        <rFont val="Calibri"/>
        <family val="2"/>
        <scheme val="minor"/>
      </rPr>
      <t xml:space="preserve"> si el articulo </t>
    </r>
    <r>
      <rPr>
        <b/>
        <sz val="11"/>
        <color rgb="FFFF0000"/>
        <rFont val="Calibri"/>
        <family val="2"/>
        <scheme val="minor"/>
      </rPr>
      <t xml:space="preserve">es </t>
    </r>
    <r>
      <rPr>
        <b/>
        <u/>
        <sz val="11"/>
        <color rgb="FFFF0000"/>
        <rFont val="Calibri"/>
        <family val="2"/>
        <scheme val="minor"/>
      </rPr>
      <t>aceite</t>
    </r>
    <r>
      <rPr>
        <sz val="11"/>
        <color rgb="FFFF0000"/>
        <rFont val="Calibri"/>
        <family val="2"/>
        <scheme val="minor"/>
      </rPr>
      <t xml:space="preserve">, para aplicar un descuento de </t>
    </r>
    <r>
      <rPr>
        <b/>
        <sz val="11"/>
        <color rgb="FFFF0000"/>
        <rFont val="Calibri"/>
        <family val="2"/>
        <scheme val="minor"/>
      </rPr>
      <t>solo el 5%</t>
    </r>
  </si>
  <si>
    <r>
      <rPr>
        <b/>
        <sz val="11"/>
        <color theme="1"/>
        <rFont val="Calibri"/>
        <family val="2"/>
        <scheme val="minor"/>
      </rPr>
      <t>%</t>
    </r>
    <r>
      <rPr>
        <sz val="11"/>
        <color theme="1"/>
        <rFont val="Calibri"/>
        <family val="2"/>
        <scheme val="minor"/>
      </rPr>
      <t xml:space="preserve"> de venta a
mecanicos</t>
    </r>
  </si>
  <si>
    <r>
      <rPr>
        <b/>
        <sz val="11"/>
        <color theme="1"/>
        <rFont val="Calibri"/>
        <family val="2"/>
        <scheme val="minor"/>
      </rPr>
      <t>%</t>
    </r>
    <r>
      <rPr>
        <sz val="11"/>
        <color theme="1"/>
        <rFont val="Calibri"/>
        <family val="2"/>
        <scheme val="minor"/>
      </rPr>
      <t xml:space="preserve"> de venta
normal</t>
    </r>
  </si>
  <si>
    <t>• Se agrego:
    ○ Celdas con los porcentajes de venta publico normal y mecanicos
    ○ Calculo para restar los egresos del dia del todal de caja.
• Se corrigio:
    ○ El error en la hora de la venta.
    ○ Tabla de egresos, ahora es uniforme en todas las hojas (estetico)</t>
  </si>
  <si>
    <t>CHICOTE DE ACELRADOR FT125</t>
  </si>
  <si>
    <t xml:space="preserve">SENSOR DE CLUTH </t>
  </si>
  <si>
    <t>ROLLO</t>
  </si>
  <si>
    <t>ESPEJOS DE LA 150Z WAPEMEX</t>
  </si>
  <si>
    <t>X</t>
  </si>
  <si>
    <t>SALPICADERA DELANTERA FT150</t>
  </si>
  <si>
    <t>BALATA DE TAMBOR FT150</t>
  </si>
  <si>
    <t>CAMARA 110-90-16</t>
  </si>
  <si>
    <t>KID DE CILINDRO DS150 WAPEMEX</t>
  </si>
  <si>
    <t xml:space="preserve">TUERCA </t>
  </si>
  <si>
    <t>ACEITE REPSOL</t>
  </si>
  <si>
    <t>STIKER</t>
  </si>
  <si>
    <t>Martes 22 DE SEPTIEMBRE-26</t>
  </si>
  <si>
    <t>ESTATOR DE FZ16</t>
  </si>
  <si>
    <t>ACEITE YAMALUBE</t>
  </si>
  <si>
    <t>FILTRO DE ACEI FZ16</t>
  </si>
  <si>
    <t xml:space="preserve">JUNTA DE ESTATOR </t>
  </si>
  <si>
    <t xml:space="preserve">PILA YTX5 BL ALESSIA </t>
  </si>
  <si>
    <t>ACEITE AKRON</t>
  </si>
  <si>
    <t>BUJIA D8</t>
  </si>
  <si>
    <t>FILTRO DE AIRE DM200</t>
  </si>
  <si>
    <t>FILTRO DE GASOLINA CARTON</t>
  </si>
  <si>
    <t>PILA 12N7 3B</t>
  </si>
  <si>
    <t xml:space="preserve">ACEITE AKRON </t>
  </si>
  <si>
    <t xml:space="preserve">PEDIDO </t>
  </si>
  <si>
    <t xml:space="preserve">CDI DE MOTONETA </t>
  </si>
  <si>
    <t>FILTRO DE FT150 SPONJA</t>
  </si>
  <si>
    <t>Miercoles 22 DE SEPTIEMBRE-26</t>
  </si>
  <si>
    <t>SWITH DE FT180</t>
  </si>
  <si>
    <t>PUÑOS AZULES UNIVERS</t>
  </si>
  <si>
    <t>ACEITE DIKAL</t>
  </si>
  <si>
    <t>BANDA 743-20-30</t>
  </si>
  <si>
    <t xml:space="preserve">RODILLO DE CENTRIFUJO </t>
  </si>
  <si>
    <t>RESBALON DE CENTRIFUJO</t>
  </si>
  <si>
    <t>POSAPIE DELANTERO FZ16</t>
  </si>
  <si>
    <t>AJUSTADOR DE CADENA DMN200</t>
  </si>
  <si>
    <t>PILA DE MOTONETA DS150 WAPEMEX</t>
  </si>
  <si>
    <t>TAPAS DE DS150</t>
  </si>
  <si>
    <t>ESPEJOS DE 170Z</t>
  </si>
  <si>
    <t xml:space="preserve">PILA QLINK 6.5 </t>
  </si>
  <si>
    <t>JUNTA DE TAPA DS150</t>
  </si>
  <si>
    <t xml:space="preserve">MANGUERA DE GASOLINA </t>
  </si>
  <si>
    <t>FOCO DE STOP</t>
  </si>
  <si>
    <t>TIRA LED</t>
  </si>
  <si>
    <t>MANIJA IZQUIERDA DM150</t>
  </si>
  <si>
    <t xml:space="preserve">PEDIDO ALESSIA </t>
  </si>
  <si>
    <t>STIKEER</t>
  </si>
  <si>
    <t>LLANTA 90-90-19</t>
  </si>
  <si>
    <t>Jueves 24 DE SEPTIEMBRE-26</t>
  </si>
  <si>
    <t>Viernes 25 DE SEPTIEMBRE-26</t>
  </si>
  <si>
    <t>SELLO DE ESCAPE DS150</t>
  </si>
  <si>
    <t>EMPAQUED DE MOTOR FT150</t>
  </si>
  <si>
    <t xml:space="preserve">ABRAZADERA DE MANGUERA </t>
  </si>
  <si>
    <t>GOMAS DE TANQUE</t>
  </si>
  <si>
    <t xml:space="preserve">LUBRICANTE DE CADENA </t>
  </si>
  <si>
    <t>ESPEJOS DE ALERON</t>
  </si>
  <si>
    <t>BUJES DE PLASTICO</t>
  </si>
  <si>
    <t>BIRLOS FT 150</t>
  </si>
  <si>
    <t>ESTAOR DE GTS175</t>
  </si>
  <si>
    <t>BUJIA C9</t>
  </si>
  <si>
    <t xml:space="preserve">PEDIDO NASAKI </t>
  </si>
  <si>
    <t>MARTES 22 DE SEPTIEMBRE-26</t>
  </si>
  <si>
    <t>MIERCOLES 23 DE SEPTIEMBRE-26</t>
  </si>
  <si>
    <t>2 COSTALES DE CAMARA ALESIA</t>
  </si>
  <si>
    <t>VIERNES 25 DE SEPTIEMBRE-26</t>
  </si>
  <si>
    <t xml:space="preserve">PAGO DE YAS </t>
  </si>
  <si>
    <t>ESPEJOS GT175</t>
  </si>
  <si>
    <t>CALIPER TRASERO DE DM200</t>
  </si>
  <si>
    <t>AMORTIGUADOR DE FT150</t>
  </si>
  <si>
    <t xml:space="preserve">AUMENTO DE AMORTIGUADOR </t>
  </si>
  <si>
    <t>BONBA DE FRENO TRASERA UNIVERSAL</t>
  </si>
  <si>
    <t>JUNTAS DE CABEZA DM200</t>
  </si>
  <si>
    <r>
      <rPr>
        <b/>
        <sz val="14"/>
        <color theme="1"/>
        <rFont val="Calibri"/>
        <family val="2"/>
        <scheme val="minor"/>
      </rPr>
      <t xml:space="preserve">CORTES DE LA SEMANA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LUNES 21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$2042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MARTES 22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$ 2554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MIERCOLES 23 DE SEPTIEMBRE 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$2847.5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 xml:space="preserve">JUEVES 24 DE SEPTIEMBRE -26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$626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VIERNES 25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$2357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8"/>
        <color theme="1"/>
        <rFont val="Calibri"/>
        <family val="2"/>
        <scheme val="minor"/>
      </rPr>
      <t>TOTAL $10426</t>
    </r>
  </si>
  <si>
    <t>Sabado 26 DE SEPTIEMBRE-26</t>
  </si>
  <si>
    <t xml:space="preserve">BALATA DE  CROXMAX TRASERA </t>
  </si>
  <si>
    <t>LLANTA 130-90-10</t>
  </si>
  <si>
    <t>FILTRO DE AIRE WS150</t>
  </si>
  <si>
    <t>BUJIA C7</t>
  </si>
  <si>
    <t xml:space="preserve">PROTECTOR DE CAMBIOS </t>
  </si>
  <si>
    <t>STIIKER</t>
  </si>
  <si>
    <t>FOCO ANTIGOLPE LED</t>
  </si>
  <si>
    <t>GOMA DE CALIPER ATV</t>
  </si>
  <si>
    <t xml:space="preserve">MANGUERA DE FRENO UNIVERSAL </t>
  </si>
  <si>
    <t xml:space="preserve">FUSIBLES </t>
  </si>
  <si>
    <t xml:space="preserve">ESPEJOS DE ALERON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</si>
</sst>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[$-409]h:mm\ AM/PM;@"/>
    <numFmt numFmtId="168" formatCode="_-[$$-80A]* #,##0.0_-;\-[$$-80A]* #,##0.0_-;_-[$$-80A]* &quot;-&quot;??_-;_-@_-"/>
  </numFmts>
  <fonts count="17" x14ac:knownFonts="1">
    <font>
      <sz val="11"/>
      <color theme="1"/>
      <name val="Calibri"/>
      <family val="2"/>
      <scheme val="minor"/>
    </font>
    <font>
      <sz val="22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7" fillId="0" borderId="0" applyFont="0" applyFill="0" applyBorder="0" applyAlignment="0" applyProtection="0"/>
    <xf numFmtId="0" fontId="7" fillId="5" borderId="0" applyNumberFormat="0" applyBorder="0" applyAlignment="0" applyProtection="0"/>
    <xf numFmtId="9" fontId="7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165" fontId="0" fillId="0" borderId="0" xfId="0" applyNumberFormat="1"/>
    <xf numFmtId="166" fontId="3" fillId="0" borderId="0" xfId="0" applyNumberFormat="1" applyFont="1"/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/>
    <xf numFmtId="0" fontId="0" fillId="2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167" fontId="0" fillId="0" borderId="0" xfId="0" applyNumberFormat="1"/>
    <xf numFmtId="167" fontId="8" fillId="6" borderId="1" xfId="0" applyNumberFormat="1" applyFont="1" applyFill="1" applyBorder="1"/>
    <xf numFmtId="167" fontId="7" fillId="5" borderId="1" xfId="2" applyNumberFormat="1" applyBorder="1"/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left" vertical="top" wrapText="1"/>
    </xf>
    <xf numFmtId="0" fontId="0" fillId="3" borderId="0" xfId="0" applyFill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68" fontId="10" fillId="0" borderId="11" xfId="1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/>
    </xf>
    <xf numFmtId="168" fontId="10" fillId="0" borderId="0" xfId="3" applyNumberFormat="1" applyFont="1" applyAlignment="1">
      <alignment horizontal="center" vertical="center"/>
    </xf>
    <xf numFmtId="0" fontId="0" fillId="8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168" fontId="11" fillId="0" borderId="0" xfId="3" applyNumberFormat="1" applyFont="1" applyAlignment="1">
      <alignment horizontal="center"/>
    </xf>
    <xf numFmtId="0" fontId="0" fillId="0" borderId="0" xfId="0" applyAlignment="1">
      <alignment horizontal="center" vertical="top" wrapText="1"/>
    </xf>
    <xf numFmtId="0" fontId="12" fillId="6" borderId="2" xfId="0" applyFont="1" applyFill="1" applyBorder="1" applyAlignment="1">
      <alignment horizontal="center" wrapText="1"/>
    </xf>
    <xf numFmtId="0" fontId="8" fillId="6" borderId="2" xfId="0" applyFont="1" applyFill="1" applyBorder="1" applyAlignment="1">
      <alignment horizontal="center"/>
    </xf>
    <xf numFmtId="9" fontId="14" fillId="0" borderId="2" xfId="3" applyFont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4" borderId="2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top" wrapText="1"/>
    </xf>
    <xf numFmtId="0" fontId="0" fillId="4" borderId="8" xfId="0" applyFill="1" applyBorder="1" applyAlignment="1">
      <alignment horizontal="center" vertical="top" wrapText="1"/>
    </xf>
    <xf numFmtId="0" fontId="0" fillId="4" borderId="9" xfId="0" applyFill="1" applyBorder="1" applyAlignment="1">
      <alignment horizontal="center" vertical="top" wrapText="1"/>
    </xf>
    <xf numFmtId="0" fontId="0" fillId="4" borderId="10" xfId="0" applyFill="1" applyBorder="1" applyAlignment="1">
      <alignment horizontal="center" vertical="top" wrapText="1"/>
    </xf>
  </cellXfs>
  <cellStyles count="4">
    <cellStyle name="20% - Énfasis1" xfId="2" builtinId="30"/>
    <cellStyle name="Moneda" xfId="1" builtinId="4"/>
    <cellStyle name="Normal" xfId="0" builtinId="0"/>
    <cellStyle name="Porcentaje" xfId="3" builtinId="5"/>
  </cellStyles>
  <dxfs count="28"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291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4:H103" totalsRowShown="0">
  <autoFilter ref="C4:H103" xr:uid="{00000000-0009-0000-0100-000001000000}"/>
  <tableColumns count="6">
    <tableColumn id="1" xr3:uid="{00000000-0010-0000-0000-000001000000}" name="#" dataDxfId="25">
      <calculatedColumnFormula>IF(ISNUMBER(E5), IF(ISNUMBER(C4), C4+1, 1), "")</calculatedColumnFormula>
    </tableColumn>
    <tableColumn id="6" xr3:uid="{00000000-0010-0000-0000-000006000000}" name="Producto"/>
    <tableColumn id="2" xr3:uid="{00000000-0010-0000-0000-000002000000}" name="Cantidad"/>
    <tableColumn id="3" xr3:uid="{00000000-0010-0000-0000-000003000000}" name="Precio"/>
    <tableColumn id="4" xr3:uid="{00000000-0010-0000-0000-000004000000}" name="Descuento"/>
    <tableColumn id="5" xr3:uid="{00000000-0010-0000-0000-000005000000}" name="Importa" dataDxfId="24">
      <calculatedColumnFormula>IF(Tabla1[[#This Row],[Cantidad]] &gt; 0,CEILING(( Tabla1[[#This Row],[Cantidad]]*Tabla1[[#This Row],[Precio]]) - IF(ISNUMBER(FIND("x", LOWER(G5))), ( Tabla1[[#This Row],[Cantidad]]* Tabla1[[#This Row],[Precio]] * IF(ISNUMBER(FIND("aceite", LOWER(Tabla1[[#This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a110" displayName="Tabla110" ref="C4:H103" totalsRowShown="0">
  <autoFilter ref="C4:H103" xr:uid="{00000000-0009-0000-0100-000009000000}"/>
  <tableColumns count="6">
    <tableColumn id="1" xr3:uid="{00000000-0010-0000-0100-000001000000}" name="#" dataDxfId="21">
      <calculatedColumnFormula>IF(ISNUMBER(E5), IF(ISNUMBER(C4), C4+1, 1), "")</calculatedColumnFormula>
    </tableColumn>
    <tableColumn id="6" xr3:uid="{00000000-0010-0000-0100-000006000000}" name="Producto"/>
    <tableColumn id="2" xr3:uid="{00000000-0010-0000-0100-000002000000}" name="Cantidad"/>
    <tableColumn id="3" xr3:uid="{00000000-0010-0000-0100-000003000000}" name="Precio"/>
    <tableColumn id="4" xr3:uid="{00000000-0010-0000-0100-000004000000}" name="Descuento"/>
    <tableColumn id="5" xr3:uid="{00000000-0010-0000-0100-000005000000}" name="Importa" dataDxfId="20">
      <calculatedColumnFormula>IF(Tabla110[[#This Row],[Cantidad]] &gt; 0,CEILING(( Tabla110[[#This Row],[Cantidad]]*Tabla110[[#This Row],[Precio]]) - IF(ISNUMBER(FIND("x", LOWER(G5))), ( Tabla110[[#This Row],[Cantidad]]* Tabla110[[#This Row],[Precio]] * IF(ISNUMBER(FIND("aceite", LOWER(Tabla110[[#This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la111" displayName="Tabla111" ref="C4:H103" totalsRowShown="0">
  <autoFilter ref="C4:H103" xr:uid="{00000000-0009-0000-0100-00000A000000}"/>
  <tableColumns count="6">
    <tableColumn id="1" xr3:uid="{00000000-0010-0000-0200-000001000000}" name="#" dataDxfId="17">
      <calculatedColumnFormula>IF(ISNUMBER(E5), IF(ISNUMBER(C4), C4+1, 1), "")</calculatedColumnFormula>
    </tableColumn>
    <tableColumn id="6" xr3:uid="{00000000-0010-0000-0200-000006000000}" name="Producto"/>
    <tableColumn id="2" xr3:uid="{00000000-0010-0000-0200-000002000000}" name="Cantidad"/>
    <tableColumn id="3" xr3:uid="{00000000-0010-0000-0200-000003000000}" name="Precio"/>
    <tableColumn id="4" xr3:uid="{00000000-0010-0000-0200-000004000000}" name="Descuento"/>
    <tableColumn id="5" xr3:uid="{00000000-0010-0000-0200-000005000000}" name="Importa" dataDxfId="16">
      <calculatedColumnFormula>IF(Tabla111[[#This Row],[Cantidad]] &gt; 0,CEILING(( Tabla111[[#This Row],[Cantidad]]*Tabla111[[#This Row],[Precio]]) - IF(ISNUMBER(FIND("x", LOWER(G5))), ( Tabla111[[#This Row],[Cantidad]]* Tabla111[[#This Row],[Precio]] * IF(ISNUMBER(FIND("aceite", LOWER(Tabla111[[#This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2" displayName="Tabla112" ref="C4:H103" totalsRowShown="0">
  <autoFilter ref="C4:H103" xr:uid="{00000000-0009-0000-0100-00000B000000}"/>
  <tableColumns count="6">
    <tableColumn id="1" xr3:uid="{00000000-0010-0000-0300-000001000000}" name="#" dataDxfId="13">
      <calculatedColumnFormula>IF(ISNUMBER(E5), IF(ISNUMBER(C4), C4+1, 1), "")</calculatedColumnFormula>
    </tableColumn>
    <tableColumn id="6" xr3:uid="{00000000-0010-0000-0300-000006000000}" name="Producto"/>
    <tableColumn id="2" xr3:uid="{00000000-0010-0000-0300-000002000000}" name="Cantidad"/>
    <tableColumn id="3" xr3:uid="{00000000-0010-0000-0300-000003000000}" name="Precio"/>
    <tableColumn id="4" xr3:uid="{00000000-0010-0000-0300-000004000000}" name="Descuento"/>
    <tableColumn id="5" xr3:uid="{00000000-0010-0000-0300-000005000000}" name="Importa" dataDxfId="12">
      <calculatedColumnFormula>IF(Tabla112[[#This Row],[Cantidad]] &gt; 0,CEILING(( Tabla112[[#This Row],[Cantidad]]*Tabla112[[#This Row],[Precio]]) - IF(ISNUMBER(FIND("x", LOWER(G5))), ( Tabla112[[#This Row],[Cantidad]]* Tabla112[[#This Row],[Precio]] * IF(ISNUMBER(FIND("aceite", LOWER(Tabla112[[#This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Tabla113" displayName="Tabla113" ref="C4:H103" totalsRowShown="0">
  <autoFilter ref="C4:H103" xr:uid="{00000000-0009-0000-0100-00000C000000}"/>
  <tableColumns count="6">
    <tableColumn id="1" xr3:uid="{00000000-0010-0000-0400-000001000000}" name="#" dataDxfId="9">
      <calculatedColumnFormula>IF(ISNUMBER(E5), IF(ISNUMBER(C4), C4+1, 1), "")</calculatedColumnFormula>
    </tableColumn>
    <tableColumn id="6" xr3:uid="{00000000-0010-0000-0400-000006000000}" name="Producto"/>
    <tableColumn id="2" xr3:uid="{00000000-0010-0000-0400-000002000000}" name="Cantidad"/>
    <tableColumn id="3" xr3:uid="{00000000-0010-0000-0400-000003000000}" name="Precio"/>
    <tableColumn id="4" xr3:uid="{00000000-0010-0000-0400-000004000000}" name="Descuento"/>
    <tableColumn id="5" xr3:uid="{00000000-0010-0000-0400-000005000000}" name="Importa" dataDxfId="8">
      <calculatedColumnFormula>IF(Tabla113[[#This Row],[Cantidad]] &gt; 0,CEILING(( Tabla113[[#This Row],[Cantidad]]*Tabla113[[#This Row],[Precio]]) - IF(ISNUMBER(FIND("x", LOWER(G5))), ( Tabla113[[#This Row],[Cantidad]]* Tabla113[[#This Row],[Precio]] * IF(ISNUMBER(FIND("aceite", LOWER(Tabla113[[#This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Tabla114" displayName="Tabla114" ref="C4:H103" totalsRowShown="0">
  <autoFilter ref="C4:H103" xr:uid="{00000000-0009-0000-0100-00000D000000}"/>
  <tableColumns count="6">
    <tableColumn id="1" xr3:uid="{00000000-0010-0000-0500-000001000000}" name="#" dataDxfId="5">
      <calculatedColumnFormula>IF(ISNUMBER(E5), IF(ISNUMBER(C4), C4+1, 1), "")</calculatedColumnFormula>
    </tableColumn>
    <tableColumn id="6" xr3:uid="{00000000-0010-0000-0500-000006000000}" name="Producto"/>
    <tableColumn id="2" xr3:uid="{00000000-0010-0000-0500-000002000000}" name="Cantidad"/>
    <tableColumn id="3" xr3:uid="{00000000-0010-0000-0500-000003000000}" name="Precio"/>
    <tableColumn id="4" xr3:uid="{00000000-0010-0000-0500-000004000000}" name="Descuento"/>
    <tableColumn id="5" xr3:uid="{00000000-0010-0000-0500-000005000000}" name="Importa" dataDxfId="4">
      <calculatedColumnFormula>IF(Tabla114[[#This Row],[Cantidad]] &gt; 0,CEILING(( Tabla114[[#This Row],[Cantidad]]*Tabla114[[#This Row],[Precio]]) - IF(ISNUMBER(FIND("x", LOWER(G5))), ( Tabla114[[#This Row],[Cantidad]]* Tabla114[[#This Row],[Precio]] * IF(ISNUMBER(FIND("aceite", LOWER(Tabla114[[#This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Tabla115" displayName="Tabla115" ref="C4:H103" totalsRowShown="0">
  <autoFilter ref="C4:H103" xr:uid="{00000000-0009-0000-0100-00000E000000}"/>
  <tableColumns count="6">
    <tableColumn id="1" xr3:uid="{00000000-0010-0000-0600-000001000000}" name="#" dataDxfId="1">
      <calculatedColumnFormula>IF(ISNUMBER(E5), IF(ISNUMBER(C4), C4+1, 1), "")</calculatedColumnFormula>
    </tableColumn>
    <tableColumn id="6" xr3:uid="{00000000-0010-0000-0600-000006000000}" name="Producto"/>
    <tableColumn id="2" xr3:uid="{00000000-0010-0000-0600-000002000000}" name="Cantidad"/>
    <tableColumn id="3" xr3:uid="{00000000-0010-0000-0600-000003000000}" name="Precio"/>
    <tableColumn id="4" xr3:uid="{00000000-0010-0000-0600-000004000000}" name="Descuento"/>
    <tableColumn id="5" xr3:uid="{00000000-0010-0000-0600-000005000000}" name="Importa" dataDxfId="0">
      <calculatedColumnFormula>IF(Tabla115[[#This Row],[Cantidad]] &gt; 0,CEILING(( Tabla115[[#This Row],[Cantidad]]*Tabla115[[#This Row],[Precio]]) - IF(ISNUMBER(FIND("x", LOWER(G5))), ( Tabla115[[#This Row],[Cantidad]]* Tabla115[[#This Row],[Precio]] * IF(ISNUMBER(FIND("aceite", LOWER(Tabla115[[#This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B3:D22" totalsRowShown="0">
  <autoFilter ref="B3:D22" xr:uid="{00000000-0009-0000-0100-000007000000}"/>
  <tableColumns count="3">
    <tableColumn id="1" xr3:uid="{00000000-0010-0000-0700-000001000000}" name="Cambio"/>
    <tableColumn id="2" xr3:uid="{00000000-0010-0000-0700-000002000000}" name="Fecha"/>
    <tableColumn id="3" xr3:uid="{00000000-0010-0000-0700-000003000000}" name="version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R103"/>
  <sheetViews>
    <sheetView zoomScale="85" zoomScaleNormal="85" workbookViewId="0">
      <selection activeCell="F33" sqref="F33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  <col min="13" max="13" width="9.140625" customWidth="1"/>
    <col min="18" max="18" width="9.140625" customWidth="1"/>
  </cols>
  <sheetData>
    <row r="2" spans="2:18" ht="28.5" x14ac:dyDescent="0.45">
      <c r="C2" s="16" t="s">
        <v>5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SUM(Tabla1[Importa])</f>
        <v>1125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10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>
        <f>IF(ISNUMBER(E5), IF(ISNUMBER(C4), C4+1, 1), "")</f>
        <v>1</v>
      </c>
      <c r="D5" t="s">
        <v>34</v>
      </c>
      <c r="E5">
        <v>1</v>
      </c>
      <c r="F5">
        <v>40</v>
      </c>
      <c r="H5" s="4">
        <f>IF(Tabla1[[#This Row],[Cantidad]] &gt; 0,CEILING(( Tabla1[[#This Row],[Cantidad]]*Tabla1[[#This Row],[Precio]]) - IF(ISNUMBER(FIND("x", LOWER(G5))), ( Tabla1[[#This Row],[Cantidad]]* Tabla1[[#This Row],[Precio]] * IF(ISNUMBER(FIND("aceite", LOWER(Tabla1[[#This Row],[Producto]]))), 0.05, 0.1)), 0), 0.5), "")</f>
        <v>40</v>
      </c>
      <c r="J5" s="29" t="s">
        <v>30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>
        <f t="shared" ref="C6:C36" si="0">IF(ISNUMBER(E6), IF(ISNUMBER(C5), C5+1, 1), "")</f>
        <v>2</v>
      </c>
      <c r="D6" t="s">
        <v>35</v>
      </c>
      <c r="E6">
        <v>1</v>
      </c>
      <c r="F6">
        <v>25</v>
      </c>
      <c r="H6" s="4">
        <f>IF(Tabla1[[#This Row],[Cantidad]] &gt; 0,CEILING(( Tabla1[[#This Row],[Cantidad]]*Tabla1[[#This Row],[Precio]]) - IF(ISNUMBER(FIND("x", LOWER(G6))), ( Tabla1[[#This Row],[Cantidad]]* Tabla1[[#This Row],[Precio]] * IF(ISNUMBER(FIND("aceite", LOWER(Tabla1[[#This Row],[Producto]]))), 0.05, 0.1)), 0), 0.5), "")</f>
        <v>25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>
        <f t="shared" si="0"/>
        <v>3</v>
      </c>
      <c r="D7" t="s">
        <v>37</v>
      </c>
      <c r="E7">
        <v>1</v>
      </c>
      <c r="F7">
        <v>110</v>
      </c>
      <c r="G7" t="s">
        <v>38</v>
      </c>
      <c r="H7" s="4">
        <f>IF(Tabla1[[#This Row],[Cantidad]] &gt; 0,CEILING(( Tabla1[[#This Row],[Cantidad]]*Tabla1[[#This Row],[Precio]]) - IF(ISNUMBER(FIND("x", LOWER(G7))), ( Tabla1[[#This Row],[Cantidad]]* Tabla1[[#This Row],[Precio]] * IF(ISNUMBER(FIND("aceite", LOWER(Tabla1[[#This Row],[Producto]]))), 0.05, 0.1)), 0), 0.5), "")</f>
        <v>99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>
        <f t="shared" si="0"/>
        <v>4</v>
      </c>
      <c r="D8" t="s">
        <v>39</v>
      </c>
      <c r="E8">
        <v>1</v>
      </c>
      <c r="F8">
        <v>250</v>
      </c>
      <c r="G8" t="s">
        <v>38</v>
      </c>
      <c r="H8" s="4">
        <f>IF(Tabla1[[#This Row],[Cantidad]] &gt; 0,CEILING(( Tabla1[[#This Row],[Cantidad]]*Tabla1[[#This Row],[Precio]]) - IF(ISNUMBER(FIND("x", LOWER(G8))), ( Tabla1[[#This Row],[Cantidad]]* Tabla1[[#This Row],[Precio]] * IF(ISNUMBER(FIND("aceite", LOWER(Tabla1[[#This Row],[Producto]]))), 0.05, 0.1)), 0), 0.5), "")</f>
        <v>225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>
        <f t="shared" si="0"/>
        <v>5</v>
      </c>
      <c r="D9" t="s">
        <v>40</v>
      </c>
      <c r="E9">
        <v>1</v>
      </c>
      <c r="F9">
        <v>70</v>
      </c>
      <c r="G9" t="s">
        <v>38</v>
      </c>
      <c r="H9" s="4">
        <f>IF(Tabla1[[#This Row],[Cantidad]] &gt; 0,CEILING(( Tabla1[[#This Row],[Cantidad]]*Tabla1[[#This Row],[Precio]]) - IF(ISNUMBER(FIND("x", LOWER(G9))), ( Tabla1[[#This Row],[Cantidad]]* Tabla1[[#This Row],[Precio]] * IF(ISNUMBER(FIND("aceite", LOWER(Tabla1[[#This Row],[Producto]]))), 0.05, 0.1)), 0), 0.5), "")</f>
        <v>63</v>
      </c>
      <c r="J9" s="15"/>
      <c r="K9" s="15"/>
      <c r="M9" s="18"/>
      <c r="N9" s="18"/>
      <c r="O9" s="18"/>
      <c r="P9" s="18"/>
      <c r="Q9" s="18"/>
      <c r="R9" s="18"/>
    </row>
    <row r="10" spans="2:18" ht="15" customHeight="1" x14ac:dyDescent="0.25">
      <c r="B10" s="13"/>
      <c r="C10">
        <f t="shared" si="0"/>
        <v>6</v>
      </c>
      <c r="D10" t="s">
        <v>42</v>
      </c>
      <c r="E10">
        <v>1</v>
      </c>
      <c r="F10">
        <v>450</v>
      </c>
      <c r="G10" t="s">
        <v>38</v>
      </c>
      <c r="H10" s="4">
        <f>IF(Tabla1[[#This Row],[Cantidad]] &gt; 0,CEILING(( Tabla1[[#This Row],[Cantidad]]*Tabla1[[#This Row],[Precio]]) - IF(ISNUMBER(FIND("x", LOWER(G10))), ( Tabla1[[#This Row],[Cantidad]]* Tabla1[[#This Row],[Precio]] * IF(ISNUMBER(FIND("aceite", LOWER(Tabla1[[#This Row],[Producto]]))), 0.05, 0.1)), 0), 0.5), "")</f>
        <v>405</v>
      </c>
      <c r="J10" s="30" t="s">
        <v>31</v>
      </c>
      <c r="K10" s="32">
        <f>IF(K4&lt;&gt;0,COUNTIF(G5:G103, "x")/K4, "")</f>
        <v>0.4</v>
      </c>
      <c r="M10" s="18"/>
      <c r="N10" s="18"/>
      <c r="O10" s="18"/>
      <c r="P10" s="18"/>
      <c r="Q10" s="18"/>
      <c r="R10" s="18"/>
    </row>
    <row r="11" spans="2:18" ht="15" customHeight="1" x14ac:dyDescent="0.25">
      <c r="B11" s="13"/>
      <c r="C11">
        <f t="shared" si="0"/>
        <v>7</v>
      </c>
      <c r="D11" t="s">
        <v>41</v>
      </c>
      <c r="E11">
        <v>1</v>
      </c>
      <c r="F11">
        <v>75</v>
      </c>
      <c r="H11" s="4">
        <f>IF(Tabla1[[#This Row],[Cantidad]] &gt; 0,CEILING(( Tabla1[[#This Row],[Cantidad]]*Tabla1[[#This Row],[Precio]]) - IF(ISNUMBER(FIND("x", LOWER(G11))), ( Tabla1[[#This Row],[Cantidad]]* Tabla1[[#This Row],[Precio]] * IF(ISNUMBER(FIND("aceite", LOWER(Tabla1[[#This Row],[Producto]]))), 0.05, 0.1)), 0), 0.5), "")</f>
        <v>75</v>
      </c>
      <c r="J11" s="30"/>
      <c r="K11" s="32"/>
      <c r="M11" s="18"/>
      <c r="N11" s="18"/>
      <c r="O11" s="18"/>
      <c r="P11" s="18"/>
      <c r="Q11" s="18"/>
      <c r="R11" s="18"/>
    </row>
    <row r="12" spans="2:18" ht="15" customHeight="1" x14ac:dyDescent="0.25">
      <c r="B12" s="13"/>
      <c r="C12">
        <f t="shared" si="0"/>
        <v>8</v>
      </c>
      <c r="D12" t="s">
        <v>43</v>
      </c>
      <c r="E12">
        <v>1</v>
      </c>
      <c r="F12">
        <v>21</v>
      </c>
      <c r="H12" s="4">
        <f>IF(Tabla1[[#This Row],[Cantidad]] &gt; 0,CEILING(( Tabla1[[#This Row],[Cantidad]]*Tabla1[[#This Row],[Precio]]) - IF(ISNUMBER(FIND("x", LOWER(G12))), ( Tabla1[[#This Row],[Cantidad]]* Tabla1[[#This Row],[Precio]] * IF(ISNUMBER(FIND("aceite", LOWER(Tabla1[[#This Row],[Producto]]))), 0.05, 0.1)), 0), 0.5), "")</f>
        <v>21</v>
      </c>
      <c r="J12" s="30" t="s">
        <v>32</v>
      </c>
      <c r="K12" s="32">
        <f>IF(K4&lt;&gt;0,(K4-COUNTIF(G5:G103,"x"))/K4,"")</f>
        <v>0.6</v>
      </c>
      <c r="M12" s="18"/>
      <c r="N12" s="18"/>
      <c r="O12" s="18"/>
      <c r="P12" s="18"/>
      <c r="Q12" s="18"/>
      <c r="R12" s="18"/>
    </row>
    <row r="13" spans="2:18" ht="15" customHeight="1" x14ac:dyDescent="0.25">
      <c r="B13" s="13"/>
      <c r="C13">
        <f t="shared" si="0"/>
        <v>9</v>
      </c>
      <c r="D13" t="s">
        <v>44</v>
      </c>
      <c r="E13">
        <v>1</v>
      </c>
      <c r="F13">
        <v>147</v>
      </c>
      <c r="H13" s="4">
        <f>IF(Tabla1[[#This Row],[Cantidad]] &gt; 0,CEILING(( Tabla1[[#This Row],[Cantidad]]*Tabla1[[#This Row],[Precio]]) - IF(ISNUMBER(FIND("x", LOWER(G13))), ( Tabla1[[#This Row],[Cantidad]]* Tabla1[[#This Row],[Precio]] * IF(ISNUMBER(FIND("aceite", LOWER(Tabla1[[#This Row],[Producto]]))), 0.05, 0.1)), 0), 0.5), "")</f>
        <v>147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>
        <f t="shared" si="0"/>
        <v>10</v>
      </c>
      <c r="D14" t="s">
        <v>45</v>
      </c>
      <c r="E14">
        <v>5</v>
      </c>
      <c r="F14">
        <v>5</v>
      </c>
      <c r="H14" s="4">
        <f>IF(Tabla1[[#This Row],[Cantidad]] &gt; 0,CEILING(( Tabla1[[#This Row],[Cantidad]]*Tabla1[[#This Row],[Precio]]) - IF(ISNUMBER(FIND("x", LOWER(G14))), ( Tabla1[[#This Row],[Cantidad]]* Tabla1[[#This Row],[Precio]] * IF(ISNUMBER(FIND("aceite", LOWER(Tabla1[[#This Row],[Producto]]))), 0.05, 0.1)), 0), 0.5), "")</f>
        <v>25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0"/>
        <v/>
      </c>
      <c r="H15" s="4" t="str">
        <f>IF(Tabla1[[#This Row],[Cantidad]] &gt; 0,CEILING(( Tabla1[[#This Row],[Cantidad]]*Tabla1[[#This Row],[Precio]]) - IF(ISNUMBER(FIND("x", LOWER(G15))), ( Tabla1[[#This Row],[Cantidad]]* Tabla1[[#This Row],[Precio]] * IF(ISNUMBER(FIND("aceite", LOWER(Tabla1[[#This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x14ac:dyDescent="0.25">
      <c r="B16" s="13"/>
      <c r="C16" t="str">
        <f t="shared" si="0"/>
        <v/>
      </c>
      <c r="H16" s="4" t="str">
        <f>IF(Tabla1[[#This Row],[Cantidad]] &gt; 0,CEILING(( Tabla1[[#This Row],[Cantidad]]*Tabla1[[#This Row],[Precio]]) - IF(ISNUMBER(FIND("x", LOWER(G16))), ( Tabla1[[#This Row],[Cantidad]]* Tabla1[[#This Row],[Precio]] * IF(ISNUMBER(FIND("aceite", LOWER(Tabla1[[#This Row],[Producto]]))), 0.05, 0.1)), 0), 0.5), "")</f>
        <v/>
      </c>
      <c r="J16" s="20" t="s">
        <v>26</v>
      </c>
      <c r="K16" s="22">
        <v>15561.5</v>
      </c>
      <c r="M16" s="18"/>
      <c r="N16" s="18"/>
      <c r="O16" s="18"/>
      <c r="P16" s="18"/>
      <c r="Q16" s="18"/>
      <c r="R16" s="18"/>
    </row>
    <row r="17" spans="2:18" x14ac:dyDescent="0.25">
      <c r="B17" s="13"/>
      <c r="C17" t="str">
        <f t="shared" si="0"/>
        <v/>
      </c>
      <c r="H17" s="4" t="str">
        <f>IF(Tabla1[[#This Row],[Cantidad]] &gt; 0,CEILING(( Tabla1[[#This Row],[Cantidad]]*Tabla1[[#This Row],[Precio]]) - IF(ISNUMBER(FIND("x", LOWER(G17))), ( Tabla1[[#This Row],[Cantidad]]* Tabla1[[#This Row],[Precio]] * IF(ISNUMBER(FIND("aceite", LOWER(Tabla1[[#This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x14ac:dyDescent="0.25">
      <c r="B18" s="13"/>
      <c r="C18" t="str">
        <f t="shared" si="0"/>
        <v/>
      </c>
      <c r="H18" s="4" t="str">
        <f>IF(Tabla1[[#This Row],[Cantidad]] &gt; 0,CEILING(( Tabla1[[#This Row],[Cantidad]]*Tabla1[[#This Row],[Precio]]) - IF(ISNUMBER(FIND("x", LOWER(G18))), ( Tabla1[[#This Row],[Cantidad]]* Tabla1[[#This Row],[Precio]] * IF(ISNUMBER(FIND("aceite", LOWER(Tabla1[[#This Row],[Producto]]))), 0.05, 0.1)), 0), 0.5), "")</f>
        <v/>
      </c>
      <c r="J18" s="23" t="s">
        <v>27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x14ac:dyDescent="0.25">
      <c r="B19" s="13"/>
      <c r="C19" t="str">
        <f t="shared" si="0"/>
        <v/>
      </c>
      <c r="H19" s="4" t="str">
        <f>IF(Tabla1[[#This Row],[Cantidad]] &gt; 0,CEILING(( Tabla1[[#This Row],[Cantidad]]*Tabla1[[#This Row],[Precio]]) - IF(ISNUMBER(FIND("x", LOWER(G19))), ( Tabla1[[#This Row],[Cantidad]]* Tabla1[[#This Row],[Precio]] * IF(ISNUMBER(FIND("aceite", LOWER(Tabla1[[#This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x14ac:dyDescent="0.25">
      <c r="B20" s="13"/>
      <c r="C20" t="str">
        <f t="shared" si="0"/>
        <v/>
      </c>
      <c r="H20" s="4" t="str">
        <f>IF(Tabla1[[#This Row],[Cantidad]] &gt; 0,CEILING(( Tabla1[[#This Row],[Cantidad]]*Tabla1[[#This Row],[Precio]]) - IF(ISNUMBER(FIND("x", LOWER(G20))), ( Tabla1[[#This Row],[Cantidad]]* Tabla1[[#This Row],[Precio]] * IF(ISNUMBER(FIND("aceite", LOWER(Tabla1[[#This Row],[Producto]]))), 0.05, 0.1)), 0), 0.5), "")</f>
        <v/>
      </c>
      <c r="J20" s="26" t="s">
        <v>29</v>
      </c>
      <c r="K20" s="28">
        <f>K16-K18</f>
        <v>15561.5</v>
      </c>
      <c r="M20" s="18"/>
      <c r="N20" s="18"/>
      <c r="O20" s="18"/>
      <c r="P20" s="18"/>
      <c r="Q20" s="18"/>
      <c r="R20" s="18"/>
    </row>
    <row r="21" spans="2:18" x14ac:dyDescent="0.25">
      <c r="B21" s="13"/>
      <c r="C21" t="str">
        <f t="shared" si="0"/>
        <v/>
      </c>
      <c r="H21" s="4" t="str">
        <f>IF(Tabla1[[#This Row],[Cantidad]] &gt; 0,CEILING(( Tabla1[[#This Row],[Cantidad]]*Tabla1[[#This Row],[Precio]]) - IF(ISNUMBER(FIND("x", LOWER(G21))), ( Tabla1[[#This Row],[Cantidad]]* Tabla1[[#This Row],[Precio]] * IF(ISNUMBER(FIND("aceite", LOWER(Tabla1[[#This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IF(Tabla1[[#This Row],[Cantidad]] &gt; 0,CEILING(( Tabla1[[#This Row],[Cantidad]]*Tabla1[[#This Row],[Precio]]) - IF(ISNUMBER(FIND("x", LOWER(G22))), ( Tabla1[[#This Row],[Cantidad]]* Tabla1[[#This Row],[Precio]] * IF(ISNUMBER(FIND("aceite", LOWER(Tabla1[[#This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IF(Tabla1[[#This Row],[Cantidad]] &gt; 0,CEILING(( Tabla1[[#This Row],[Cantidad]]*Tabla1[[#This Row],[Precio]]) - IF(ISNUMBER(FIND("x", LOWER(G23))), ( Tabla1[[#This Row],[Cantidad]]* Tabla1[[#This Row],[Precio]] * IF(ISNUMBER(FIND("aceite", LOWER(Tabla1[[#This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IF(Tabla1[[#This Row],[Cantidad]] &gt; 0,CEILING(( Tabla1[[#This Row],[Cantidad]]*Tabla1[[#This Row],[Precio]]) - IF(ISNUMBER(FIND("x", LOWER(G24))), ( Tabla1[[#This Row],[Cantidad]]* Tabla1[[#This Row],[Precio]] * IF(ISNUMBER(FIND("aceite", LOWER(Tabla1[[#This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x14ac:dyDescent="0.25">
      <c r="B25" s="13"/>
      <c r="C25" t="str">
        <f t="shared" si="0"/>
        <v/>
      </c>
      <c r="H25" s="4" t="str">
        <f>IF(Tabla1[[#This Row],[Cantidad]] &gt; 0,CEILING(( Tabla1[[#This Row],[Cantidad]]*Tabla1[[#This Row],[Precio]]) - IF(ISNUMBER(FIND("x", LOWER(G25))), ( Tabla1[[#This Row],[Cantidad]]* Tabla1[[#This Row],[Precio]] * IF(ISNUMBER(FIND("aceite", LOWER(Tabla1[[#This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IF(Tabla1[[#This Row],[Cantidad]] &gt; 0,CEILING(( Tabla1[[#This Row],[Cantidad]]*Tabla1[[#This Row],[Precio]]) - IF(ISNUMBER(FIND("x", LOWER(G26))), ( Tabla1[[#This Row],[Cantidad]]* Tabla1[[#This Row],[Precio]] * IF(ISNUMBER(FIND("aceite", LOWER(Tabla1[[#This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x14ac:dyDescent="0.25">
      <c r="B27" s="13"/>
      <c r="C27" t="str">
        <f t="shared" si="0"/>
        <v/>
      </c>
      <c r="H27" s="4" t="str">
        <f>IF(Tabla1[[#This Row],[Cantidad]] &gt; 0,CEILING(( Tabla1[[#This Row],[Cantidad]]*Tabla1[[#This Row],[Precio]]) - IF(ISNUMBER(FIND("x", LOWER(G27))), ( Tabla1[[#This Row],[Cantidad]]* Tabla1[[#This Row],[Precio]] * IF(ISNUMBER(FIND("aceite", LOWER(Tabla1[[#This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IF(Tabla1[[#This Row],[Cantidad]] &gt; 0,CEILING(( Tabla1[[#This Row],[Cantidad]]*Tabla1[[#This Row],[Precio]]) - IF(ISNUMBER(FIND("x", LOWER(G28))), ( Tabla1[[#This Row],[Cantidad]]* Tabla1[[#This Row],[Precio]] * IF(ISNUMBER(FIND("aceite", LOWER(Tabla1[[#This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IF(Tabla1[[#This Row],[Cantidad]] &gt; 0,CEILING(( Tabla1[[#This Row],[Cantidad]]*Tabla1[[#This Row],[Precio]]) - IF(ISNUMBER(FIND("x", LOWER(G29))), ( Tabla1[[#This Row],[Cantidad]]* Tabla1[[#This Row],[Precio]] * IF(ISNUMBER(FIND("aceite", LOWER(Tabla1[[#This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IF(Tabla1[[#This Row],[Cantidad]] &gt; 0,CEILING(( Tabla1[[#This Row],[Cantidad]]*Tabla1[[#This Row],[Precio]]) - IF(ISNUMBER(FIND("x", LOWER(G30))), ( Tabla1[[#This Row],[Cantidad]]* Tabla1[[#This Row],[Precio]] * IF(ISNUMBER(FIND("aceite", LOWER(Tabla1[[#This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IF(Tabla1[[#This Row],[Cantidad]] &gt; 0,CEILING(( Tabla1[[#This Row],[Cantidad]]*Tabla1[[#This Row],[Precio]]) - IF(ISNUMBER(FIND("x", LOWER(G31))), ( Tabla1[[#This Row],[Cantidad]]* Tabla1[[#This Row],[Precio]] * IF(ISNUMBER(FIND("aceite", LOWER(Tabla1[[#This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IF(Tabla1[[#This Row],[Cantidad]] &gt; 0,CEILING(( Tabla1[[#This Row],[Cantidad]]*Tabla1[[#This Row],[Precio]]) - IF(ISNUMBER(FIND("x", LOWER(G32))), ( Tabla1[[#This Row],[Cantidad]]* Tabla1[[#This Row],[Precio]] * IF(ISNUMBER(FIND("aceite", LOWER(Tabla1[[#This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IF(Tabla1[[#This Row],[Cantidad]] &gt; 0,CEILING(( Tabla1[[#This Row],[Cantidad]]*Tabla1[[#This Row],[Precio]]) - IF(ISNUMBER(FIND("x", LOWER(G33))), ( Tabla1[[#This Row],[Cantidad]]* Tabla1[[#This Row],[Precio]] * IF(ISNUMBER(FIND("aceite", LOWER(Tabla1[[#This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IF(Tabla1[[#This Row],[Cantidad]] &gt; 0,CEILING(( Tabla1[[#This Row],[Cantidad]]*Tabla1[[#This Row],[Precio]]) - IF(ISNUMBER(FIND("x", LOWER(G34))), ( Tabla1[[#This Row],[Cantidad]]* Tabla1[[#This Row],[Precio]] * IF(ISNUMBER(FIND("aceite", LOWER(Tabla1[[#This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IF(Tabla1[[#This Row],[Cantidad]] &gt; 0,CEILING(( Tabla1[[#This Row],[Cantidad]]*Tabla1[[#This Row],[Precio]]) - IF(ISNUMBER(FIND("x", LOWER(G35))), ( Tabla1[[#This Row],[Cantidad]]* Tabla1[[#This Row],[Precio]] * IF(ISNUMBER(FIND("aceite", LOWER(Tabla1[[#This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IF(Tabla1[[#This Row],[Cantidad]] &gt; 0,CEILING(( Tabla1[[#This Row],[Cantidad]]*Tabla1[[#This Row],[Precio]]) - IF(ISNUMBER(FIND("x", LOWER(G36))), ( Tabla1[[#This Row],[Cantidad]]* Tabla1[[#This Row],[Precio]] * IF(ISNUMBER(FIND("aceite", LOWER(Tabla1[[#This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ref="C37:C68" si="1">IF(ISNUMBER(E37), IF(ISNUMBER(C36), C36+1, 1), "")</f>
        <v/>
      </c>
      <c r="H37" s="4" t="str">
        <f>IF(Tabla1[[#This Row],[Cantidad]] &gt; 0,CEILING(( Tabla1[[#This Row],[Cantidad]]*Tabla1[[#This Row],[Precio]]) - IF(ISNUMBER(FIND("x", LOWER(G37))), ( Tabla1[[#This Row],[Cantidad]]* Tabla1[[#This Row],[Precio]] * IF(ISNUMBER(FIND("aceite", LOWER(Tabla1[[#This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1"/>
        <v/>
      </c>
      <c r="H38" s="4" t="str">
        <f>IF(Tabla1[[#This Row],[Cantidad]] &gt; 0,CEILING(( Tabla1[[#This Row],[Cantidad]]*Tabla1[[#This Row],[Precio]]) - IF(ISNUMBER(FIND("x", LOWER(G38))), ( Tabla1[[#This Row],[Cantidad]]* Tabla1[[#This Row],[Precio]] * IF(ISNUMBER(FIND("aceite", LOWER(Tabla1[[#This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1"/>
        <v/>
      </c>
      <c r="H39" s="4" t="str">
        <f>IF(Tabla1[[#This Row],[Cantidad]] &gt; 0,CEILING(( Tabla1[[#This Row],[Cantidad]]*Tabla1[[#This Row],[Precio]]) - IF(ISNUMBER(FIND("x", LOWER(G39))), ( Tabla1[[#This Row],[Cantidad]]* Tabla1[[#This Row],[Precio]] * IF(ISNUMBER(FIND("aceite", LOWER(Tabla1[[#This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1"/>
        <v/>
      </c>
      <c r="H40" s="4" t="str">
        <f>IF(Tabla1[[#This Row],[Cantidad]] &gt; 0,CEILING(( Tabla1[[#This Row],[Cantidad]]*Tabla1[[#This Row],[Precio]]) - IF(ISNUMBER(FIND("x", LOWER(G40))), ( Tabla1[[#This Row],[Cantidad]]* Tabla1[[#This Row],[Precio]] * IF(ISNUMBER(FIND("aceite", LOWER(Tabla1[[#This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1"/>
        <v/>
      </c>
      <c r="H41" s="4" t="str">
        <f>IF(Tabla1[[#This Row],[Cantidad]] &gt; 0,CEILING(( Tabla1[[#This Row],[Cantidad]]*Tabla1[[#This Row],[Precio]]) - IF(ISNUMBER(FIND("x", LOWER(G41))), ( Tabla1[[#This Row],[Cantidad]]* Tabla1[[#This Row],[Precio]] * IF(ISNUMBER(FIND("aceite", LOWER(Tabla1[[#This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1"/>
        <v/>
      </c>
      <c r="H42" s="4" t="str">
        <f>IF(Tabla1[[#This Row],[Cantidad]] &gt; 0,CEILING(( Tabla1[[#This Row],[Cantidad]]*Tabla1[[#This Row],[Precio]]) - IF(ISNUMBER(FIND("x", LOWER(G42))), ( Tabla1[[#This Row],[Cantidad]]* Tabla1[[#This Row],[Precio]] * IF(ISNUMBER(FIND("aceite", LOWER(Tabla1[[#This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1"/>
        <v/>
      </c>
      <c r="H43" s="4" t="str">
        <f>IF(Tabla1[[#This Row],[Cantidad]] &gt; 0,CEILING(( Tabla1[[#This Row],[Cantidad]]*Tabla1[[#This Row],[Precio]]) - IF(ISNUMBER(FIND("x", LOWER(G43))), ( Tabla1[[#This Row],[Cantidad]]* Tabla1[[#This Row],[Precio]] * IF(ISNUMBER(FIND("aceite", LOWER(Tabla1[[#This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1"/>
        <v/>
      </c>
      <c r="H44" s="4" t="str">
        <f>IF(Tabla1[[#This Row],[Cantidad]] &gt; 0,CEILING(( Tabla1[[#This Row],[Cantidad]]*Tabla1[[#This Row],[Precio]]) - IF(ISNUMBER(FIND("x", LOWER(G44))), ( Tabla1[[#This Row],[Cantidad]]* Tabla1[[#This Row],[Precio]] * IF(ISNUMBER(FIND("aceite", LOWER(Tabla1[[#This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1"/>
        <v/>
      </c>
      <c r="H45" s="4" t="str">
        <f>IF(Tabla1[[#This Row],[Cantidad]] &gt; 0,CEILING(( Tabla1[[#This Row],[Cantidad]]*Tabla1[[#This Row],[Precio]]) - IF(ISNUMBER(FIND("x", LOWER(G45))), ( Tabla1[[#This Row],[Cantidad]]* Tabla1[[#This Row],[Precio]] * IF(ISNUMBER(FIND("aceite", LOWER(Tabla1[[#This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1"/>
        <v/>
      </c>
      <c r="H46" s="4" t="str">
        <f>IF(Tabla1[[#This Row],[Cantidad]] &gt; 0,CEILING(( Tabla1[[#This Row],[Cantidad]]*Tabla1[[#This Row],[Precio]]) - IF(ISNUMBER(FIND("x", LOWER(G46))), ( Tabla1[[#This Row],[Cantidad]]* Tabla1[[#This Row],[Precio]] * IF(ISNUMBER(FIND("aceite", LOWER(Tabla1[[#This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1"/>
        <v/>
      </c>
      <c r="H47" s="4" t="str">
        <f>IF(Tabla1[[#This Row],[Cantidad]] &gt; 0,CEILING(( Tabla1[[#This Row],[Cantidad]]*Tabla1[[#This Row],[Precio]]) - IF(ISNUMBER(FIND("x", LOWER(G47))), ( Tabla1[[#This Row],[Cantidad]]* Tabla1[[#This Row],[Precio]] * IF(ISNUMBER(FIND("aceite", LOWER(Tabla1[[#This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1"/>
        <v/>
      </c>
      <c r="H48" s="4" t="str">
        <f>IF(Tabla1[[#This Row],[Cantidad]] &gt; 0,CEILING(( Tabla1[[#This Row],[Cantidad]]*Tabla1[[#This Row],[Precio]]) - IF(ISNUMBER(FIND("x", LOWER(G48))), ( Tabla1[[#This Row],[Cantidad]]* Tabla1[[#This Row],[Precio]] * IF(ISNUMBER(FIND("aceite", LOWER(Tabla1[[#This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1"/>
        <v/>
      </c>
      <c r="H49" s="4" t="str">
        <f>IF(Tabla1[[#This Row],[Cantidad]] &gt; 0,CEILING(( Tabla1[[#This Row],[Cantidad]]*Tabla1[[#This Row],[Precio]]) - IF(ISNUMBER(FIND("x", LOWER(G49))), ( Tabla1[[#This Row],[Cantidad]]* Tabla1[[#This Row],[Precio]] * IF(ISNUMBER(FIND("aceite", LOWER(Tabla1[[#This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1"/>
        <v/>
      </c>
      <c r="H50" s="4" t="str">
        <f>IF(Tabla1[[#This Row],[Cantidad]] &gt; 0,CEILING(( Tabla1[[#This Row],[Cantidad]]*Tabla1[[#This Row],[Precio]]) - IF(ISNUMBER(FIND("x", LOWER(G50))), ( Tabla1[[#This Row],[Cantidad]]* Tabla1[[#This Row],[Precio]] * IF(ISNUMBER(FIND("aceite", LOWER(Tabla1[[#This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1"/>
        <v/>
      </c>
      <c r="H51" s="4" t="str">
        <f>IF(Tabla1[[#This Row],[Cantidad]] &gt; 0,CEILING(( Tabla1[[#This Row],[Cantidad]]*Tabla1[[#This Row],[Precio]]) - IF(ISNUMBER(FIND("x", LOWER(G51))), ( Tabla1[[#This Row],[Cantidad]]* Tabla1[[#This Row],[Precio]] * IF(ISNUMBER(FIND("aceite", LOWER(Tabla1[[#This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1"/>
        <v/>
      </c>
      <c r="H52" s="4" t="str">
        <f>IF(Tabla1[[#This Row],[Cantidad]] &gt; 0,CEILING(( Tabla1[[#This Row],[Cantidad]]*Tabla1[[#This Row],[Precio]]) - IF(ISNUMBER(FIND("x", LOWER(G52))), ( Tabla1[[#This Row],[Cantidad]]* Tabla1[[#This Row],[Precio]] * IF(ISNUMBER(FIND("aceite", LOWER(Tabla1[[#This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1"/>
        <v/>
      </c>
      <c r="H53" s="4" t="str">
        <f>IF(Tabla1[[#This Row],[Cantidad]] &gt; 0,CEILING(( Tabla1[[#This Row],[Cantidad]]*Tabla1[[#This Row],[Precio]]) - IF(ISNUMBER(FIND("x", LOWER(G53))), ( Tabla1[[#This Row],[Cantidad]]* Tabla1[[#This Row],[Precio]] * IF(ISNUMBER(FIND("aceite", LOWER(Tabla1[[#This Row],[Producto]]))), 0.05, 0.1)), 0), 0.5), "")</f>
        <v/>
      </c>
    </row>
    <row r="54" spans="2:18" x14ac:dyDescent="0.25">
      <c r="B54" s="13"/>
      <c r="C54" t="str">
        <f t="shared" si="1"/>
        <v/>
      </c>
      <c r="H54" s="4" t="str">
        <f>IF(Tabla1[[#This Row],[Cantidad]] &gt; 0,CEILING(( Tabla1[[#This Row],[Cantidad]]*Tabla1[[#This Row],[Precio]]) - IF(ISNUMBER(FIND("x", LOWER(G54))), ( Tabla1[[#This Row],[Cantidad]]* Tabla1[[#This Row],[Precio]] * IF(ISNUMBER(FIND("aceite", LOWER(Tabla1[[#This Row],[Producto]]))), 0.05, 0.1)), 0), 0.5), "")</f>
        <v/>
      </c>
    </row>
    <row r="55" spans="2:18" x14ac:dyDescent="0.25">
      <c r="B55" s="13"/>
      <c r="C55" t="str">
        <f t="shared" si="1"/>
        <v/>
      </c>
      <c r="H55" s="4" t="str">
        <f>IF(Tabla1[[#This Row],[Cantidad]] &gt; 0,CEILING(( Tabla1[[#This Row],[Cantidad]]*Tabla1[[#This Row],[Precio]]) - IF(ISNUMBER(FIND("x", LOWER(G55))), ( Tabla1[[#This Row],[Cantidad]]* Tabla1[[#This Row],[Precio]] * IF(ISNUMBER(FIND("aceite", LOWER(Tabla1[[#This Row],[Producto]]))), 0.05, 0.1)), 0), 0.5), "")</f>
        <v/>
      </c>
    </row>
    <row r="56" spans="2:18" x14ac:dyDescent="0.25">
      <c r="B56" s="13"/>
      <c r="C56" t="str">
        <f t="shared" si="1"/>
        <v/>
      </c>
      <c r="H56" s="4" t="str">
        <f>IF(Tabla1[[#This Row],[Cantidad]] &gt; 0,CEILING(( Tabla1[[#This Row],[Cantidad]]*Tabla1[[#This Row],[Precio]]) - IF(ISNUMBER(FIND("x", LOWER(G56))), ( Tabla1[[#This Row],[Cantidad]]* Tabla1[[#This Row],[Precio]] * IF(ISNUMBER(FIND("aceite", LOWER(Tabla1[[#This Row],[Producto]]))), 0.05, 0.1)), 0), 0.5), "")</f>
        <v/>
      </c>
    </row>
    <row r="57" spans="2:18" x14ac:dyDescent="0.25">
      <c r="B57" s="13"/>
      <c r="C57" t="str">
        <f t="shared" si="1"/>
        <v/>
      </c>
      <c r="H57" s="4" t="str">
        <f>IF(Tabla1[[#This Row],[Cantidad]] &gt; 0,CEILING(( Tabla1[[#This Row],[Cantidad]]*Tabla1[[#This Row],[Precio]]) - IF(ISNUMBER(FIND("x", LOWER(G57))), ( Tabla1[[#This Row],[Cantidad]]* Tabla1[[#This Row],[Precio]] * IF(ISNUMBER(FIND("aceite", LOWER(Tabla1[[#This Row],[Producto]]))), 0.05, 0.1)), 0), 0.5), "")</f>
        <v/>
      </c>
    </row>
    <row r="58" spans="2:18" x14ac:dyDescent="0.25">
      <c r="B58" s="13"/>
      <c r="C58" t="str">
        <f t="shared" si="1"/>
        <v/>
      </c>
      <c r="H58" s="4" t="str">
        <f>IF(Tabla1[[#This Row],[Cantidad]] &gt; 0,CEILING(( Tabla1[[#This Row],[Cantidad]]*Tabla1[[#This Row],[Precio]]) - IF(ISNUMBER(FIND("x", LOWER(G58))), ( Tabla1[[#This Row],[Cantidad]]* Tabla1[[#This Row],[Precio]] * IF(ISNUMBER(FIND("aceite", LOWER(Tabla1[[#This Row],[Producto]]))), 0.05, 0.1)), 0), 0.5), "")</f>
        <v/>
      </c>
    </row>
    <row r="59" spans="2:18" x14ac:dyDescent="0.25">
      <c r="B59" s="13"/>
      <c r="C59" t="str">
        <f t="shared" si="1"/>
        <v/>
      </c>
      <c r="H59" s="4" t="str">
        <f>IF(Tabla1[[#This Row],[Cantidad]] &gt; 0,CEILING(( Tabla1[[#This Row],[Cantidad]]*Tabla1[[#This Row],[Precio]]) - IF(ISNUMBER(FIND("x", LOWER(G59))), ( Tabla1[[#This Row],[Cantidad]]* Tabla1[[#This Row],[Precio]] * IF(ISNUMBER(FIND("aceite", LOWER(Tabla1[[#This Row],[Producto]]))), 0.05, 0.1)), 0), 0.5), "")</f>
        <v/>
      </c>
    </row>
    <row r="60" spans="2:18" x14ac:dyDescent="0.25">
      <c r="B60" s="13"/>
      <c r="C60" t="str">
        <f t="shared" si="1"/>
        <v/>
      </c>
      <c r="H60" s="4" t="str">
        <f>IF(Tabla1[[#This Row],[Cantidad]] &gt; 0,CEILING(( Tabla1[[#This Row],[Cantidad]]*Tabla1[[#This Row],[Precio]]) - IF(ISNUMBER(FIND("x", LOWER(G60))), ( Tabla1[[#This Row],[Cantidad]]* Tabla1[[#This Row],[Precio]] * IF(ISNUMBER(FIND("aceite", LOWER(Tabla1[[#This Row],[Producto]]))), 0.05, 0.1)), 0), 0.5), "")</f>
        <v/>
      </c>
    </row>
    <row r="61" spans="2:18" x14ac:dyDescent="0.25">
      <c r="B61" s="13"/>
      <c r="C61" t="str">
        <f t="shared" si="1"/>
        <v/>
      </c>
      <c r="H61" s="4" t="str">
        <f>IF(Tabla1[[#This Row],[Cantidad]] &gt; 0,CEILING(( Tabla1[[#This Row],[Cantidad]]*Tabla1[[#This Row],[Precio]]) - IF(ISNUMBER(FIND("x", LOWER(G61))), ( Tabla1[[#This Row],[Cantidad]]* Tabla1[[#This Row],[Precio]] * IF(ISNUMBER(FIND("aceite", LOWER(Tabla1[[#This Row],[Producto]]))), 0.05, 0.1)), 0), 0.5), "")</f>
        <v/>
      </c>
    </row>
    <row r="62" spans="2:18" x14ac:dyDescent="0.25">
      <c r="B62" s="13"/>
      <c r="C62" t="str">
        <f t="shared" si="1"/>
        <v/>
      </c>
      <c r="H62" s="4" t="str">
        <f>IF(Tabla1[[#This Row],[Cantidad]] &gt; 0,CEILING(( Tabla1[[#This Row],[Cantidad]]*Tabla1[[#This Row],[Precio]]) - IF(ISNUMBER(FIND("x", LOWER(G62))), ( Tabla1[[#This Row],[Cantidad]]* Tabla1[[#This Row],[Precio]] * IF(ISNUMBER(FIND("aceite", LOWER(Tabla1[[#This Row],[Producto]]))), 0.05, 0.1)), 0), 0.5), "")</f>
        <v/>
      </c>
    </row>
    <row r="63" spans="2:18" x14ac:dyDescent="0.25">
      <c r="B63" s="13"/>
      <c r="C63" t="str">
        <f t="shared" si="1"/>
        <v/>
      </c>
      <c r="H63" s="4" t="str">
        <f>IF(Tabla1[[#This Row],[Cantidad]] &gt; 0,CEILING(( Tabla1[[#This Row],[Cantidad]]*Tabla1[[#This Row],[Precio]]) - IF(ISNUMBER(FIND("x", LOWER(G63))), ( Tabla1[[#This Row],[Cantidad]]* Tabla1[[#This Row],[Precio]] * IF(ISNUMBER(FIND("aceite", LOWER(Tabla1[[#This Row],[Producto]]))), 0.05, 0.1)), 0), 0.5), "")</f>
        <v/>
      </c>
    </row>
    <row r="64" spans="2:18" x14ac:dyDescent="0.25">
      <c r="B64" s="13"/>
      <c r="C64" t="str">
        <f t="shared" si="1"/>
        <v/>
      </c>
      <c r="H64" s="4" t="str">
        <f>IF(Tabla1[[#This Row],[Cantidad]] &gt; 0,CEILING(( Tabla1[[#This Row],[Cantidad]]*Tabla1[[#This Row],[Precio]]) - IF(ISNUMBER(FIND("x", LOWER(G64))), ( Tabla1[[#This Row],[Cantidad]]* Tabla1[[#This Row],[Precio]] * IF(ISNUMBER(FIND("aceite", LOWER(Tabla1[[#This Row],[Producto]]))), 0.05, 0.1)), 0), 0.5), "")</f>
        <v/>
      </c>
    </row>
    <row r="65" spans="2:8" x14ac:dyDescent="0.25">
      <c r="B65" s="13"/>
      <c r="C65" t="str">
        <f t="shared" si="1"/>
        <v/>
      </c>
      <c r="H65" s="4" t="str">
        <f>IF(Tabla1[[#This Row],[Cantidad]] &gt; 0,CEILING(( Tabla1[[#This Row],[Cantidad]]*Tabla1[[#This Row],[Precio]]) - IF(ISNUMBER(FIND("x", LOWER(G65))), ( Tabla1[[#This Row],[Cantidad]]* Tabla1[[#This Row],[Precio]] * IF(ISNUMBER(FIND("aceite", LOWER(Tabla1[[#This Row],[Producto]]))), 0.05, 0.1)), 0), 0.5), "")</f>
        <v/>
      </c>
    </row>
    <row r="66" spans="2:8" x14ac:dyDescent="0.25">
      <c r="B66" s="13"/>
      <c r="C66" t="str">
        <f t="shared" si="1"/>
        <v/>
      </c>
      <c r="H66" s="4" t="str">
        <f>IF(Tabla1[[#This Row],[Cantidad]] &gt; 0,CEILING(( Tabla1[[#This Row],[Cantidad]]*Tabla1[[#This Row],[Precio]]) - IF(ISNUMBER(FIND("x", LOWER(G66))), ( Tabla1[[#This Row],[Cantidad]]* Tabla1[[#This Row],[Precio]] * IF(ISNUMBER(FIND("aceite", LOWER(Tabla1[[#This Row],[Producto]]))), 0.05, 0.1)), 0), 0.5), "")</f>
        <v/>
      </c>
    </row>
    <row r="67" spans="2:8" x14ac:dyDescent="0.25">
      <c r="B67" s="13"/>
      <c r="C67" t="str">
        <f t="shared" si="1"/>
        <v/>
      </c>
      <c r="H67" s="4" t="str">
        <f>IF(Tabla1[[#This Row],[Cantidad]] &gt; 0,CEILING(( Tabla1[[#This Row],[Cantidad]]*Tabla1[[#This Row],[Precio]]) - IF(ISNUMBER(FIND("x", LOWER(G67))), ( Tabla1[[#This Row],[Cantidad]]* Tabla1[[#This Row],[Precio]] * IF(ISNUMBER(FIND("aceite", LOWER(Tabla1[[#This Row],[Producto]]))), 0.05, 0.1)), 0), 0.5), "")</f>
        <v/>
      </c>
    </row>
    <row r="68" spans="2:8" x14ac:dyDescent="0.25">
      <c r="B68" s="13"/>
      <c r="C68" t="str">
        <f t="shared" si="1"/>
        <v/>
      </c>
      <c r="H68" s="4" t="str">
        <f>IF(Tabla1[[#This Row],[Cantidad]] &gt; 0,CEILING(( Tabla1[[#This Row],[Cantidad]]*Tabla1[[#This Row],[Precio]]) - IF(ISNUMBER(FIND("x", LOWER(G68))), ( Tabla1[[#This Row],[Cantidad]]* Tabla1[[#This Row],[Precio]] * IF(ISNUMBER(FIND("aceite", LOWER(Tabla1[[#This Row],[Producto]]))), 0.05, 0.1)), 0), 0.5), "")</f>
        <v/>
      </c>
    </row>
    <row r="69" spans="2:8" x14ac:dyDescent="0.25">
      <c r="B69" s="13"/>
      <c r="C69" t="str">
        <f t="shared" ref="C69:C103" si="2">IF(ISNUMBER(E69), IF(ISNUMBER(C68), C68+1, 1), "")</f>
        <v/>
      </c>
      <c r="H69" s="4" t="str">
        <f>IF(Tabla1[[#This Row],[Cantidad]] &gt; 0,CEILING(( Tabla1[[#This Row],[Cantidad]]*Tabla1[[#This Row],[Precio]]) - IF(ISNUMBER(FIND("x", LOWER(G69))), ( Tabla1[[#This Row],[Cantidad]]* Tabla1[[#This Row],[Precio]] * IF(ISNUMBER(FIND("aceite", LOWER(Tabla1[[#This Row],[Producto]]))), 0.05, 0.1)), 0), 0.5), "")</f>
        <v/>
      </c>
    </row>
    <row r="70" spans="2:8" x14ac:dyDescent="0.25">
      <c r="B70" s="13"/>
      <c r="C70" t="str">
        <f t="shared" si="2"/>
        <v/>
      </c>
      <c r="H70" s="4" t="str">
        <f>IF(Tabla1[[#This Row],[Cantidad]] &gt; 0,CEILING(( Tabla1[[#This Row],[Cantidad]]*Tabla1[[#This Row],[Precio]]) - IF(ISNUMBER(FIND("x", LOWER(G70))), ( Tabla1[[#This Row],[Cantidad]]* Tabla1[[#This Row],[Precio]] * IF(ISNUMBER(FIND("aceite", LOWER(Tabla1[[#This Row],[Producto]]))), 0.05, 0.1)), 0), 0.5), "")</f>
        <v/>
      </c>
    </row>
    <row r="71" spans="2:8" x14ac:dyDescent="0.25">
      <c r="B71" s="13"/>
      <c r="C71" t="str">
        <f t="shared" si="2"/>
        <v/>
      </c>
      <c r="H71" s="4" t="str">
        <f>IF(Tabla1[[#This Row],[Cantidad]] &gt; 0,CEILING(( Tabla1[[#This Row],[Cantidad]]*Tabla1[[#This Row],[Precio]]) - IF(ISNUMBER(FIND("x", LOWER(G71))), ( Tabla1[[#This Row],[Cantidad]]* Tabla1[[#This Row],[Precio]] * IF(ISNUMBER(FIND("aceite", LOWER(Tabla1[[#This Row],[Producto]]))), 0.05, 0.1)), 0), 0.5), "")</f>
        <v/>
      </c>
    </row>
    <row r="72" spans="2:8" x14ac:dyDescent="0.25">
      <c r="B72" s="13"/>
      <c r="C72" t="str">
        <f t="shared" si="2"/>
        <v/>
      </c>
      <c r="H72" s="4" t="str">
        <f>IF(Tabla1[[#This Row],[Cantidad]] &gt; 0,CEILING(( Tabla1[[#This Row],[Cantidad]]*Tabla1[[#This Row],[Precio]]) - IF(ISNUMBER(FIND("x", LOWER(G72))), ( Tabla1[[#This Row],[Cantidad]]* Tabla1[[#This Row],[Precio]] * IF(ISNUMBER(FIND("aceite", LOWER(Tabla1[[#This Row],[Producto]]))), 0.05, 0.1)), 0), 0.5), "")</f>
        <v/>
      </c>
    </row>
    <row r="73" spans="2:8" x14ac:dyDescent="0.25">
      <c r="B73" s="13"/>
      <c r="C73" t="str">
        <f t="shared" si="2"/>
        <v/>
      </c>
      <c r="H73" s="4" t="str">
        <f>IF(Tabla1[[#This Row],[Cantidad]] &gt; 0,CEILING(( Tabla1[[#This Row],[Cantidad]]*Tabla1[[#This Row],[Precio]]) - IF(ISNUMBER(FIND("x", LOWER(G73))), ( Tabla1[[#This Row],[Cantidad]]* Tabla1[[#This Row],[Precio]] * IF(ISNUMBER(FIND("aceite", LOWER(Tabla1[[#This Row],[Producto]]))), 0.05, 0.1)), 0), 0.5), "")</f>
        <v/>
      </c>
    </row>
    <row r="74" spans="2:8" x14ac:dyDescent="0.25">
      <c r="B74" s="13"/>
      <c r="C74" t="str">
        <f t="shared" si="2"/>
        <v/>
      </c>
      <c r="H74" s="4" t="str">
        <f>IF(Tabla1[[#This Row],[Cantidad]] &gt; 0,CEILING(( Tabla1[[#This Row],[Cantidad]]*Tabla1[[#This Row],[Precio]]) - IF(ISNUMBER(FIND("x", LOWER(G74))), ( Tabla1[[#This Row],[Cantidad]]* Tabla1[[#This Row],[Precio]] * IF(ISNUMBER(FIND("aceite", LOWER(Tabla1[[#This Row],[Producto]]))), 0.05, 0.1)), 0), 0.5), "")</f>
        <v/>
      </c>
    </row>
    <row r="75" spans="2:8" x14ac:dyDescent="0.25">
      <c r="B75" s="13"/>
      <c r="C75" t="str">
        <f t="shared" si="2"/>
        <v/>
      </c>
      <c r="H75" s="4" t="str">
        <f>IF(Tabla1[[#This Row],[Cantidad]] &gt; 0,CEILING(( Tabla1[[#This Row],[Cantidad]]*Tabla1[[#This Row],[Precio]]) - IF(ISNUMBER(FIND("x", LOWER(G75))), ( Tabla1[[#This Row],[Cantidad]]* Tabla1[[#This Row],[Precio]] * IF(ISNUMBER(FIND("aceite", LOWER(Tabla1[[#This Row],[Producto]]))), 0.05, 0.1)), 0), 0.5), "")</f>
        <v/>
      </c>
    </row>
    <row r="76" spans="2:8" x14ac:dyDescent="0.25">
      <c r="B76" s="13"/>
      <c r="C76" t="str">
        <f t="shared" si="2"/>
        <v/>
      </c>
      <c r="H76" s="4" t="str">
        <f>IF(Tabla1[[#This Row],[Cantidad]] &gt; 0,CEILING(( Tabla1[[#This Row],[Cantidad]]*Tabla1[[#This Row],[Precio]]) - IF(ISNUMBER(FIND("x", LOWER(G76))), ( Tabla1[[#This Row],[Cantidad]]* Tabla1[[#This Row],[Precio]] * IF(ISNUMBER(FIND("aceite", LOWER(Tabla1[[#This Row],[Producto]]))), 0.05, 0.1)), 0), 0.5), "")</f>
        <v/>
      </c>
    </row>
    <row r="77" spans="2:8" x14ac:dyDescent="0.25">
      <c r="B77" s="13"/>
      <c r="C77" t="str">
        <f t="shared" si="2"/>
        <v/>
      </c>
      <c r="H77" s="4" t="str">
        <f>IF(Tabla1[[#This Row],[Cantidad]] &gt; 0,CEILING(( Tabla1[[#This Row],[Cantidad]]*Tabla1[[#This Row],[Precio]]) - IF(ISNUMBER(FIND("x", LOWER(G77))), ( Tabla1[[#This Row],[Cantidad]]* Tabla1[[#This Row],[Precio]] * IF(ISNUMBER(FIND("aceite", LOWER(Tabla1[[#This Row],[Producto]]))), 0.05, 0.1)), 0), 0.5), "")</f>
        <v/>
      </c>
    </row>
    <row r="78" spans="2:8" x14ac:dyDescent="0.25">
      <c r="B78" s="13"/>
      <c r="C78" t="str">
        <f t="shared" si="2"/>
        <v/>
      </c>
      <c r="H78" s="4" t="str">
        <f>IF(Tabla1[[#This Row],[Cantidad]] &gt; 0,CEILING(( Tabla1[[#This Row],[Cantidad]]*Tabla1[[#This Row],[Precio]]) - IF(ISNUMBER(FIND("x", LOWER(G78))), ( Tabla1[[#This Row],[Cantidad]]* Tabla1[[#This Row],[Precio]] * IF(ISNUMBER(FIND("aceite", LOWER(Tabla1[[#This Row],[Producto]]))), 0.05, 0.1)), 0), 0.5), "")</f>
        <v/>
      </c>
    </row>
    <row r="79" spans="2:8" x14ac:dyDescent="0.25">
      <c r="B79" s="13"/>
      <c r="C79" t="str">
        <f t="shared" si="2"/>
        <v/>
      </c>
      <c r="H79" s="4" t="str">
        <f>IF(Tabla1[[#This Row],[Cantidad]] &gt; 0,CEILING(( Tabla1[[#This Row],[Cantidad]]*Tabla1[[#This Row],[Precio]]) - IF(ISNUMBER(FIND("x", LOWER(G79))), ( Tabla1[[#This Row],[Cantidad]]* Tabla1[[#This Row],[Precio]] * IF(ISNUMBER(FIND("aceite", LOWER(Tabla1[[#This Row],[Producto]]))), 0.05, 0.1)), 0), 0.5), "")</f>
        <v/>
      </c>
    </row>
    <row r="80" spans="2:8" x14ac:dyDescent="0.25">
      <c r="B80" s="13"/>
      <c r="C80" t="str">
        <f t="shared" si="2"/>
        <v/>
      </c>
      <c r="H80" s="4" t="str">
        <f>IF(Tabla1[[#This Row],[Cantidad]] &gt; 0,CEILING(( Tabla1[[#This Row],[Cantidad]]*Tabla1[[#This Row],[Precio]]) - IF(ISNUMBER(FIND("x", LOWER(G80))), ( Tabla1[[#This Row],[Cantidad]]* Tabla1[[#This Row],[Precio]] * IF(ISNUMBER(FIND("aceite", LOWER(Tabla1[[#This Row],[Producto]]))), 0.05, 0.1)), 0), 0.5), "")</f>
        <v/>
      </c>
    </row>
    <row r="81" spans="2:8" x14ac:dyDescent="0.25">
      <c r="B81" s="13"/>
      <c r="C81" t="str">
        <f t="shared" si="2"/>
        <v/>
      </c>
      <c r="H81" s="4" t="str">
        <f>IF(Tabla1[[#This Row],[Cantidad]] &gt; 0,CEILING(( Tabla1[[#This Row],[Cantidad]]*Tabla1[[#This Row],[Precio]]) - IF(ISNUMBER(FIND("x", LOWER(G81))), ( Tabla1[[#This Row],[Cantidad]]* Tabla1[[#This Row],[Precio]] * IF(ISNUMBER(FIND("aceite", LOWER(Tabla1[[#This Row],[Producto]]))), 0.05, 0.1)), 0), 0.5), "")</f>
        <v/>
      </c>
    </row>
    <row r="82" spans="2:8" x14ac:dyDescent="0.25">
      <c r="B82" s="13"/>
      <c r="C82" t="str">
        <f t="shared" si="2"/>
        <v/>
      </c>
      <c r="H82" s="4" t="str">
        <f>IF(Tabla1[[#This Row],[Cantidad]] &gt; 0,CEILING(( Tabla1[[#This Row],[Cantidad]]*Tabla1[[#This Row],[Precio]]) - IF(ISNUMBER(FIND("x", LOWER(G82))), ( Tabla1[[#This Row],[Cantidad]]* Tabla1[[#This Row],[Precio]] * IF(ISNUMBER(FIND("aceite", LOWER(Tabla1[[#This Row],[Producto]]))), 0.05, 0.1)), 0), 0.5), "")</f>
        <v/>
      </c>
    </row>
    <row r="83" spans="2:8" x14ac:dyDescent="0.25">
      <c r="B83" s="13"/>
      <c r="C83" t="str">
        <f t="shared" si="2"/>
        <v/>
      </c>
      <c r="H83" s="4" t="str">
        <f>IF(Tabla1[[#This Row],[Cantidad]] &gt; 0,CEILING(( Tabla1[[#This Row],[Cantidad]]*Tabla1[[#This Row],[Precio]]) - IF(ISNUMBER(FIND("x", LOWER(G83))), ( Tabla1[[#This Row],[Cantidad]]* Tabla1[[#This Row],[Precio]] * IF(ISNUMBER(FIND("aceite", LOWER(Tabla1[[#This Row],[Producto]]))), 0.05, 0.1)), 0), 0.5), "")</f>
        <v/>
      </c>
    </row>
    <row r="84" spans="2:8" x14ac:dyDescent="0.25">
      <c r="B84" s="13"/>
      <c r="C84" t="str">
        <f t="shared" si="2"/>
        <v/>
      </c>
      <c r="H84" s="4" t="str">
        <f>IF(Tabla1[[#This Row],[Cantidad]] &gt; 0,CEILING(( Tabla1[[#This Row],[Cantidad]]*Tabla1[[#This Row],[Precio]]) - IF(ISNUMBER(FIND("x", LOWER(G84))), ( Tabla1[[#This Row],[Cantidad]]* Tabla1[[#This Row],[Precio]] * IF(ISNUMBER(FIND("aceite", LOWER(Tabla1[[#This Row],[Producto]]))), 0.05, 0.1)), 0), 0.5), "")</f>
        <v/>
      </c>
    </row>
    <row r="85" spans="2:8" x14ac:dyDescent="0.25">
      <c r="B85" s="13"/>
      <c r="C85" t="str">
        <f t="shared" si="2"/>
        <v/>
      </c>
      <c r="H85" s="4" t="str">
        <f>IF(Tabla1[[#This Row],[Cantidad]] &gt; 0,CEILING(( Tabla1[[#This Row],[Cantidad]]*Tabla1[[#This Row],[Precio]]) - IF(ISNUMBER(FIND("x", LOWER(G85))), ( Tabla1[[#This Row],[Cantidad]]* Tabla1[[#This Row],[Precio]] * IF(ISNUMBER(FIND("aceite", LOWER(Tabla1[[#This Row],[Producto]]))), 0.05, 0.1)), 0), 0.5), "")</f>
        <v/>
      </c>
    </row>
    <row r="86" spans="2:8" x14ac:dyDescent="0.25">
      <c r="B86" s="13"/>
      <c r="C86" t="str">
        <f t="shared" si="2"/>
        <v/>
      </c>
      <c r="H86" s="4" t="str">
        <f>IF(Tabla1[[#This Row],[Cantidad]] &gt; 0,CEILING(( Tabla1[[#This Row],[Cantidad]]*Tabla1[[#This Row],[Precio]]) - IF(ISNUMBER(FIND("x", LOWER(G86))), ( Tabla1[[#This Row],[Cantidad]]* Tabla1[[#This Row],[Precio]] * IF(ISNUMBER(FIND("aceite", LOWER(Tabla1[[#This Row],[Producto]]))), 0.05, 0.1)), 0), 0.5), "")</f>
        <v/>
      </c>
    </row>
    <row r="87" spans="2:8" x14ac:dyDescent="0.25">
      <c r="B87" s="13"/>
      <c r="C87" t="str">
        <f t="shared" si="2"/>
        <v/>
      </c>
      <c r="H87" s="4" t="str">
        <f>IF(Tabla1[[#This Row],[Cantidad]] &gt; 0,CEILING(( Tabla1[[#This Row],[Cantidad]]*Tabla1[[#This Row],[Precio]]) - IF(ISNUMBER(FIND("x", LOWER(G87))), ( Tabla1[[#This Row],[Cantidad]]* Tabla1[[#This Row],[Precio]] * IF(ISNUMBER(FIND("aceite", LOWER(Tabla1[[#This Row],[Producto]]))), 0.05, 0.1)), 0), 0.5), "")</f>
        <v/>
      </c>
    </row>
    <row r="88" spans="2:8" x14ac:dyDescent="0.25">
      <c r="B88" s="13"/>
      <c r="C88" t="str">
        <f t="shared" si="2"/>
        <v/>
      </c>
      <c r="H88" s="4" t="str">
        <f>IF(Tabla1[[#This Row],[Cantidad]] &gt; 0,CEILING(( Tabla1[[#This Row],[Cantidad]]*Tabla1[[#This Row],[Precio]]) - IF(ISNUMBER(FIND("x", LOWER(G88))), ( Tabla1[[#This Row],[Cantidad]]* Tabla1[[#This Row],[Precio]] * IF(ISNUMBER(FIND("aceite", LOWER(Tabla1[[#This Row],[Producto]]))), 0.05, 0.1)), 0), 0.5), "")</f>
        <v/>
      </c>
    </row>
    <row r="89" spans="2:8" x14ac:dyDescent="0.25">
      <c r="B89" s="13"/>
      <c r="C89" t="str">
        <f t="shared" si="2"/>
        <v/>
      </c>
      <c r="H89" s="4" t="str">
        <f>IF(Tabla1[[#This Row],[Cantidad]] &gt; 0,CEILING(( Tabla1[[#This Row],[Cantidad]]*Tabla1[[#This Row],[Precio]]) - IF(ISNUMBER(FIND("x", LOWER(G89))), ( Tabla1[[#This Row],[Cantidad]]* Tabla1[[#This Row],[Precio]] * IF(ISNUMBER(FIND("aceite", LOWER(Tabla1[[#This Row],[Producto]]))), 0.05, 0.1)), 0), 0.5), "")</f>
        <v/>
      </c>
    </row>
    <row r="90" spans="2:8" x14ac:dyDescent="0.25">
      <c r="B90" s="13"/>
      <c r="C90" t="str">
        <f t="shared" si="2"/>
        <v/>
      </c>
      <c r="H90" s="4" t="str">
        <f>IF(Tabla1[[#This Row],[Cantidad]] &gt; 0,CEILING(( Tabla1[[#This Row],[Cantidad]]*Tabla1[[#This Row],[Precio]]) - IF(ISNUMBER(FIND("x", LOWER(G90))), ( Tabla1[[#This Row],[Cantidad]]* Tabla1[[#This Row],[Precio]] * IF(ISNUMBER(FIND("aceite", LOWER(Tabla1[[#This Row],[Producto]]))), 0.05, 0.1)), 0), 0.5), "")</f>
        <v/>
      </c>
    </row>
    <row r="91" spans="2:8" x14ac:dyDescent="0.25">
      <c r="B91" s="13"/>
      <c r="C91" t="str">
        <f t="shared" si="2"/>
        <v/>
      </c>
      <c r="H91" s="4" t="str">
        <f>IF(Tabla1[[#This Row],[Cantidad]] &gt; 0,CEILING(( Tabla1[[#This Row],[Cantidad]]*Tabla1[[#This Row],[Precio]]) - IF(ISNUMBER(FIND("x", LOWER(G91))), ( Tabla1[[#This Row],[Cantidad]]* Tabla1[[#This Row],[Precio]] * IF(ISNUMBER(FIND("aceite", LOWER(Tabla1[[#This Row],[Producto]]))), 0.05, 0.1)), 0), 0.5), "")</f>
        <v/>
      </c>
    </row>
    <row r="92" spans="2:8" x14ac:dyDescent="0.25">
      <c r="B92" s="13"/>
      <c r="C92" t="str">
        <f t="shared" si="2"/>
        <v/>
      </c>
      <c r="H92" s="4" t="str">
        <f>IF(Tabla1[[#This Row],[Cantidad]] &gt; 0,CEILING(( Tabla1[[#This Row],[Cantidad]]*Tabla1[[#This Row],[Precio]]) - IF(ISNUMBER(FIND("x", LOWER(G92))), ( Tabla1[[#This Row],[Cantidad]]* Tabla1[[#This Row],[Precio]] * IF(ISNUMBER(FIND("aceite", LOWER(Tabla1[[#This Row],[Producto]]))), 0.05, 0.1)), 0), 0.5), "")</f>
        <v/>
      </c>
    </row>
    <row r="93" spans="2:8" x14ac:dyDescent="0.25">
      <c r="B93" s="13"/>
      <c r="C93" t="str">
        <f t="shared" si="2"/>
        <v/>
      </c>
      <c r="H93" s="4" t="str">
        <f>IF(Tabla1[[#This Row],[Cantidad]] &gt; 0,CEILING(( Tabla1[[#This Row],[Cantidad]]*Tabla1[[#This Row],[Precio]]) - IF(ISNUMBER(FIND("x", LOWER(G93))), ( Tabla1[[#This Row],[Cantidad]]* Tabla1[[#This Row],[Precio]] * IF(ISNUMBER(FIND("aceite", LOWER(Tabla1[[#This Row],[Producto]]))), 0.05, 0.1)), 0), 0.5), "")</f>
        <v/>
      </c>
    </row>
    <row r="94" spans="2:8" x14ac:dyDescent="0.25">
      <c r="B94" s="13"/>
      <c r="C94" t="str">
        <f t="shared" si="2"/>
        <v/>
      </c>
      <c r="H94" s="4" t="str">
        <f>IF(Tabla1[[#This Row],[Cantidad]] &gt; 0,CEILING(( Tabla1[[#This Row],[Cantidad]]*Tabla1[[#This Row],[Precio]]) - IF(ISNUMBER(FIND("x", LOWER(G94))), ( Tabla1[[#This Row],[Cantidad]]* Tabla1[[#This Row],[Precio]] * IF(ISNUMBER(FIND("aceite", LOWER(Tabla1[[#This Row],[Producto]]))), 0.05, 0.1)), 0), 0.5), "")</f>
        <v/>
      </c>
    </row>
    <row r="95" spans="2:8" x14ac:dyDescent="0.25">
      <c r="B95" s="13"/>
      <c r="C95" t="str">
        <f t="shared" si="2"/>
        <v/>
      </c>
      <c r="H95" s="4" t="str">
        <f>IF(Tabla1[[#This Row],[Cantidad]] &gt; 0,CEILING(( Tabla1[[#This Row],[Cantidad]]*Tabla1[[#This Row],[Precio]]) - IF(ISNUMBER(FIND("x", LOWER(G95))), ( Tabla1[[#This Row],[Cantidad]]* Tabla1[[#This Row],[Precio]] * IF(ISNUMBER(FIND("aceite", LOWER(Tabla1[[#This Row],[Producto]]))), 0.05, 0.1)), 0), 0.5), "")</f>
        <v/>
      </c>
    </row>
    <row r="96" spans="2:8" x14ac:dyDescent="0.25">
      <c r="B96" s="13"/>
      <c r="C96" t="str">
        <f t="shared" si="2"/>
        <v/>
      </c>
      <c r="H96" s="4" t="str">
        <f>IF(Tabla1[[#This Row],[Cantidad]] &gt; 0,CEILING(( Tabla1[[#This Row],[Cantidad]]*Tabla1[[#This Row],[Precio]]) - IF(ISNUMBER(FIND("x", LOWER(G96))), ( Tabla1[[#This Row],[Cantidad]]* Tabla1[[#This Row],[Precio]] * IF(ISNUMBER(FIND("aceite", LOWER(Tabla1[[#This Row],[Producto]]))), 0.05, 0.1)), 0), 0.5), "")</f>
        <v/>
      </c>
    </row>
    <row r="97" spans="2:8" x14ac:dyDescent="0.25">
      <c r="B97" s="13"/>
      <c r="C97" t="str">
        <f t="shared" si="2"/>
        <v/>
      </c>
      <c r="H97" s="4" t="str">
        <f>IF(Tabla1[[#This Row],[Cantidad]] &gt; 0,CEILING(( Tabla1[[#This Row],[Cantidad]]*Tabla1[[#This Row],[Precio]]) - IF(ISNUMBER(FIND("x", LOWER(G97))), ( Tabla1[[#This Row],[Cantidad]]* Tabla1[[#This Row],[Precio]] * IF(ISNUMBER(FIND("aceite", LOWER(Tabla1[[#This Row],[Producto]]))), 0.05, 0.1)), 0), 0.5), "")</f>
        <v/>
      </c>
    </row>
    <row r="98" spans="2:8" x14ac:dyDescent="0.25">
      <c r="B98" s="13"/>
      <c r="C98" t="str">
        <f t="shared" si="2"/>
        <v/>
      </c>
      <c r="H98" s="4" t="str">
        <f>IF(Tabla1[[#This Row],[Cantidad]] &gt; 0,CEILING(( Tabla1[[#This Row],[Cantidad]]*Tabla1[[#This Row],[Precio]]) - IF(ISNUMBER(FIND("x", LOWER(G98))), ( Tabla1[[#This Row],[Cantidad]]* Tabla1[[#This Row],[Precio]] * IF(ISNUMBER(FIND("aceite", LOWER(Tabla1[[#This Row],[Producto]]))), 0.05, 0.1)), 0), 0.5), "")</f>
        <v/>
      </c>
    </row>
    <row r="99" spans="2:8" x14ac:dyDescent="0.25">
      <c r="B99" s="13"/>
      <c r="C99" t="str">
        <f t="shared" si="2"/>
        <v/>
      </c>
      <c r="H99" s="4" t="str">
        <f>IF(Tabla1[[#This Row],[Cantidad]] &gt; 0,CEILING(( Tabla1[[#This Row],[Cantidad]]*Tabla1[[#This Row],[Precio]]) - IF(ISNUMBER(FIND("x", LOWER(G99))), ( Tabla1[[#This Row],[Cantidad]]* Tabla1[[#This Row],[Precio]] * IF(ISNUMBER(FIND("aceite", LOWER(Tabla1[[#This Row],[Producto]]))), 0.05, 0.1)), 0), 0.5), "")</f>
        <v/>
      </c>
    </row>
    <row r="100" spans="2:8" x14ac:dyDescent="0.25">
      <c r="B100" s="13"/>
      <c r="C100" t="str">
        <f t="shared" si="2"/>
        <v/>
      </c>
      <c r="H100" s="4" t="str">
        <f>IF(Tabla1[[#This Row],[Cantidad]] &gt; 0,CEILING(( Tabla1[[#This Row],[Cantidad]]*Tabla1[[#This Row],[Precio]]) - IF(ISNUMBER(FIND("x", LOWER(G100))), ( Tabla1[[#This Row],[Cantidad]]* Tabla1[[#This Row],[Precio]] * IF(ISNUMBER(FIND("aceite", LOWER(Tabla1[[#This Row],[Producto]]))), 0.05, 0.1)), 0), 0.5), "")</f>
        <v/>
      </c>
    </row>
    <row r="101" spans="2:8" x14ac:dyDescent="0.25">
      <c r="B101" s="13"/>
      <c r="C101" t="str">
        <f t="shared" si="2"/>
        <v/>
      </c>
      <c r="H101" s="4" t="str">
        <f>IF(Tabla1[[#This Row],[Cantidad]] &gt; 0,CEILING(( Tabla1[[#This Row],[Cantidad]]*Tabla1[[#This Row],[Precio]]) - IF(ISNUMBER(FIND("x", LOWER(G101))), ( Tabla1[[#This Row],[Cantidad]]* Tabla1[[#This Row],[Precio]] * IF(ISNUMBER(FIND("aceite", LOWER(Tabla1[[#This Row],[Producto]]))), 0.05, 0.1)), 0), 0.5), "")</f>
        <v/>
      </c>
    </row>
    <row r="102" spans="2:8" x14ac:dyDescent="0.25">
      <c r="B102" s="13"/>
      <c r="C102" t="str">
        <f t="shared" si="2"/>
        <v/>
      </c>
      <c r="H102" s="4" t="str">
        <f>IF(Tabla1[[#This Row],[Cantidad]] &gt; 0,CEILING(( Tabla1[[#This Row],[Cantidad]]*Tabla1[[#This Row],[Precio]]) - IF(ISNUMBER(FIND("x", LOWER(G102))), ( Tabla1[[#This Row],[Cantidad]]* Tabla1[[#This Row],[Precio]] * IF(ISNUMBER(FIND("aceite", LOWER(Tabla1[[#This Row],[Producto]]))), 0.05, 0.1)), 0), 0.5), "")</f>
        <v/>
      </c>
    </row>
    <row r="103" spans="2:8" x14ac:dyDescent="0.25">
      <c r="B103" s="13"/>
      <c r="C103" t="str">
        <f t="shared" si="2"/>
        <v/>
      </c>
      <c r="H103" s="4" t="str">
        <f>IF(Tabla1[[#This Row],[Cantidad]] &gt; 0,CEILING(( Tabla1[[#This Row],[Cantidad]]*Tabla1[[#This Row],[Precio]]) - IF(ISNUMBER(FIND("x", LOWER(G103))), ( Tabla1[[#This Row],[Cantidad]]* Tabla1[[#This Row],[Precio]] * IF(ISNUMBER(FIND("aceite", LOWER(Tabla1[[#This Row],[Producto]]))), 0.05, 0.1)), 0), 0.5), "")</f>
        <v/>
      </c>
    </row>
  </sheetData>
  <mergeCells count="58">
    <mergeCell ref="M41:N42"/>
    <mergeCell ref="M43:N44"/>
    <mergeCell ref="M31:N32"/>
    <mergeCell ref="M33:N34"/>
    <mergeCell ref="M35:N36"/>
    <mergeCell ref="M37:N38"/>
    <mergeCell ref="M39:N40"/>
    <mergeCell ref="O49:O50"/>
    <mergeCell ref="P49:R50"/>
    <mergeCell ref="M51:N52"/>
    <mergeCell ref="O51:O52"/>
    <mergeCell ref="P51:R52"/>
    <mergeCell ref="M49:N50"/>
    <mergeCell ref="O45:O46"/>
    <mergeCell ref="P45:R46"/>
    <mergeCell ref="M47:N48"/>
    <mergeCell ref="O47:O48"/>
    <mergeCell ref="P47:R48"/>
    <mergeCell ref="M45:N46"/>
    <mergeCell ref="O35:O36"/>
    <mergeCell ref="O37:O38"/>
    <mergeCell ref="O39:O40"/>
    <mergeCell ref="P31:R32"/>
    <mergeCell ref="P33:R34"/>
    <mergeCell ref="P35:R36"/>
    <mergeCell ref="P37:R38"/>
    <mergeCell ref="P39:R40"/>
    <mergeCell ref="O41:O42"/>
    <mergeCell ref="O43:O44"/>
    <mergeCell ref="P41:R42"/>
    <mergeCell ref="P43:R44"/>
    <mergeCell ref="M24:R24"/>
    <mergeCell ref="M25:R25"/>
    <mergeCell ref="P26:R26"/>
    <mergeCell ref="M26:N26"/>
    <mergeCell ref="M27:N28"/>
    <mergeCell ref="M29:N30"/>
    <mergeCell ref="O27:O28"/>
    <mergeCell ref="O29:O30"/>
    <mergeCell ref="P27:R28"/>
    <mergeCell ref="P29:R30"/>
    <mergeCell ref="O31:O32"/>
    <mergeCell ref="O33:O34"/>
    <mergeCell ref="C2:H2"/>
    <mergeCell ref="M4:R22"/>
    <mergeCell ref="M2:R2"/>
    <mergeCell ref="M3:R3"/>
    <mergeCell ref="J16:J17"/>
    <mergeCell ref="K16:K17"/>
    <mergeCell ref="J18:J19"/>
    <mergeCell ref="K18:K19"/>
    <mergeCell ref="J20:J21"/>
    <mergeCell ref="K20:K21"/>
    <mergeCell ref="J5:K8"/>
    <mergeCell ref="J10:J11"/>
    <mergeCell ref="J12:J13"/>
    <mergeCell ref="K10:K11"/>
    <mergeCell ref="K12:K13"/>
  </mergeCells>
  <conditionalFormatting sqref="D5:D6">
    <cfRule type="expression" dxfId="27" priority="2">
      <formula>E5&gt;0&amp;ISBLANK(D5)</formula>
    </cfRule>
  </conditionalFormatting>
  <conditionalFormatting sqref="B5:B103">
    <cfRule type="expression" dxfId="26" priority="1">
      <formula>C5&gt;0&amp;ISBLANK(B5)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R103"/>
  <sheetViews>
    <sheetView zoomScale="85" zoomScaleNormal="85" workbookViewId="0">
      <selection activeCell="I54" sqref="I54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46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SUM(Tabla110[Importa])</f>
        <v>2554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18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>
        <f t="shared" ref="C5:C68" si="0">IF(ISNUMBER(E5), IF(ISNUMBER(C4), C4+1, 1), "")</f>
        <v>1</v>
      </c>
      <c r="D5" t="s">
        <v>47</v>
      </c>
      <c r="E5">
        <v>1</v>
      </c>
      <c r="F5">
        <v>417</v>
      </c>
      <c r="G5" t="s">
        <v>38</v>
      </c>
      <c r="H5" s="4">
        <f>IF(Tabla110[[#This Row],[Cantidad]] &gt; 0,CEILING(( Tabla110[[#This Row],[Cantidad]]*Tabla110[[#This Row],[Precio]]) - IF(ISNUMBER(FIND("x", LOWER(G5))), ( Tabla110[[#This Row],[Cantidad]]* Tabla110[[#This Row],[Precio]] * IF(ISNUMBER(FIND("aceite", LOWER(Tabla110[[#This Row],[Producto]]))), 0.05, 0.1)), 0), 0.5), "")</f>
        <v>375.5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>
        <f t="shared" si="0"/>
        <v>2</v>
      </c>
      <c r="D6" t="s">
        <v>48</v>
      </c>
      <c r="E6">
        <v>1</v>
      </c>
      <c r="F6">
        <v>150</v>
      </c>
      <c r="G6" t="s">
        <v>38</v>
      </c>
      <c r="H6" s="4">
        <f>IF(Tabla110[[#This Row],[Cantidad]] &gt; 0,CEILING(( Tabla110[[#This Row],[Cantidad]]*Tabla110[[#This Row],[Precio]]) - IF(ISNUMBER(FIND("x", LOWER(G6))), ( Tabla110[[#This Row],[Cantidad]]* Tabla110[[#This Row],[Precio]] * IF(ISNUMBER(FIND("aceite", LOWER(Tabla110[[#This Row],[Producto]]))), 0.05, 0.1)), 0), 0.5), "")</f>
        <v>142.5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>
        <f t="shared" si="0"/>
        <v>3</v>
      </c>
      <c r="D7" t="s">
        <v>49</v>
      </c>
      <c r="E7">
        <v>1</v>
      </c>
      <c r="F7">
        <v>32</v>
      </c>
      <c r="G7" t="s">
        <v>38</v>
      </c>
      <c r="H7" s="4">
        <f>IF(Tabla110[[#This Row],[Cantidad]] &gt; 0,CEILING(( Tabla110[[#This Row],[Cantidad]]*Tabla110[[#This Row],[Precio]]) - IF(ISNUMBER(FIND("x", LOWER(G7))), ( Tabla110[[#This Row],[Cantidad]]* Tabla110[[#This Row],[Precio]] * IF(ISNUMBER(FIND("aceite", LOWER(Tabla110[[#This Row],[Producto]]))), 0.05, 0.1)), 0), 0.5), "")</f>
        <v>29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>
        <f t="shared" si="0"/>
        <v>4</v>
      </c>
      <c r="D8" t="s">
        <v>50</v>
      </c>
      <c r="E8">
        <v>1</v>
      </c>
      <c r="F8">
        <v>70</v>
      </c>
      <c r="H8" s="4">
        <f>IF(Tabla110[[#This Row],[Cantidad]] &gt; 0,CEILING(( Tabla110[[#This Row],[Cantidad]]*Tabla110[[#This Row],[Precio]]) - IF(ISNUMBER(FIND("x", LOWER(G8))), ( Tabla110[[#This Row],[Cantidad]]* Tabla110[[#This Row],[Precio]] * IF(ISNUMBER(FIND("aceite", LOWER(Tabla110[[#This Row],[Producto]]))), 0.05, 0.1)), 0), 0.5), "")</f>
        <v>70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>
        <f t="shared" si="0"/>
        <v>5</v>
      </c>
      <c r="D9" t="s">
        <v>51</v>
      </c>
      <c r="E9">
        <v>1</v>
      </c>
      <c r="F9">
        <v>410</v>
      </c>
      <c r="G9" t="s">
        <v>38</v>
      </c>
      <c r="H9" s="4">
        <f>IF(Tabla110[[#This Row],[Cantidad]] &gt; 0,CEILING(( Tabla110[[#This Row],[Cantidad]]*Tabla110[[#This Row],[Precio]]) - IF(ISNUMBER(FIND("x", LOWER(G9))), ( Tabla110[[#This Row],[Cantidad]]* Tabla110[[#This Row],[Precio]] * IF(ISNUMBER(FIND("aceite", LOWER(Tabla110[[#This Row],[Producto]]))), 0.05, 0.1)), 0), 0.5), "")</f>
        <v>369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/>
      <c r="C10">
        <f t="shared" si="0"/>
        <v>6</v>
      </c>
      <c r="D10" t="s">
        <v>52</v>
      </c>
      <c r="E10">
        <v>1</v>
      </c>
      <c r="F10">
        <v>150</v>
      </c>
      <c r="G10" t="s">
        <v>38</v>
      </c>
      <c r="H10" s="4">
        <f>IF(Tabla110[[#This Row],[Cantidad]] &gt; 0,CEILING(( Tabla110[[#This Row],[Cantidad]]*Tabla110[[#This Row],[Precio]]) - IF(ISNUMBER(FIND("x", LOWER(G10))), ( Tabla110[[#This Row],[Cantidad]]* Tabla110[[#This Row],[Precio]] * IF(ISNUMBER(FIND("aceite", LOWER(Tabla110[[#This Row],[Producto]]))), 0.05, 0.1)), 0), 0.5), "")</f>
        <v>142.5</v>
      </c>
      <c r="J10" s="30" t="s">
        <v>31</v>
      </c>
      <c r="K10" s="32">
        <f>IF(K4&lt;&gt;0,COUNTIF(G5:G103, "x")/K4, "")</f>
        <v>0.72222222222222221</v>
      </c>
      <c r="M10" s="18"/>
      <c r="N10" s="18"/>
      <c r="O10" s="18"/>
      <c r="P10" s="18"/>
      <c r="Q10" s="18"/>
      <c r="R10" s="18"/>
    </row>
    <row r="11" spans="2:18" x14ac:dyDescent="0.25">
      <c r="B11" s="13"/>
      <c r="C11">
        <f t="shared" si="0"/>
        <v>7</v>
      </c>
      <c r="D11" t="s">
        <v>53</v>
      </c>
      <c r="E11">
        <v>1</v>
      </c>
      <c r="F11">
        <v>50</v>
      </c>
      <c r="G11" t="s">
        <v>38</v>
      </c>
      <c r="H11" s="4">
        <f>IF(Tabla110[[#This Row],[Cantidad]] &gt; 0,CEILING(( Tabla110[[#This Row],[Cantidad]]*Tabla110[[#This Row],[Precio]]) - IF(ISNUMBER(FIND("x", LOWER(G11))), ( Tabla110[[#This Row],[Cantidad]]* Tabla110[[#This Row],[Precio]] * IF(ISNUMBER(FIND("aceite", LOWER(Tabla110[[#This Row],[Producto]]))), 0.05, 0.1)), 0), 0.5), "")</f>
        <v>45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/>
      <c r="C12">
        <f t="shared" si="0"/>
        <v>8</v>
      </c>
      <c r="D12" t="s">
        <v>54</v>
      </c>
      <c r="E12">
        <v>1</v>
      </c>
      <c r="F12">
        <v>71</v>
      </c>
      <c r="G12" t="s">
        <v>38</v>
      </c>
      <c r="H12" s="4">
        <f>IF(Tabla110[[#This Row],[Cantidad]] &gt; 0,CEILING(( Tabla110[[#This Row],[Cantidad]]*Tabla110[[#This Row],[Precio]]) - IF(ISNUMBER(FIND("x", LOWER(G12))), ( Tabla110[[#This Row],[Cantidad]]* Tabla110[[#This Row],[Precio]] * IF(ISNUMBER(FIND("aceite", LOWER(Tabla110[[#This Row],[Producto]]))), 0.05, 0.1)), 0), 0.5), "")</f>
        <v>64</v>
      </c>
      <c r="J12" s="30" t="s">
        <v>32</v>
      </c>
      <c r="K12" s="32">
        <f>IF(K4&lt;&gt;0,(K4-COUNTIF(G5:G103,"x"))/K4,"")</f>
        <v>0.27777777777777779</v>
      </c>
      <c r="M12" s="18"/>
      <c r="N12" s="18"/>
      <c r="O12" s="18"/>
      <c r="P12" s="18"/>
      <c r="Q12" s="18"/>
      <c r="R12" s="18"/>
    </row>
    <row r="13" spans="2:18" x14ac:dyDescent="0.25">
      <c r="B13" s="13"/>
      <c r="C13">
        <f t="shared" si="0"/>
        <v>9</v>
      </c>
      <c r="D13" t="s">
        <v>55</v>
      </c>
      <c r="E13">
        <v>1</v>
      </c>
      <c r="F13">
        <v>15</v>
      </c>
      <c r="G13" t="s">
        <v>38</v>
      </c>
      <c r="H13" s="4">
        <f>IF(Tabla110[[#This Row],[Cantidad]] &gt; 0,CEILING(( Tabla110[[#This Row],[Cantidad]]*Tabla110[[#This Row],[Precio]]) - IF(ISNUMBER(FIND("x", LOWER(G13))), ( Tabla110[[#This Row],[Cantidad]]* Tabla110[[#This Row],[Precio]] * IF(ISNUMBER(FIND("aceite", LOWER(Tabla110[[#This Row],[Producto]]))), 0.05, 0.1)), 0), 0.5), "")</f>
        <v>13.5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>
        <f t="shared" si="0"/>
        <v>10</v>
      </c>
      <c r="D14" t="s">
        <v>45</v>
      </c>
      <c r="E14">
        <v>2</v>
      </c>
      <c r="F14">
        <v>5</v>
      </c>
      <c r="H14" s="4">
        <f>IF(Tabla110[[#This Row],[Cantidad]] &gt; 0,CEILING(( Tabla110[[#This Row],[Cantidad]]*Tabla110[[#This Row],[Precio]]) - IF(ISNUMBER(FIND("x", LOWER(G14))), ( Tabla110[[#This Row],[Cantidad]]* Tabla110[[#This Row],[Precio]] * IF(ISNUMBER(FIND("aceite", LOWER(Tabla110[[#This Row],[Producto]]))), 0.05, 0.1)), 0), 0.5), "")</f>
        <v>10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>
        <f t="shared" si="0"/>
        <v>11</v>
      </c>
      <c r="D15" t="s">
        <v>62</v>
      </c>
      <c r="E15">
        <v>1</v>
      </c>
      <c r="F15">
        <v>370</v>
      </c>
      <c r="H15" s="4">
        <f>IF(Tabla110[[#This Row],[Cantidad]] &gt; 0,CEILING(( Tabla110[[#This Row],[Cantidad]]*Tabla110[[#This Row],[Precio]]) - IF(ISNUMBER(FIND("x", LOWER(G15))), ( Tabla110[[#This Row],[Cantidad]]* Tabla110[[#This Row],[Precio]] * IF(ISNUMBER(FIND("aceite", LOWER(Tabla110[[#This Row],[Producto]]))), 0.05, 0.1)), 0), 0.5), "")</f>
        <v>370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/>
      <c r="C16">
        <f t="shared" si="0"/>
        <v>12</v>
      </c>
      <c r="D16" t="s">
        <v>56</v>
      </c>
      <c r="E16">
        <v>1</v>
      </c>
      <c r="F16">
        <v>500</v>
      </c>
      <c r="G16" t="s">
        <v>38</v>
      </c>
      <c r="H16" s="4">
        <f>IF(Tabla110[[#This Row],[Cantidad]] &gt; 0,CEILING(( Tabla110[[#This Row],[Cantidad]]*Tabla110[[#This Row],[Precio]]) - IF(ISNUMBER(FIND("x", LOWER(G16))), ( Tabla110[[#This Row],[Cantidad]]* Tabla110[[#This Row],[Precio]] * IF(ISNUMBER(FIND("aceite", LOWER(Tabla110[[#This Row],[Producto]]))), 0.05, 0.1)), 0), 0.5), "")</f>
        <v>450</v>
      </c>
      <c r="J16" s="20" t="s">
        <v>26</v>
      </c>
      <c r="K16" s="22">
        <v>15561.5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>
        <f t="shared" si="0"/>
        <v>13</v>
      </c>
      <c r="D17" t="s">
        <v>57</v>
      </c>
      <c r="E17">
        <v>1</v>
      </c>
      <c r="F17">
        <v>130</v>
      </c>
      <c r="G17" t="s">
        <v>38</v>
      </c>
      <c r="H17" s="4">
        <f>IF(Tabla110[[#This Row],[Cantidad]] &gt; 0,CEILING(( Tabla110[[#This Row],[Cantidad]]*Tabla110[[#This Row],[Precio]]) - IF(ISNUMBER(FIND("x", LOWER(G17))), ( Tabla110[[#This Row],[Cantidad]]* Tabla110[[#This Row],[Precio]] * IF(ISNUMBER(FIND("aceite", LOWER(Tabla110[[#This Row],[Producto]]))), 0.05, 0.1)), 0), 0.5), "")</f>
        <v>123.5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>
        <f t="shared" si="0"/>
        <v>14</v>
      </c>
      <c r="D18" t="s">
        <v>60</v>
      </c>
      <c r="E18">
        <v>3</v>
      </c>
      <c r="F18">
        <v>28</v>
      </c>
      <c r="G18" t="s">
        <v>38</v>
      </c>
      <c r="H18" s="4">
        <f>IF(Tabla110[[#This Row],[Cantidad]] &gt; 0,CEILING(( Tabla110[[#This Row],[Cantidad]]*Tabla110[[#This Row],[Precio]]) - IF(ISNUMBER(FIND("x", LOWER(G18))), ( Tabla110[[#This Row],[Cantidad]]* Tabla110[[#This Row],[Precio]] * IF(ISNUMBER(FIND("aceite", LOWER(Tabla110[[#This Row],[Producto]]))), 0.05, 0.1)), 0), 0.5), "")</f>
        <v>76</v>
      </c>
      <c r="J18" s="23" t="s">
        <v>27</v>
      </c>
      <c r="K18" s="25">
        <f>SUM(O27:O52)</f>
        <v>1679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>
        <f t="shared" si="0"/>
        <v>15</v>
      </c>
      <c r="D19" t="s">
        <v>53</v>
      </c>
      <c r="E19">
        <v>1</v>
      </c>
      <c r="F19">
        <v>50</v>
      </c>
      <c r="G19" t="s">
        <v>38</v>
      </c>
      <c r="H19" s="4">
        <f>IF(Tabla110[[#This Row],[Cantidad]] &gt; 0,CEILING(( Tabla110[[#This Row],[Cantidad]]*Tabla110[[#This Row],[Precio]]) - IF(ISNUMBER(FIND("x", LOWER(G19))), ( Tabla110[[#This Row],[Cantidad]]* Tabla110[[#This Row],[Precio]] * IF(ISNUMBER(FIND("aceite", LOWER(Tabla110[[#This Row],[Producto]]))), 0.05, 0.1)), 0), 0.5), "")</f>
        <v>45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>
        <f t="shared" si="0"/>
        <v>16</v>
      </c>
      <c r="D20" t="s">
        <v>55</v>
      </c>
      <c r="E20">
        <v>1</v>
      </c>
      <c r="F20">
        <v>15</v>
      </c>
      <c r="G20" t="s">
        <v>38</v>
      </c>
      <c r="H20" s="4">
        <f>IF(Tabla110[[#This Row],[Cantidad]] &gt; 0,CEILING(( Tabla110[[#This Row],[Cantidad]]*Tabla110[[#This Row],[Precio]]) - IF(ISNUMBER(FIND("x", LOWER(G20))), ( Tabla110[[#This Row],[Cantidad]]* Tabla110[[#This Row],[Precio]] * IF(ISNUMBER(FIND("aceite", LOWER(Tabla110[[#This Row],[Producto]]))), 0.05, 0.1)), 0), 0.5), "")</f>
        <v>13.5</v>
      </c>
      <c r="J20" s="26" t="s">
        <v>29</v>
      </c>
      <c r="K20" s="28">
        <f>K16-K18</f>
        <v>13882.5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>
        <f t="shared" si="0"/>
        <v>17</v>
      </c>
      <c r="D21" t="s">
        <v>59</v>
      </c>
      <c r="E21">
        <v>1</v>
      </c>
      <c r="F21">
        <v>130</v>
      </c>
      <c r="H21" s="4">
        <f>IF(Tabla110[[#This Row],[Cantidad]] &gt; 0,CEILING(( Tabla110[[#This Row],[Cantidad]]*Tabla110[[#This Row],[Precio]]) - IF(ISNUMBER(FIND("x", LOWER(G21))), ( Tabla110[[#This Row],[Cantidad]]* Tabla110[[#This Row],[Precio]] * IF(ISNUMBER(FIND("aceite", LOWER(Tabla110[[#This Row],[Producto]]))), 0.05, 0.1)), 0), 0.5), "")</f>
        <v>130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>
        <f t="shared" si="0"/>
        <v>18</v>
      </c>
      <c r="D22" t="s">
        <v>63</v>
      </c>
      <c r="E22">
        <v>1</v>
      </c>
      <c r="F22">
        <v>85</v>
      </c>
      <c r="H22" s="4">
        <f>IF(Tabla110[[#This Row],[Cantidad]] &gt; 0,CEILING(( Tabla110[[#This Row],[Cantidad]]*Tabla110[[#This Row],[Precio]]) - IF(ISNUMBER(FIND("x", LOWER(G22))), ( Tabla110[[#This Row],[Cantidad]]* Tabla110[[#This Row],[Precio]] * IF(ISNUMBER(FIND("aceite", LOWER(Tabla110[[#This Row],[Producto]]))), 0.05, 0.1)), 0), 0.5), "")</f>
        <v>85</v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IF(Tabla110[[#This Row],[Cantidad]] &gt; 0,CEILING(( Tabla110[[#This Row],[Cantidad]]*Tabla110[[#This Row],[Precio]]) - IF(ISNUMBER(FIND("x", LOWER(G23))), ( Tabla110[[#This Row],[Cantidad]]* Tabla110[[#This Row],[Precio]] * IF(ISNUMBER(FIND("aceite", LOWER(Tabla110[[#This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IF(Tabla110[[#This Row],[Cantidad]] &gt; 0,CEILING(( Tabla110[[#This Row],[Cantidad]]*Tabla110[[#This Row],[Precio]]) - IF(ISNUMBER(FIND("x", LOWER(G24))), ( Tabla110[[#This Row],[Cantidad]]* Tabla110[[#This Row],[Precio]] * IF(ISNUMBER(FIND("aceite", LOWER(Tabla110[[#This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x14ac:dyDescent="0.25">
      <c r="B25" s="13"/>
      <c r="C25" t="str">
        <f t="shared" si="0"/>
        <v/>
      </c>
      <c r="H25" s="4" t="str">
        <f>IF(Tabla110[[#This Row],[Cantidad]] &gt; 0,CEILING(( Tabla110[[#This Row],[Cantidad]]*Tabla110[[#This Row],[Precio]]) - IF(ISNUMBER(FIND("x", LOWER(G25))), ( Tabla110[[#This Row],[Cantidad]]* Tabla110[[#This Row],[Precio]] * IF(ISNUMBER(FIND("aceite", LOWER(Tabla110[[#This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IF(Tabla110[[#This Row],[Cantidad]] &gt; 0,CEILING(( Tabla110[[#This Row],[Cantidad]]*Tabla110[[#This Row],[Precio]]) - IF(ISNUMBER(FIND("x", LOWER(G26))), ( Tabla110[[#This Row],[Cantidad]]* Tabla110[[#This Row],[Precio]] * IF(ISNUMBER(FIND("aceite", LOWER(Tabla110[[#This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x14ac:dyDescent="0.25">
      <c r="B27" s="13"/>
      <c r="C27" t="str">
        <f t="shared" si="0"/>
        <v/>
      </c>
      <c r="H27" s="4" t="str">
        <f>IF(Tabla110[[#This Row],[Cantidad]] &gt; 0,CEILING(( Tabla110[[#This Row],[Cantidad]]*Tabla110[[#This Row],[Precio]]) - IF(ISNUMBER(FIND("x", LOWER(G27))), ( Tabla110[[#This Row],[Cantidad]]* Tabla110[[#This Row],[Precio]] * IF(ISNUMBER(FIND("aceite", LOWER(Tabla110[[#This Row],[Producto]]))), 0.05, 0.1)), 0), 0.5), "")</f>
        <v/>
      </c>
      <c r="M27" s="44" t="s">
        <v>36</v>
      </c>
      <c r="N27" s="45"/>
      <c r="O27" s="33">
        <v>40</v>
      </c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IF(Tabla110[[#This Row],[Cantidad]] &gt; 0,CEILING(( Tabla110[[#This Row],[Cantidad]]*Tabla110[[#This Row],[Precio]]) - IF(ISNUMBER(FIND("x", LOWER(G28))), ( Tabla110[[#This Row],[Cantidad]]* Tabla110[[#This Row],[Precio]] * IF(ISNUMBER(FIND("aceite", LOWER(Tabla110[[#This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IF(Tabla110[[#This Row],[Cantidad]] &gt; 0,CEILING(( Tabla110[[#This Row],[Cantidad]]*Tabla110[[#This Row],[Precio]]) - IF(ISNUMBER(FIND("x", LOWER(G29))), ( Tabla110[[#This Row],[Cantidad]]* Tabla110[[#This Row],[Precio]] * IF(ISNUMBER(FIND("aceite", LOWER(Tabla110[[#This Row],[Producto]]))), 0.05, 0.1)), 0), 0.5), "")</f>
        <v/>
      </c>
      <c r="M29" s="44" t="s">
        <v>58</v>
      </c>
      <c r="N29" s="45"/>
      <c r="O29" s="33">
        <v>1639</v>
      </c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IF(Tabla110[[#This Row],[Cantidad]] &gt; 0,CEILING(( Tabla110[[#This Row],[Cantidad]]*Tabla110[[#This Row],[Precio]]) - IF(ISNUMBER(FIND("x", LOWER(G30))), ( Tabla110[[#This Row],[Cantidad]]* Tabla110[[#This Row],[Precio]] * IF(ISNUMBER(FIND("aceite", LOWER(Tabla110[[#This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IF(Tabla110[[#This Row],[Cantidad]] &gt; 0,CEILING(( Tabla110[[#This Row],[Cantidad]]*Tabla110[[#This Row],[Precio]]) - IF(ISNUMBER(FIND("x", LOWER(G31))), ( Tabla110[[#This Row],[Cantidad]]* Tabla110[[#This Row],[Precio]] * IF(ISNUMBER(FIND("aceite", LOWER(Tabla110[[#This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IF(Tabla110[[#This Row],[Cantidad]] &gt; 0,CEILING(( Tabla110[[#This Row],[Cantidad]]*Tabla110[[#This Row],[Precio]]) - IF(ISNUMBER(FIND("x", LOWER(G32))), ( Tabla110[[#This Row],[Cantidad]]* Tabla110[[#This Row],[Precio]] * IF(ISNUMBER(FIND("aceite", LOWER(Tabla110[[#This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IF(Tabla110[[#This Row],[Cantidad]] &gt; 0,CEILING(( Tabla110[[#This Row],[Cantidad]]*Tabla110[[#This Row],[Precio]]) - IF(ISNUMBER(FIND("x", LOWER(G33))), ( Tabla110[[#This Row],[Cantidad]]* Tabla110[[#This Row],[Precio]] * IF(ISNUMBER(FIND("aceite", LOWER(Tabla110[[#This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IF(Tabla110[[#This Row],[Cantidad]] &gt; 0,CEILING(( Tabla110[[#This Row],[Cantidad]]*Tabla110[[#This Row],[Precio]]) - IF(ISNUMBER(FIND("x", LOWER(G34))), ( Tabla110[[#This Row],[Cantidad]]* Tabla110[[#This Row],[Precio]] * IF(ISNUMBER(FIND("aceite", LOWER(Tabla110[[#This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IF(Tabla110[[#This Row],[Cantidad]] &gt; 0,CEILING(( Tabla110[[#This Row],[Cantidad]]*Tabla110[[#This Row],[Precio]]) - IF(ISNUMBER(FIND("x", LOWER(G35))), ( Tabla110[[#This Row],[Cantidad]]* Tabla110[[#This Row],[Precio]] * IF(ISNUMBER(FIND("aceite", LOWER(Tabla110[[#This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IF(Tabla110[[#This Row],[Cantidad]] &gt; 0,CEILING(( Tabla110[[#This Row],[Cantidad]]*Tabla110[[#This Row],[Precio]]) - IF(ISNUMBER(FIND("x", LOWER(G36))), ( Tabla110[[#This Row],[Cantidad]]* Tabla110[[#This Row],[Precio]] * IF(ISNUMBER(FIND("aceite", LOWER(Tabla110[[#This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si="0"/>
        <v/>
      </c>
      <c r="H37" s="4" t="str">
        <f>IF(Tabla110[[#This Row],[Cantidad]] &gt; 0,CEILING(( Tabla110[[#This Row],[Cantidad]]*Tabla110[[#This Row],[Precio]]) - IF(ISNUMBER(FIND("x", LOWER(G37))), ( Tabla110[[#This Row],[Cantidad]]* Tabla110[[#This Row],[Precio]] * IF(ISNUMBER(FIND("aceite", LOWER(Tabla110[[#This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0"/>
        <v/>
      </c>
      <c r="H38" s="4" t="str">
        <f>IF(Tabla110[[#This Row],[Cantidad]] &gt; 0,CEILING(( Tabla110[[#This Row],[Cantidad]]*Tabla110[[#This Row],[Precio]]) - IF(ISNUMBER(FIND("x", LOWER(G38))), ( Tabla110[[#This Row],[Cantidad]]* Tabla110[[#This Row],[Precio]] * IF(ISNUMBER(FIND("aceite", LOWER(Tabla110[[#This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0"/>
        <v/>
      </c>
      <c r="H39" s="4" t="str">
        <f>IF(Tabla110[[#This Row],[Cantidad]] &gt; 0,CEILING(( Tabla110[[#This Row],[Cantidad]]*Tabla110[[#This Row],[Precio]]) - IF(ISNUMBER(FIND("x", LOWER(G39))), ( Tabla110[[#This Row],[Cantidad]]* Tabla110[[#This Row],[Precio]] * IF(ISNUMBER(FIND("aceite", LOWER(Tabla110[[#This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0"/>
        <v/>
      </c>
      <c r="H40" s="4" t="str">
        <f>IF(Tabla110[[#This Row],[Cantidad]] &gt; 0,CEILING(( Tabla110[[#This Row],[Cantidad]]*Tabla110[[#This Row],[Precio]]) - IF(ISNUMBER(FIND("x", LOWER(G40))), ( Tabla110[[#This Row],[Cantidad]]* Tabla110[[#This Row],[Precio]] * IF(ISNUMBER(FIND("aceite", LOWER(Tabla110[[#This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0"/>
        <v/>
      </c>
      <c r="H41" s="4" t="str">
        <f>IF(Tabla110[[#This Row],[Cantidad]] &gt; 0,CEILING(( Tabla110[[#This Row],[Cantidad]]*Tabla110[[#This Row],[Precio]]) - IF(ISNUMBER(FIND("x", LOWER(G41))), ( Tabla110[[#This Row],[Cantidad]]* Tabla110[[#This Row],[Precio]] * IF(ISNUMBER(FIND("aceite", LOWER(Tabla110[[#This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0"/>
        <v/>
      </c>
      <c r="H42" s="4" t="str">
        <f>IF(Tabla110[[#This Row],[Cantidad]] &gt; 0,CEILING(( Tabla110[[#This Row],[Cantidad]]*Tabla110[[#This Row],[Precio]]) - IF(ISNUMBER(FIND("x", LOWER(G42))), ( Tabla110[[#This Row],[Cantidad]]* Tabla110[[#This Row],[Precio]] * IF(ISNUMBER(FIND("aceite", LOWER(Tabla110[[#This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0"/>
        <v/>
      </c>
      <c r="H43" s="4" t="str">
        <f>IF(Tabla110[[#This Row],[Cantidad]] &gt; 0,CEILING(( Tabla110[[#This Row],[Cantidad]]*Tabla110[[#This Row],[Precio]]) - IF(ISNUMBER(FIND("x", LOWER(G43))), ( Tabla110[[#This Row],[Cantidad]]* Tabla110[[#This Row],[Precio]] * IF(ISNUMBER(FIND("aceite", LOWER(Tabla110[[#This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0"/>
        <v/>
      </c>
      <c r="H44" s="4" t="str">
        <f>IF(Tabla110[[#This Row],[Cantidad]] &gt; 0,CEILING(( Tabla110[[#This Row],[Cantidad]]*Tabla110[[#This Row],[Precio]]) - IF(ISNUMBER(FIND("x", LOWER(G44))), ( Tabla110[[#This Row],[Cantidad]]* Tabla110[[#This Row],[Precio]] * IF(ISNUMBER(FIND("aceite", LOWER(Tabla110[[#This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IF(Tabla110[[#This Row],[Cantidad]] &gt; 0,CEILING(( Tabla110[[#This Row],[Cantidad]]*Tabla110[[#This Row],[Precio]]) - IF(ISNUMBER(FIND("x", LOWER(G45))), ( Tabla110[[#This Row],[Cantidad]]* Tabla110[[#This Row],[Precio]] * IF(ISNUMBER(FIND("aceite", LOWER(Tabla110[[#This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IF(Tabla110[[#This Row],[Cantidad]] &gt; 0,CEILING(( Tabla110[[#This Row],[Cantidad]]*Tabla110[[#This Row],[Precio]]) - IF(ISNUMBER(FIND("x", LOWER(G46))), ( Tabla110[[#This Row],[Cantidad]]* Tabla110[[#This Row],[Precio]] * IF(ISNUMBER(FIND("aceite", LOWER(Tabla110[[#This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IF(Tabla110[[#This Row],[Cantidad]] &gt; 0,CEILING(( Tabla110[[#This Row],[Cantidad]]*Tabla110[[#This Row],[Precio]]) - IF(ISNUMBER(FIND("x", LOWER(G47))), ( Tabla110[[#This Row],[Cantidad]]* Tabla110[[#This Row],[Precio]] * IF(ISNUMBER(FIND("aceite", LOWER(Tabla110[[#This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IF(Tabla110[[#This Row],[Cantidad]] &gt; 0,CEILING(( Tabla110[[#This Row],[Cantidad]]*Tabla110[[#This Row],[Precio]]) - IF(ISNUMBER(FIND("x", LOWER(G48))), ( Tabla110[[#This Row],[Cantidad]]* Tabla110[[#This Row],[Precio]] * IF(ISNUMBER(FIND("aceite", LOWER(Tabla110[[#This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IF(Tabla110[[#This Row],[Cantidad]] &gt; 0,CEILING(( Tabla110[[#This Row],[Cantidad]]*Tabla110[[#This Row],[Precio]]) - IF(ISNUMBER(FIND("x", LOWER(G49))), ( Tabla110[[#This Row],[Cantidad]]* Tabla110[[#This Row],[Precio]] * IF(ISNUMBER(FIND("aceite", LOWER(Tabla110[[#This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IF(Tabla110[[#This Row],[Cantidad]] &gt; 0,CEILING(( Tabla110[[#This Row],[Cantidad]]*Tabla110[[#This Row],[Precio]]) - IF(ISNUMBER(FIND("x", LOWER(G50))), ( Tabla110[[#This Row],[Cantidad]]* Tabla110[[#This Row],[Precio]] * IF(ISNUMBER(FIND("aceite", LOWER(Tabla110[[#This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IF(Tabla110[[#This Row],[Cantidad]] &gt; 0,CEILING(( Tabla110[[#This Row],[Cantidad]]*Tabla110[[#This Row],[Precio]]) - IF(ISNUMBER(FIND("x", LOWER(G51))), ( Tabla110[[#This Row],[Cantidad]]* Tabla110[[#This Row],[Precio]] * IF(ISNUMBER(FIND("aceite", LOWER(Tabla110[[#This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IF(Tabla110[[#This Row],[Cantidad]] &gt; 0,CEILING(( Tabla110[[#This Row],[Cantidad]]*Tabla110[[#This Row],[Precio]]) - IF(ISNUMBER(FIND("x", LOWER(G52))), ( Tabla110[[#This Row],[Cantidad]]* Tabla110[[#This Row],[Precio]] * IF(ISNUMBER(FIND("aceite", LOWER(Tabla110[[#This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IF(Tabla110[[#This Row],[Cantidad]] &gt; 0,CEILING(( Tabla110[[#This Row],[Cantidad]]*Tabla110[[#This Row],[Precio]]) - IF(ISNUMBER(FIND("x", LOWER(G53))), ( Tabla110[[#This Row],[Cantidad]]* Tabla110[[#This Row],[Precio]] * IF(ISNUMBER(FIND("aceite", LOWER(Tabla110[[#This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IF(Tabla110[[#This Row],[Cantidad]] &gt; 0,CEILING(( Tabla110[[#This Row],[Cantidad]]*Tabla110[[#This Row],[Precio]]) - IF(ISNUMBER(FIND("x", LOWER(G54))), ( Tabla110[[#This Row],[Cantidad]]* Tabla110[[#This Row],[Precio]] * IF(ISNUMBER(FIND("aceite", LOWER(Tabla110[[#This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IF(Tabla110[[#This Row],[Cantidad]] &gt; 0,CEILING(( Tabla110[[#This Row],[Cantidad]]*Tabla110[[#This Row],[Precio]]) - IF(ISNUMBER(FIND("x", LOWER(G55))), ( Tabla110[[#This Row],[Cantidad]]* Tabla110[[#This Row],[Precio]] * IF(ISNUMBER(FIND("aceite", LOWER(Tabla110[[#This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IF(Tabla110[[#This Row],[Cantidad]] &gt; 0,CEILING(( Tabla110[[#This Row],[Cantidad]]*Tabla110[[#This Row],[Precio]]) - IF(ISNUMBER(FIND("x", LOWER(G56))), ( Tabla110[[#This Row],[Cantidad]]* Tabla110[[#This Row],[Precio]] * IF(ISNUMBER(FIND("aceite", LOWER(Tabla110[[#This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IF(Tabla110[[#This Row],[Cantidad]] &gt; 0,CEILING(( Tabla110[[#This Row],[Cantidad]]*Tabla110[[#This Row],[Precio]]) - IF(ISNUMBER(FIND("x", LOWER(G57))), ( Tabla110[[#This Row],[Cantidad]]* Tabla110[[#This Row],[Precio]] * IF(ISNUMBER(FIND("aceite", LOWER(Tabla110[[#This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IF(Tabla110[[#This Row],[Cantidad]] &gt; 0,CEILING(( Tabla110[[#This Row],[Cantidad]]*Tabla110[[#This Row],[Precio]]) - IF(ISNUMBER(FIND("x", LOWER(G58))), ( Tabla110[[#This Row],[Cantidad]]* Tabla110[[#This Row],[Precio]] * IF(ISNUMBER(FIND("aceite", LOWER(Tabla110[[#This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IF(Tabla110[[#This Row],[Cantidad]] &gt; 0,CEILING(( Tabla110[[#This Row],[Cantidad]]*Tabla110[[#This Row],[Precio]]) - IF(ISNUMBER(FIND("x", LOWER(G59))), ( Tabla110[[#This Row],[Cantidad]]* Tabla110[[#This Row],[Precio]] * IF(ISNUMBER(FIND("aceite", LOWER(Tabla110[[#This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IF(Tabla110[[#This Row],[Cantidad]] &gt; 0,CEILING(( Tabla110[[#This Row],[Cantidad]]*Tabla110[[#This Row],[Precio]]) - IF(ISNUMBER(FIND("x", LOWER(G60))), ( Tabla110[[#This Row],[Cantidad]]* Tabla110[[#This Row],[Precio]] * IF(ISNUMBER(FIND("aceite", LOWER(Tabla110[[#This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IF(Tabla110[[#This Row],[Cantidad]] &gt; 0,CEILING(( Tabla110[[#This Row],[Cantidad]]*Tabla110[[#This Row],[Precio]]) - IF(ISNUMBER(FIND("x", LOWER(G61))), ( Tabla110[[#This Row],[Cantidad]]* Tabla110[[#This Row],[Precio]] * IF(ISNUMBER(FIND("aceite", LOWER(Tabla110[[#This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IF(Tabla110[[#This Row],[Cantidad]] &gt; 0,CEILING(( Tabla110[[#This Row],[Cantidad]]*Tabla110[[#This Row],[Precio]]) - IF(ISNUMBER(FIND("x", LOWER(G62))), ( Tabla110[[#This Row],[Cantidad]]* Tabla110[[#This Row],[Precio]] * IF(ISNUMBER(FIND("aceite", LOWER(Tabla110[[#This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IF(Tabla110[[#This Row],[Cantidad]] &gt; 0,CEILING(( Tabla110[[#This Row],[Cantidad]]*Tabla110[[#This Row],[Precio]]) - IF(ISNUMBER(FIND("x", LOWER(G63))), ( Tabla110[[#This Row],[Cantidad]]* Tabla110[[#This Row],[Precio]] * IF(ISNUMBER(FIND("aceite", LOWER(Tabla110[[#This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IF(Tabla110[[#This Row],[Cantidad]] &gt; 0,CEILING(( Tabla110[[#This Row],[Cantidad]]*Tabla110[[#This Row],[Precio]]) - IF(ISNUMBER(FIND("x", LOWER(G64))), ( Tabla110[[#This Row],[Cantidad]]* Tabla110[[#This Row],[Precio]] * IF(ISNUMBER(FIND("aceite", LOWER(Tabla110[[#This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IF(Tabla110[[#This Row],[Cantidad]] &gt; 0,CEILING(( Tabla110[[#This Row],[Cantidad]]*Tabla110[[#This Row],[Precio]]) - IF(ISNUMBER(FIND("x", LOWER(G65))), ( Tabla110[[#This Row],[Cantidad]]* Tabla110[[#This Row],[Precio]] * IF(ISNUMBER(FIND("aceite", LOWER(Tabla110[[#This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IF(Tabla110[[#This Row],[Cantidad]] &gt; 0,CEILING(( Tabla110[[#This Row],[Cantidad]]*Tabla110[[#This Row],[Precio]]) - IF(ISNUMBER(FIND("x", LOWER(G66))), ( Tabla110[[#This Row],[Cantidad]]* Tabla110[[#This Row],[Precio]] * IF(ISNUMBER(FIND("aceite", LOWER(Tabla110[[#This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IF(Tabla110[[#This Row],[Cantidad]] &gt; 0,CEILING(( Tabla110[[#This Row],[Cantidad]]*Tabla110[[#This Row],[Precio]]) - IF(ISNUMBER(FIND("x", LOWER(G67))), ( Tabla110[[#This Row],[Cantidad]]* Tabla110[[#This Row],[Precio]] * IF(ISNUMBER(FIND("aceite", LOWER(Tabla110[[#This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IF(Tabla110[[#This Row],[Cantidad]] &gt; 0,CEILING(( Tabla110[[#This Row],[Cantidad]]*Tabla110[[#This Row],[Precio]]) - IF(ISNUMBER(FIND("x", LOWER(G68))), ( Tabla110[[#This Row],[Cantidad]]* Tabla110[[#This Row],[Precio]] * IF(ISNUMBER(FIND("aceite", LOWER(Tabla110[[#This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IF(Tabla110[[#This Row],[Cantidad]] &gt; 0,CEILING(( Tabla110[[#This Row],[Cantidad]]*Tabla110[[#This Row],[Precio]]) - IF(ISNUMBER(FIND("x", LOWER(G69))), ( Tabla110[[#This Row],[Cantidad]]* Tabla110[[#This Row],[Precio]] * IF(ISNUMBER(FIND("aceite", LOWER(Tabla110[[#This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IF(Tabla110[[#This Row],[Cantidad]] &gt; 0,CEILING(( Tabla110[[#This Row],[Cantidad]]*Tabla110[[#This Row],[Precio]]) - IF(ISNUMBER(FIND("x", LOWER(G70))), ( Tabla110[[#This Row],[Cantidad]]* Tabla110[[#This Row],[Precio]] * IF(ISNUMBER(FIND("aceite", LOWER(Tabla110[[#This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IF(Tabla110[[#This Row],[Cantidad]] &gt; 0,CEILING(( Tabla110[[#This Row],[Cantidad]]*Tabla110[[#This Row],[Precio]]) - IF(ISNUMBER(FIND("x", LOWER(G71))), ( Tabla110[[#This Row],[Cantidad]]* Tabla110[[#This Row],[Precio]] * IF(ISNUMBER(FIND("aceite", LOWER(Tabla110[[#This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IF(Tabla110[[#This Row],[Cantidad]] &gt; 0,CEILING(( Tabla110[[#This Row],[Cantidad]]*Tabla110[[#This Row],[Precio]]) - IF(ISNUMBER(FIND("x", LOWER(G72))), ( Tabla110[[#This Row],[Cantidad]]* Tabla110[[#This Row],[Precio]] * IF(ISNUMBER(FIND("aceite", LOWER(Tabla110[[#This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IF(Tabla110[[#This Row],[Cantidad]] &gt; 0,CEILING(( Tabla110[[#This Row],[Cantidad]]*Tabla110[[#This Row],[Precio]]) - IF(ISNUMBER(FIND("x", LOWER(G73))), ( Tabla110[[#This Row],[Cantidad]]* Tabla110[[#This Row],[Precio]] * IF(ISNUMBER(FIND("aceite", LOWER(Tabla110[[#This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IF(Tabla110[[#This Row],[Cantidad]] &gt; 0,CEILING(( Tabla110[[#This Row],[Cantidad]]*Tabla110[[#This Row],[Precio]]) - IF(ISNUMBER(FIND("x", LOWER(G74))), ( Tabla110[[#This Row],[Cantidad]]* Tabla110[[#This Row],[Precio]] * IF(ISNUMBER(FIND("aceite", LOWER(Tabla110[[#This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IF(Tabla110[[#This Row],[Cantidad]] &gt; 0,CEILING(( Tabla110[[#This Row],[Cantidad]]*Tabla110[[#This Row],[Precio]]) - IF(ISNUMBER(FIND("x", LOWER(G75))), ( Tabla110[[#This Row],[Cantidad]]* Tabla110[[#This Row],[Precio]] * IF(ISNUMBER(FIND("aceite", LOWER(Tabla110[[#This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IF(Tabla110[[#This Row],[Cantidad]] &gt; 0,CEILING(( Tabla110[[#This Row],[Cantidad]]*Tabla110[[#This Row],[Precio]]) - IF(ISNUMBER(FIND("x", LOWER(G76))), ( Tabla110[[#This Row],[Cantidad]]* Tabla110[[#This Row],[Precio]] * IF(ISNUMBER(FIND("aceite", LOWER(Tabla110[[#This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IF(Tabla110[[#This Row],[Cantidad]] &gt; 0,CEILING(( Tabla110[[#This Row],[Cantidad]]*Tabla110[[#This Row],[Precio]]) - IF(ISNUMBER(FIND("x", LOWER(G77))), ( Tabla110[[#This Row],[Cantidad]]* Tabla110[[#This Row],[Precio]] * IF(ISNUMBER(FIND("aceite", LOWER(Tabla110[[#This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IF(Tabla110[[#This Row],[Cantidad]] &gt; 0,CEILING(( Tabla110[[#This Row],[Cantidad]]*Tabla110[[#This Row],[Precio]]) - IF(ISNUMBER(FIND("x", LOWER(G78))), ( Tabla110[[#This Row],[Cantidad]]* Tabla110[[#This Row],[Precio]] * IF(ISNUMBER(FIND("aceite", LOWER(Tabla110[[#This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IF(Tabla110[[#This Row],[Cantidad]] &gt; 0,CEILING(( Tabla110[[#This Row],[Cantidad]]*Tabla110[[#This Row],[Precio]]) - IF(ISNUMBER(FIND("x", LOWER(G79))), ( Tabla110[[#This Row],[Cantidad]]* Tabla110[[#This Row],[Precio]] * IF(ISNUMBER(FIND("aceite", LOWER(Tabla110[[#This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IF(Tabla110[[#This Row],[Cantidad]] &gt; 0,CEILING(( Tabla110[[#This Row],[Cantidad]]*Tabla110[[#This Row],[Precio]]) - IF(ISNUMBER(FIND("x", LOWER(G80))), ( Tabla110[[#This Row],[Cantidad]]* Tabla110[[#This Row],[Precio]] * IF(ISNUMBER(FIND("aceite", LOWER(Tabla110[[#This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IF(Tabla110[[#This Row],[Cantidad]] &gt; 0,CEILING(( Tabla110[[#This Row],[Cantidad]]*Tabla110[[#This Row],[Precio]]) - IF(ISNUMBER(FIND("x", LOWER(G81))), ( Tabla110[[#This Row],[Cantidad]]* Tabla110[[#This Row],[Precio]] * IF(ISNUMBER(FIND("aceite", LOWER(Tabla110[[#This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IF(Tabla110[[#This Row],[Cantidad]] &gt; 0,CEILING(( Tabla110[[#This Row],[Cantidad]]*Tabla110[[#This Row],[Precio]]) - IF(ISNUMBER(FIND("x", LOWER(G82))), ( Tabla110[[#This Row],[Cantidad]]* Tabla110[[#This Row],[Precio]] * IF(ISNUMBER(FIND("aceite", LOWER(Tabla110[[#This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IF(Tabla110[[#This Row],[Cantidad]] &gt; 0,CEILING(( Tabla110[[#This Row],[Cantidad]]*Tabla110[[#This Row],[Precio]]) - IF(ISNUMBER(FIND("x", LOWER(G83))), ( Tabla110[[#This Row],[Cantidad]]* Tabla110[[#This Row],[Precio]] * IF(ISNUMBER(FIND("aceite", LOWER(Tabla110[[#This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IF(Tabla110[[#This Row],[Cantidad]] &gt; 0,CEILING(( Tabla110[[#This Row],[Cantidad]]*Tabla110[[#This Row],[Precio]]) - IF(ISNUMBER(FIND("x", LOWER(G84))), ( Tabla110[[#This Row],[Cantidad]]* Tabla110[[#This Row],[Precio]] * IF(ISNUMBER(FIND("aceite", LOWER(Tabla110[[#This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IF(Tabla110[[#This Row],[Cantidad]] &gt; 0,CEILING(( Tabla110[[#This Row],[Cantidad]]*Tabla110[[#This Row],[Precio]]) - IF(ISNUMBER(FIND("x", LOWER(G85))), ( Tabla110[[#This Row],[Cantidad]]* Tabla110[[#This Row],[Precio]] * IF(ISNUMBER(FIND("aceite", LOWER(Tabla110[[#This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IF(Tabla110[[#This Row],[Cantidad]] &gt; 0,CEILING(( Tabla110[[#This Row],[Cantidad]]*Tabla110[[#This Row],[Precio]]) - IF(ISNUMBER(FIND("x", LOWER(G86))), ( Tabla110[[#This Row],[Cantidad]]* Tabla110[[#This Row],[Precio]] * IF(ISNUMBER(FIND("aceite", LOWER(Tabla110[[#This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IF(Tabla110[[#This Row],[Cantidad]] &gt; 0,CEILING(( Tabla110[[#This Row],[Cantidad]]*Tabla110[[#This Row],[Precio]]) - IF(ISNUMBER(FIND("x", LOWER(G87))), ( Tabla110[[#This Row],[Cantidad]]* Tabla110[[#This Row],[Precio]] * IF(ISNUMBER(FIND("aceite", LOWER(Tabla110[[#This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IF(Tabla110[[#This Row],[Cantidad]] &gt; 0,CEILING(( Tabla110[[#This Row],[Cantidad]]*Tabla110[[#This Row],[Precio]]) - IF(ISNUMBER(FIND("x", LOWER(G88))), ( Tabla110[[#This Row],[Cantidad]]* Tabla110[[#This Row],[Precio]] * IF(ISNUMBER(FIND("aceite", LOWER(Tabla110[[#This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IF(Tabla110[[#This Row],[Cantidad]] &gt; 0,CEILING(( Tabla110[[#This Row],[Cantidad]]*Tabla110[[#This Row],[Precio]]) - IF(ISNUMBER(FIND("x", LOWER(G89))), ( Tabla110[[#This Row],[Cantidad]]* Tabla110[[#This Row],[Precio]] * IF(ISNUMBER(FIND("aceite", LOWER(Tabla110[[#This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IF(Tabla110[[#This Row],[Cantidad]] &gt; 0,CEILING(( Tabla110[[#This Row],[Cantidad]]*Tabla110[[#This Row],[Precio]]) - IF(ISNUMBER(FIND("x", LOWER(G90))), ( Tabla110[[#This Row],[Cantidad]]* Tabla110[[#This Row],[Precio]] * IF(ISNUMBER(FIND("aceite", LOWER(Tabla110[[#This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IF(Tabla110[[#This Row],[Cantidad]] &gt; 0,CEILING(( Tabla110[[#This Row],[Cantidad]]*Tabla110[[#This Row],[Precio]]) - IF(ISNUMBER(FIND("x", LOWER(G91))), ( Tabla110[[#This Row],[Cantidad]]* Tabla110[[#This Row],[Precio]] * IF(ISNUMBER(FIND("aceite", LOWER(Tabla110[[#This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IF(Tabla110[[#This Row],[Cantidad]] &gt; 0,CEILING(( Tabla110[[#This Row],[Cantidad]]*Tabla110[[#This Row],[Precio]]) - IF(ISNUMBER(FIND("x", LOWER(G92))), ( Tabla110[[#This Row],[Cantidad]]* Tabla110[[#This Row],[Precio]] * IF(ISNUMBER(FIND("aceite", LOWER(Tabla110[[#This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IF(Tabla110[[#This Row],[Cantidad]] &gt; 0,CEILING(( Tabla110[[#This Row],[Cantidad]]*Tabla110[[#This Row],[Precio]]) - IF(ISNUMBER(FIND("x", LOWER(G93))), ( Tabla110[[#This Row],[Cantidad]]* Tabla110[[#This Row],[Precio]] * IF(ISNUMBER(FIND("aceite", LOWER(Tabla110[[#This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IF(Tabla110[[#This Row],[Cantidad]] &gt; 0,CEILING(( Tabla110[[#This Row],[Cantidad]]*Tabla110[[#This Row],[Precio]]) - IF(ISNUMBER(FIND("x", LOWER(G94))), ( Tabla110[[#This Row],[Cantidad]]* Tabla110[[#This Row],[Precio]] * IF(ISNUMBER(FIND("aceite", LOWER(Tabla110[[#This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IF(Tabla110[[#This Row],[Cantidad]] &gt; 0,CEILING(( Tabla110[[#This Row],[Cantidad]]*Tabla110[[#This Row],[Precio]]) - IF(ISNUMBER(FIND("x", LOWER(G95))), ( Tabla110[[#This Row],[Cantidad]]* Tabla110[[#This Row],[Precio]] * IF(ISNUMBER(FIND("aceite", LOWER(Tabla110[[#This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IF(Tabla110[[#This Row],[Cantidad]] &gt; 0,CEILING(( Tabla110[[#This Row],[Cantidad]]*Tabla110[[#This Row],[Precio]]) - IF(ISNUMBER(FIND("x", LOWER(G96))), ( Tabla110[[#This Row],[Cantidad]]* Tabla110[[#This Row],[Precio]] * IF(ISNUMBER(FIND("aceite", LOWER(Tabla110[[#This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IF(Tabla110[[#This Row],[Cantidad]] &gt; 0,CEILING(( Tabla110[[#This Row],[Cantidad]]*Tabla110[[#This Row],[Precio]]) - IF(ISNUMBER(FIND("x", LOWER(G97))), ( Tabla110[[#This Row],[Cantidad]]* Tabla110[[#This Row],[Precio]] * IF(ISNUMBER(FIND("aceite", LOWER(Tabla110[[#This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IF(Tabla110[[#This Row],[Cantidad]] &gt; 0,CEILING(( Tabla110[[#This Row],[Cantidad]]*Tabla110[[#This Row],[Precio]]) - IF(ISNUMBER(FIND("x", LOWER(G98))), ( Tabla110[[#This Row],[Cantidad]]* Tabla110[[#This Row],[Precio]] * IF(ISNUMBER(FIND("aceite", LOWER(Tabla110[[#This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IF(Tabla110[[#This Row],[Cantidad]] &gt; 0,CEILING(( Tabla110[[#This Row],[Cantidad]]*Tabla110[[#This Row],[Precio]]) - IF(ISNUMBER(FIND("x", LOWER(G99))), ( Tabla110[[#This Row],[Cantidad]]* Tabla110[[#This Row],[Precio]] * IF(ISNUMBER(FIND("aceite", LOWER(Tabla110[[#This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IF(Tabla110[[#This Row],[Cantidad]] &gt; 0,CEILING(( Tabla110[[#This Row],[Cantidad]]*Tabla110[[#This Row],[Precio]]) - IF(ISNUMBER(FIND("x", LOWER(G100))), ( Tabla110[[#This Row],[Cantidad]]* Tabla110[[#This Row],[Precio]] * IF(ISNUMBER(FIND("aceite", LOWER(Tabla110[[#This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IF(Tabla110[[#This Row],[Cantidad]] &gt; 0,CEILING(( Tabla110[[#This Row],[Cantidad]]*Tabla110[[#This Row],[Precio]]) - IF(ISNUMBER(FIND("x", LOWER(G101))), ( Tabla110[[#This Row],[Cantidad]]* Tabla110[[#This Row],[Precio]] * IF(ISNUMBER(FIND("aceite", LOWER(Tabla110[[#This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IF(Tabla110[[#This Row],[Cantidad]] &gt; 0,CEILING(( Tabla110[[#This Row],[Cantidad]]*Tabla110[[#This Row],[Precio]]) - IF(ISNUMBER(FIND("x", LOWER(G102))), ( Tabla110[[#This Row],[Cantidad]]* Tabla110[[#This Row],[Precio]] * IF(ISNUMBER(FIND("aceite", LOWER(Tabla110[[#This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IF(Tabla110[[#This Row],[Cantidad]] &gt; 0,CEILING(( Tabla110[[#This Row],[Cantidad]]*Tabla110[[#This Row],[Precio]]) - IF(ISNUMBER(FIND("x", LOWER(G103))), ( Tabla110[[#This Row],[Cantidad]]* Tabla110[[#This Row],[Precio]] * IF(ISNUMBER(FIND("aceite", LOWER(Tabla110[[#This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23" priority="2">
      <formula>E5&gt;0&amp;ISBLANK(D5)</formula>
    </cfRule>
  </conditionalFormatting>
  <conditionalFormatting sqref="B5:B103">
    <cfRule type="expression" dxfId="22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R103"/>
  <sheetViews>
    <sheetView zoomScale="85" zoomScaleNormal="85" workbookViewId="0">
      <selection activeCell="D26" sqref="D26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61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SUM(Tabla111[Importa])</f>
        <v>2847.5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21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46288.427812499998</v>
      </c>
      <c r="C5">
        <f>IF(ISNUMBER(E5), IF(ISNUMBER(C4), C4+1, 1), "")</f>
        <v>1</v>
      </c>
      <c r="D5" t="s">
        <v>64</v>
      </c>
      <c r="E5">
        <v>1</v>
      </c>
      <c r="F5">
        <v>95</v>
      </c>
      <c r="G5" t="s">
        <v>38</v>
      </c>
      <c r="H5" s="4">
        <f>IF(Tabla111[[#This Row],[Cantidad]] &gt; 0,CEILING(( Tabla111[[#This Row],[Cantidad]]*Tabla111[[#This Row],[Precio]]) - IF(ISNUMBER(FIND("x", LOWER(G5))), ( Tabla111[[#This Row],[Cantidad]]* Tabla111[[#This Row],[Precio]] * IF(ISNUMBER(FIND("aceite", LOWER(Tabla111[[#This Row],[Producto]]))), 0.05, 0.1)), 0), 0.5), "")</f>
        <v>90.5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46288.427951388891</v>
      </c>
      <c r="C6">
        <f>IF(ISNUMBER(E6), IF(ISNUMBER(C5), C5+1, 1), "")</f>
        <v>2</v>
      </c>
      <c r="D6" t="s">
        <v>65</v>
      </c>
      <c r="E6">
        <v>1</v>
      </c>
      <c r="F6">
        <v>110</v>
      </c>
      <c r="G6" t="s">
        <v>38</v>
      </c>
      <c r="H6" s="4">
        <f>IF(Tabla111[[#This Row],[Cantidad]] &gt; 0,CEILING(( Tabla111[[#This Row],[Cantidad]]*Tabla111[[#This Row],[Precio]]) - IF(ISNUMBER(FIND("x", LOWER(G6))), ( Tabla111[[#This Row],[Cantidad]]* Tabla111[[#This Row],[Precio]] * IF(ISNUMBER(FIND("aceite", LOWER(Tabla111[[#This Row],[Producto]]))), 0.05, 0.1)), 0), 0.5), "")</f>
        <v>99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46288.428055555552</v>
      </c>
      <c r="C7">
        <f>IF(ISNUMBER(E7), IF(ISNUMBER(C6), C6+1, 1), "")</f>
        <v>3</v>
      </c>
      <c r="D7" t="s">
        <v>66</v>
      </c>
      <c r="E7">
        <v>1</v>
      </c>
      <c r="F7">
        <v>55</v>
      </c>
      <c r="G7" t="s">
        <v>38</v>
      </c>
      <c r="H7" s="4">
        <f>IF(Tabla111[[#This Row],[Cantidad]] &gt; 0,CEILING(( Tabla111[[#This Row],[Cantidad]]*Tabla111[[#This Row],[Precio]]) - IF(ISNUMBER(FIND("x", LOWER(G7))), ( Tabla111[[#This Row],[Cantidad]]* Tabla111[[#This Row],[Precio]] * IF(ISNUMBER(FIND("aceite", LOWER(Tabla111[[#This Row],[Producto]]))), 0.05, 0.1)), 0), 0.5), "")</f>
        <v>49.5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46288.428171296298</v>
      </c>
      <c r="C8">
        <f t="shared" ref="C8:C68" si="0">IF(ISNUMBER(E8), IF(ISNUMBER(C7), C7+1, 1), "")</f>
        <v>4</v>
      </c>
      <c r="D8" t="s">
        <v>67</v>
      </c>
      <c r="E8">
        <v>1</v>
      </c>
      <c r="F8">
        <v>15</v>
      </c>
      <c r="G8" t="s">
        <v>38</v>
      </c>
      <c r="H8" s="4">
        <f>IF(Tabla111[[#This Row],[Cantidad]] &gt; 0,CEILING(( Tabla111[[#This Row],[Cantidad]]*Tabla111[[#This Row],[Precio]]) - IF(ISNUMBER(FIND("x", LOWER(G8))), ( Tabla111[[#This Row],[Cantidad]]* Tabla111[[#This Row],[Precio]] * IF(ISNUMBER(FIND("aceite", LOWER(Tabla111[[#This Row],[Producto]]))), 0.05, 0.1)), 0), 0.5), "")</f>
        <v>13.5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46288.446053240739</v>
      </c>
      <c r="C9">
        <f t="shared" si="0"/>
        <v>5</v>
      </c>
      <c r="D9" t="s">
        <v>68</v>
      </c>
      <c r="E9">
        <v>1</v>
      </c>
      <c r="F9">
        <v>195</v>
      </c>
      <c r="H9" s="4">
        <f>IF(Tabla111[[#This Row],[Cantidad]] &gt; 0,CEILING(( Tabla111[[#This Row],[Cantidad]]*Tabla111[[#This Row],[Precio]]) - IF(ISNUMBER(FIND("x", LOWER(G9))), ( Tabla111[[#This Row],[Cantidad]]* Tabla111[[#This Row],[Precio]] * IF(ISNUMBER(FIND("aceite", LOWER(Tabla111[[#This Row],[Producto]]))), 0.05, 0.1)), 0), 0.5), "")</f>
        <v>195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46288.480115740742</v>
      </c>
      <c r="C10">
        <f t="shared" si="0"/>
        <v>6</v>
      </c>
      <c r="D10" t="s">
        <v>69</v>
      </c>
      <c r="E10">
        <v>1</v>
      </c>
      <c r="F10">
        <v>94</v>
      </c>
      <c r="H10" s="4">
        <f>IF(Tabla111[[#This Row],[Cantidad]] &gt; 0,CEILING(( Tabla111[[#This Row],[Cantidad]]*Tabla111[[#This Row],[Precio]]) - IF(ISNUMBER(FIND("x", LOWER(G10))), ( Tabla111[[#This Row],[Cantidad]]* Tabla111[[#This Row],[Precio]] * IF(ISNUMBER(FIND("aceite", LOWER(Tabla111[[#This Row],[Producto]]))), 0.05, 0.1)), 0), 0.5), "")</f>
        <v>94</v>
      </c>
      <c r="J10" s="30" t="s">
        <v>31</v>
      </c>
      <c r="K10" s="32">
        <f>IF(K4&lt;&gt;0,COUNTIF(G5:G103, "x")/K4, "")</f>
        <v>0.38095238095238093</v>
      </c>
      <c r="M10" s="18"/>
      <c r="N10" s="18"/>
      <c r="O10" s="18"/>
      <c r="P10" s="18"/>
      <c r="Q10" s="18"/>
      <c r="R10" s="18"/>
    </row>
    <row r="11" spans="2:18" x14ac:dyDescent="0.25">
      <c r="B11" s="13">
        <v>46288.485706018517</v>
      </c>
      <c r="C11">
        <f t="shared" si="0"/>
        <v>7</v>
      </c>
      <c r="D11" t="s">
        <v>70</v>
      </c>
      <c r="E11">
        <v>1</v>
      </c>
      <c r="F11">
        <v>420</v>
      </c>
      <c r="H11" s="4">
        <f>IF(Tabla111[[#This Row],[Cantidad]] &gt; 0,CEILING(( Tabla111[[#This Row],[Cantidad]]*Tabla111[[#This Row],[Precio]]) - IF(ISNUMBER(FIND("x", LOWER(G11))), ( Tabla111[[#This Row],[Cantidad]]* Tabla111[[#This Row],[Precio]] * IF(ISNUMBER(FIND("aceite", LOWER(Tabla111[[#This Row],[Producto]]))), 0.05, 0.1)), 0), 0.5), "")</f>
        <v>420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46288.498483796298</v>
      </c>
      <c r="C12">
        <f t="shared" si="0"/>
        <v>8</v>
      </c>
      <c r="D12" t="s">
        <v>57</v>
      </c>
      <c r="E12">
        <v>1</v>
      </c>
      <c r="F12">
        <v>130</v>
      </c>
      <c r="G12" t="s">
        <v>38</v>
      </c>
      <c r="H12" s="4">
        <f>IF(Tabla111[[#This Row],[Cantidad]] &gt; 0,CEILING(( Tabla111[[#This Row],[Cantidad]]*Tabla111[[#This Row],[Precio]]) - IF(ISNUMBER(FIND("x", LOWER(G12))), ( Tabla111[[#This Row],[Cantidad]]* Tabla111[[#This Row],[Precio]] * IF(ISNUMBER(FIND("aceite", LOWER(Tabla111[[#This Row],[Producto]]))), 0.05, 0.1)), 0), 0.5), "")</f>
        <v>123.5</v>
      </c>
      <c r="J12" s="30" t="s">
        <v>32</v>
      </c>
      <c r="K12" s="32">
        <f>IF(K4&lt;&gt;0,(K4-COUNTIF(G5:G103,"x"))/K4,"")</f>
        <v>0.61904761904761907</v>
      </c>
      <c r="M12" s="18"/>
      <c r="N12" s="18"/>
      <c r="O12" s="18"/>
      <c r="P12" s="18"/>
      <c r="Q12" s="18"/>
      <c r="R12" s="18"/>
    </row>
    <row r="13" spans="2:18" x14ac:dyDescent="0.25">
      <c r="B13" s="13">
        <v>46288.557962962965</v>
      </c>
      <c r="C13">
        <f t="shared" si="0"/>
        <v>9</v>
      </c>
      <c r="D13" t="s">
        <v>44</v>
      </c>
      <c r="E13">
        <v>1</v>
      </c>
      <c r="F13">
        <v>147</v>
      </c>
      <c r="G13" t="s">
        <v>38</v>
      </c>
      <c r="H13" s="4">
        <f>IF(Tabla111[[#This Row],[Cantidad]] &gt; 0,CEILING(( Tabla111[[#This Row],[Cantidad]]*Tabla111[[#This Row],[Precio]]) - IF(ISNUMBER(FIND("x", LOWER(G13))), ( Tabla111[[#This Row],[Cantidad]]* Tabla111[[#This Row],[Precio]] * IF(ISNUMBER(FIND("aceite", LOWER(Tabla111[[#This Row],[Producto]]))), 0.05, 0.1)), 0), 0.5), "")</f>
        <v>140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46288.558634259258</v>
      </c>
      <c r="C14">
        <f t="shared" si="0"/>
        <v>10</v>
      </c>
      <c r="D14" t="s">
        <v>71</v>
      </c>
      <c r="E14">
        <v>1</v>
      </c>
      <c r="F14">
        <v>95</v>
      </c>
      <c r="G14" t="s">
        <v>38</v>
      </c>
      <c r="H14" s="4">
        <f>IF(Tabla111[[#This Row],[Cantidad]] &gt; 0,CEILING(( Tabla111[[#This Row],[Cantidad]]*Tabla111[[#This Row],[Precio]]) - IF(ISNUMBER(FIND("x", LOWER(G14))), ( Tabla111[[#This Row],[Cantidad]]* Tabla111[[#This Row],[Precio]] * IF(ISNUMBER(FIND("aceite", LOWER(Tabla111[[#This Row],[Producto]]))), 0.05, 0.1)), 0), 0.5), "")</f>
        <v>85.5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46288.601469907408</v>
      </c>
      <c r="C15">
        <f t="shared" si="0"/>
        <v>11</v>
      </c>
      <c r="D15" t="s">
        <v>72</v>
      </c>
      <c r="E15">
        <v>1</v>
      </c>
      <c r="F15">
        <v>100</v>
      </c>
      <c r="H15" s="4">
        <f>IF(Tabla111[[#This Row],[Cantidad]] &gt; 0,CEILING(( Tabla111[[#This Row],[Cantidad]]*Tabla111[[#This Row],[Precio]]) - IF(ISNUMBER(FIND("x", LOWER(G15))), ( Tabla111[[#This Row],[Cantidad]]* Tabla111[[#This Row],[Precio]] * IF(ISNUMBER(FIND("aceite", LOWER(Tabla111[[#This Row],[Producto]]))), 0.05, 0.1)), 0), 0.5), "")</f>
        <v>100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46288.638356481482</v>
      </c>
      <c r="C16">
        <f t="shared" si="0"/>
        <v>12</v>
      </c>
      <c r="D16" t="s">
        <v>73</v>
      </c>
      <c r="E16">
        <v>1</v>
      </c>
      <c r="F16">
        <v>625</v>
      </c>
      <c r="H16" s="4">
        <f>IF(Tabla111[[#This Row],[Cantidad]] &gt; 0,CEILING(( Tabla111[[#This Row],[Cantidad]]*Tabla111[[#This Row],[Precio]]) - IF(ISNUMBER(FIND("x", LOWER(G16))), ( Tabla111[[#This Row],[Cantidad]]* Tabla111[[#This Row],[Precio]] * IF(ISNUMBER(FIND("aceite", LOWER(Tabla111[[#This Row],[Producto]]))), 0.05, 0.1)), 0), 0.5), "")</f>
        <v>625</v>
      </c>
      <c r="J16" s="20" t="s">
        <v>26</v>
      </c>
      <c r="K16" s="22">
        <v>13882.5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46288.667800925927</v>
      </c>
      <c r="C17">
        <f t="shared" si="0"/>
        <v>13</v>
      </c>
      <c r="D17" t="s">
        <v>74</v>
      </c>
      <c r="E17">
        <v>1</v>
      </c>
      <c r="F17">
        <v>34</v>
      </c>
      <c r="G17" t="s">
        <v>38</v>
      </c>
      <c r="H17" s="4">
        <f>IF(Tabla111[[#This Row],[Cantidad]] &gt; 0,CEILING(( Tabla111[[#This Row],[Cantidad]]*Tabla111[[#This Row],[Precio]]) - IF(ISNUMBER(FIND("x", LOWER(G17))), ( Tabla111[[#This Row],[Cantidad]]* Tabla111[[#This Row],[Precio]] * IF(ISNUMBER(FIND("aceite", LOWER(Tabla111[[#This Row],[Producto]]))), 0.05, 0.1)), 0), 0.5), "")</f>
        <v>31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46288.681041666663</v>
      </c>
      <c r="C18">
        <f t="shared" si="0"/>
        <v>14</v>
      </c>
      <c r="D18" t="s">
        <v>75</v>
      </c>
      <c r="E18">
        <v>1</v>
      </c>
      <c r="F18">
        <v>30</v>
      </c>
      <c r="H18" s="4">
        <f>IF(Tabla111[[#This Row],[Cantidad]] &gt; 0,CEILING(( Tabla111[[#This Row],[Cantidad]]*Tabla111[[#This Row],[Precio]]) - IF(ISNUMBER(FIND("x", LOWER(G18))), ( Tabla111[[#This Row],[Cantidad]]* Tabla111[[#This Row],[Precio]] * IF(ISNUMBER(FIND("aceite", LOWER(Tabla111[[#This Row],[Producto]]))), 0.05, 0.1)), 0), 0.5), "")</f>
        <v>30</v>
      </c>
      <c r="J18" s="23" t="s">
        <v>27</v>
      </c>
      <c r="K18" s="25">
        <f>SUM(O27:O52)</f>
        <v>4573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46288.752187500002</v>
      </c>
      <c r="C19">
        <f t="shared" si="0"/>
        <v>15</v>
      </c>
      <c r="D19" t="s">
        <v>76</v>
      </c>
      <c r="E19">
        <v>1</v>
      </c>
      <c r="F19">
        <v>20</v>
      </c>
      <c r="H19" s="4">
        <f>IF(Tabla111[[#This Row],[Cantidad]] &gt; 0,CEILING(( Tabla111[[#This Row],[Cantidad]]*Tabla111[[#This Row],[Precio]]) - IF(ISNUMBER(FIND("x", LOWER(G19))), ( Tabla111[[#This Row],[Cantidad]]* Tabla111[[#This Row],[Precio]] * IF(ISNUMBER(FIND("aceite", LOWER(Tabla111[[#This Row],[Producto]]))), 0.05, 0.1)), 0), 0.5), "")</f>
        <v>20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46288.752268518518</v>
      </c>
      <c r="C20">
        <f t="shared" si="0"/>
        <v>16</v>
      </c>
      <c r="D20" t="s">
        <v>77</v>
      </c>
      <c r="E20">
        <v>1</v>
      </c>
      <c r="F20">
        <v>15</v>
      </c>
      <c r="H20" s="4">
        <f>IF(Tabla111[[#This Row],[Cantidad]] &gt; 0,CEILING(( Tabla111[[#This Row],[Cantidad]]*Tabla111[[#This Row],[Precio]]) - IF(ISNUMBER(FIND("x", LOWER(G20))), ( Tabla111[[#This Row],[Cantidad]]* Tabla111[[#This Row],[Precio]] * IF(ISNUMBER(FIND("aceite", LOWER(Tabla111[[#This Row],[Producto]]))), 0.05, 0.1)), 0), 0.5), "")</f>
        <v>15</v>
      </c>
      <c r="J20" s="26" t="s">
        <v>29</v>
      </c>
      <c r="K20" s="28">
        <f>K16-K18</f>
        <v>9309.5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46288.752314814818</v>
      </c>
      <c r="C21">
        <f t="shared" si="0"/>
        <v>17</v>
      </c>
      <c r="D21" t="s">
        <v>45</v>
      </c>
      <c r="E21">
        <v>1</v>
      </c>
      <c r="F21">
        <v>5</v>
      </c>
      <c r="H21" s="4">
        <f>IF(Tabla111[[#This Row],[Cantidad]] &gt; 0,CEILING(( Tabla111[[#This Row],[Cantidad]]*Tabla111[[#This Row],[Precio]]) - IF(ISNUMBER(FIND("x", LOWER(G21))), ( Tabla111[[#This Row],[Cantidad]]* Tabla111[[#This Row],[Precio]] * IF(ISNUMBER(FIND("aceite", LOWER(Tabla111[[#This Row],[Producto]]))), 0.05, 0.1)), 0), 0.5), "")</f>
        <v>5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>
        <v>46288.760682870372</v>
      </c>
      <c r="C22">
        <f t="shared" si="0"/>
        <v>18</v>
      </c>
      <c r="D22" t="s">
        <v>78</v>
      </c>
      <c r="E22">
        <v>1</v>
      </c>
      <c r="F22">
        <v>96</v>
      </c>
      <c r="H22" s="4">
        <f>IF(Tabla111[[#This Row],[Cantidad]] &gt; 0,CEILING(( Tabla111[[#This Row],[Cantidad]]*Tabla111[[#This Row],[Precio]]) - IF(ISNUMBER(FIND("x", LOWER(G22))), ( Tabla111[[#This Row],[Cantidad]]* Tabla111[[#This Row],[Precio]] * IF(ISNUMBER(FIND("aceite", LOWER(Tabla111[[#This Row],[Producto]]))), 0.05, 0.1)), 0), 0.5), "")</f>
        <v>96</v>
      </c>
      <c r="M22" s="18"/>
      <c r="N22" s="18"/>
      <c r="O22" s="18"/>
      <c r="P22" s="18"/>
      <c r="Q22" s="18"/>
      <c r="R22" s="18"/>
    </row>
    <row r="23" spans="2:18" x14ac:dyDescent="0.25">
      <c r="B23" s="13">
        <v>46288.838310185187</v>
      </c>
      <c r="C23">
        <f t="shared" si="0"/>
        <v>19</v>
      </c>
      <c r="D23" t="s">
        <v>80</v>
      </c>
      <c r="E23">
        <v>2</v>
      </c>
      <c r="F23">
        <v>5</v>
      </c>
      <c r="H23" s="4">
        <f>IF(Tabla111[[#This Row],[Cantidad]] &gt; 0,CEILING(( Tabla111[[#This Row],[Cantidad]]*Tabla111[[#This Row],[Precio]]) - IF(ISNUMBER(FIND("x", LOWER(G23))), ( Tabla111[[#This Row],[Cantidad]]* Tabla111[[#This Row],[Precio]] * IF(ISNUMBER(FIND("aceite", LOWER(Tabla111[[#This Row],[Producto]]))), 0.05, 0.1)), 0), 0.5), "")</f>
        <v>10</v>
      </c>
    </row>
    <row r="24" spans="2:18" ht="15" customHeight="1" x14ac:dyDescent="0.25">
      <c r="B24" s="13">
        <v>46288.85738425926</v>
      </c>
      <c r="C24">
        <f t="shared" si="0"/>
        <v>20</v>
      </c>
      <c r="D24" t="s">
        <v>81</v>
      </c>
      <c r="E24">
        <v>1</v>
      </c>
      <c r="F24">
        <v>600</v>
      </c>
      <c r="H24" s="4">
        <f>IF(Tabla111[[#This Row],[Cantidad]] &gt; 0,CEILING(( Tabla111[[#This Row],[Cantidad]]*Tabla111[[#This Row],[Precio]]) - IF(ISNUMBER(FIND("x", LOWER(G24))), ( Tabla111[[#This Row],[Cantidad]]* Tabla111[[#This Row],[Precio]] * IF(ISNUMBER(FIND("aceite", LOWER(Tabla111[[#This Row],[Producto]]))), 0.05, 0.1)), 0), 0.5), "")</f>
        <v>600</v>
      </c>
      <c r="M24" s="41" t="s">
        <v>20</v>
      </c>
      <c r="N24" s="41"/>
      <c r="O24" s="41"/>
      <c r="P24" s="41"/>
      <c r="Q24" s="41"/>
      <c r="R24" s="41"/>
    </row>
    <row r="25" spans="2:18" x14ac:dyDescent="0.25">
      <c r="B25" s="13">
        <v>46288.876307870371</v>
      </c>
      <c r="C25">
        <f t="shared" si="0"/>
        <v>21</v>
      </c>
      <c r="D25" t="s">
        <v>45</v>
      </c>
      <c r="E25">
        <v>1</v>
      </c>
      <c r="F25">
        <v>5</v>
      </c>
      <c r="H25" s="4">
        <f>IF(Tabla111[[#This Row],[Cantidad]] &gt; 0,CEILING(( Tabla111[[#This Row],[Cantidad]]*Tabla111[[#This Row],[Precio]]) - IF(ISNUMBER(FIND("x", LOWER(G25))), ( Tabla111[[#This Row],[Cantidad]]* Tabla111[[#This Row],[Precio]] * IF(ISNUMBER(FIND("aceite", LOWER(Tabla111[[#This Row],[Producto]]))), 0.05, 0.1)), 0), 0.5), "")</f>
        <v>5</v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IF(Tabla111[[#This Row],[Cantidad]] &gt; 0,CEILING(( Tabla111[[#This Row],[Cantidad]]*Tabla111[[#This Row],[Precio]]) - IF(ISNUMBER(FIND("x", LOWER(G26))), ( Tabla111[[#This Row],[Cantidad]]* Tabla111[[#This Row],[Precio]] * IF(ISNUMBER(FIND("aceite", LOWER(Tabla111[[#This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x14ac:dyDescent="0.25">
      <c r="B27" s="13"/>
      <c r="C27" t="str">
        <f t="shared" si="0"/>
        <v/>
      </c>
      <c r="H27" s="4" t="str">
        <f>IF(Tabla111[[#This Row],[Cantidad]] &gt; 0,CEILING(( Tabla111[[#This Row],[Cantidad]]*Tabla111[[#This Row],[Precio]]) - IF(ISNUMBER(FIND("x", LOWER(G27))), ( Tabla111[[#This Row],[Cantidad]]* Tabla111[[#This Row],[Precio]] * IF(ISNUMBER(FIND("aceite", LOWER(Tabla111[[#This Row],[Producto]]))), 0.05, 0.1)), 0), 0.5), "")</f>
        <v/>
      </c>
      <c r="M27" s="44" t="s">
        <v>79</v>
      </c>
      <c r="N27" s="45"/>
      <c r="O27" s="33">
        <v>4573</v>
      </c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IF(Tabla111[[#This Row],[Cantidad]] &gt; 0,CEILING(( Tabla111[[#This Row],[Cantidad]]*Tabla111[[#This Row],[Precio]]) - IF(ISNUMBER(FIND("x", LOWER(G28))), ( Tabla111[[#This Row],[Cantidad]]* Tabla111[[#This Row],[Precio]] * IF(ISNUMBER(FIND("aceite", LOWER(Tabla111[[#This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IF(Tabla111[[#This Row],[Cantidad]] &gt; 0,CEILING(( Tabla111[[#This Row],[Cantidad]]*Tabla111[[#This Row],[Precio]]) - IF(ISNUMBER(FIND("x", LOWER(G29))), ( Tabla111[[#This Row],[Cantidad]]* Tabla111[[#This Row],[Precio]] * IF(ISNUMBER(FIND("aceite", LOWER(Tabla111[[#This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IF(Tabla111[[#This Row],[Cantidad]] &gt; 0,CEILING(( Tabla111[[#This Row],[Cantidad]]*Tabla111[[#This Row],[Precio]]) - IF(ISNUMBER(FIND("x", LOWER(G30))), ( Tabla111[[#This Row],[Cantidad]]* Tabla111[[#This Row],[Precio]] * IF(ISNUMBER(FIND("aceite", LOWER(Tabla111[[#This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IF(Tabla111[[#This Row],[Cantidad]] &gt; 0,CEILING(( Tabla111[[#This Row],[Cantidad]]*Tabla111[[#This Row],[Precio]]) - IF(ISNUMBER(FIND("x", LOWER(G31))), ( Tabla111[[#This Row],[Cantidad]]* Tabla111[[#This Row],[Precio]] * IF(ISNUMBER(FIND("aceite", LOWER(Tabla111[[#This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IF(Tabla111[[#This Row],[Cantidad]] &gt; 0,CEILING(( Tabla111[[#This Row],[Cantidad]]*Tabla111[[#This Row],[Precio]]) - IF(ISNUMBER(FIND("x", LOWER(G32))), ( Tabla111[[#This Row],[Cantidad]]* Tabla111[[#This Row],[Precio]] * IF(ISNUMBER(FIND("aceite", LOWER(Tabla111[[#This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IF(Tabla111[[#This Row],[Cantidad]] &gt; 0,CEILING(( Tabla111[[#This Row],[Cantidad]]*Tabla111[[#This Row],[Precio]]) - IF(ISNUMBER(FIND("x", LOWER(G33))), ( Tabla111[[#This Row],[Cantidad]]* Tabla111[[#This Row],[Precio]] * IF(ISNUMBER(FIND("aceite", LOWER(Tabla111[[#This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IF(Tabla111[[#This Row],[Cantidad]] &gt; 0,CEILING(( Tabla111[[#This Row],[Cantidad]]*Tabla111[[#This Row],[Precio]]) - IF(ISNUMBER(FIND("x", LOWER(G34))), ( Tabla111[[#This Row],[Cantidad]]* Tabla111[[#This Row],[Precio]] * IF(ISNUMBER(FIND("aceite", LOWER(Tabla111[[#This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IF(Tabla111[[#This Row],[Cantidad]] &gt; 0,CEILING(( Tabla111[[#This Row],[Cantidad]]*Tabla111[[#This Row],[Precio]]) - IF(ISNUMBER(FIND("x", LOWER(G35))), ( Tabla111[[#This Row],[Cantidad]]* Tabla111[[#This Row],[Precio]] * IF(ISNUMBER(FIND("aceite", LOWER(Tabla111[[#This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IF(Tabla111[[#This Row],[Cantidad]] &gt; 0,CEILING(( Tabla111[[#This Row],[Cantidad]]*Tabla111[[#This Row],[Precio]]) - IF(ISNUMBER(FIND("x", LOWER(G36))), ( Tabla111[[#This Row],[Cantidad]]* Tabla111[[#This Row],[Precio]] * IF(ISNUMBER(FIND("aceite", LOWER(Tabla111[[#This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si="0"/>
        <v/>
      </c>
      <c r="H37" s="4" t="str">
        <f>IF(Tabla111[[#This Row],[Cantidad]] &gt; 0,CEILING(( Tabla111[[#This Row],[Cantidad]]*Tabla111[[#This Row],[Precio]]) - IF(ISNUMBER(FIND("x", LOWER(G37))), ( Tabla111[[#This Row],[Cantidad]]* Tabla111[[#This Row],[Precio]] * IF(ISNUMBER(FIND("aceite", LOWER(Tabla111[[#This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0"/>
        <v/>
      </c>
      <c r="H38" s="4" t="str">
        <f>IF(Tabla111[[#This Row],[Cantidad]] &gt; 0,CEILING(( Tabla111[[#This Row],[Cantidad]]*Tabla111[[#This Row],[Precio]]) - IF(ISNUMBER(FIND("x", LOWER(G38))), ( Tabla111[[#This Row],[Cantidad]]* Tabla111[[#This Row],[Precio]] * IF(ISNUMBER(FIND("aceite", LOWER(Tabla111[[#This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0"/>
        <v/>
      </c>
      <c r="H39" s="4" t="str">
        <f>IF(Tabla111[[#This Row],[Cantidad]] &gt; 0,CEILING(( Tabla111[[#This Row],[Cantidad]]*Tabla111[[#This Row],[Precio]]) - IF(ISNUMBER(FIND("x", LOWER(G39))), ( Tabla111[[#This Row],[Cantidad]]* Tabla111[[#This Row],[Precio]] * IF(ISNUMBER(FIND("aceite", LOWER(Tabla111[[#This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0"/>
        <v/>
      </c>
      <c r="H40" s="4" t="str">
        <f>IF(Tabla111[[#This Row],[Cantidad]] &gt; 0,CEILING(( Tabla111[[#This Row],[Cantidad]]*Tabla111[[#This Row],[Precio]]) - IF(ISNUMBER(FIND("x", LOWER(G40))), ( Tabla111[[#This Row],[Cantidad]]* Tabla111[[#This Row],[Precio]] * IF(ISNUMBER(FIND("aceite", LOWER(Tabla111[[#This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0"/>
        <v/>
      </c>
      <c r="H41" s="4" t="str">
        <f>IF(Tabla111[[#This Row],[Cantidad]] &gt; 0,CEILING(( Tabla111[[#This Row],[Cantidad]]*Tabla111[[#This Row],[Precio]]) - IF(ISNUMBER(FIND("x", LOWER(G41))), ( Tabla111[[#This Row],[Cantidad]]* Tabla111[[#This Row],[Precio]] * IF(ISNUMBER(FIND("aceite", LOWER(Tabla111[[#This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0"/>
        <v/>
      </c>
      <c r="H42" s="4" t="str">
        <f>IF(Tabla111[[#This Row],[Cantidad]] &gt; 0,CEILING(( Tabla111[[#This Row],[Cantidad]]*Tabla111[[#This Row],[Precio]]) - IF(ISNUMBER(FIND("x", LOWER(G42))), ( Tabla111[[#This Row],[Cantidad]]* Tabla111[[#This Row],[Precio]] * IF(ISNUMBER(FIND("aceite", LOWER(Tabla111[[#This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0"/>
        <v/>
      </c>
      <c r="H43" s="4" t="str">
        <f>IF(Tabla111[[#This Row],[Cantidad]] &gt; 0,CEILING(( Tabla111[[#This Row],[Cantidad]]*Tabla111[[#This Row],[Precio]]) - IF(ISNUMBER(FIND("x", LOWER(G43))), ( Tabla111[[#This Row],[Cantidad]]* Tabla111[[#This Row],[Precio]] * IF(ISNUMBER(FIND("aceite", LOWER(Tabla111[[#This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0"/>
        <v/>
      </c>
      <c r="H44" s="4" t="str">
        <f>IF(Tabla111[[#This Row],[Cantidad]] &gt; 0,CEILING(( Tabla111[[#This Row],[Cantidad]]*Tabla111[[#This Row],[Precio]]) - IF(ISNUMBER(FIND("x", LOWER(G44))), ( Tabla111[[#This Row],[Cantidad]]* Tabla111[[#This Row],[Precio]] * IF(ISNUMBER(FIND("aceite", LOWER(Tabla111[[#This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IF(Tabla111[[#This Row],[Cantidad]] &gt; 0,CEILING(( Tabla111[[#This Row],[Cantidad]]*Tabla111[[#This Row],[Precio]]) - IF(ISNUMBER(FIND("x", LOWER(G45))), ( Tabla111[[#This Row],[Cantidad]]* Tabla111[[#This Row],[Precio]] * IF(ISNUMBER(FIND("aceite", LOWER(Tabla111[[#This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IF(Tabla111[[#This Row],[Cantidad]] &gt; 0,CEILING(( Tabla111[[#This Row],[Cantidad]]*Tabla111[[#This Row],[Precio]]) - IF(ISNUMBER(FIND("x", LOWER(G46))), ( Tabla111[[#This Row],[Cantidad]]* Tabla111[[#This Row],[Precio]] * IF(ISNUMBER(FIND("aceite", LOWER(Tabla111[[#This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IF(Tabla111[[#This Row],[Cantidad]] &gt; 0,CEILING(( Tabla111[[#This Row],[Cantidad]]*Tabla111[[#This Row],[Precio]]) - IF(ISNUMBER(FIND("x", LOWER(G47))), ( Tabla111[[#This Row],[Cantidad]]* Tabla111[[#This Row],[Precio]] * IF(ISNUMBER(FIND("aceite", LOWER(Tabla111[[#This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IF(Tabla111[[#This Row],[Cantidad]] &gt; 0,CEILING(( Tabla111[[#This Row],[Cantidad]]*Tabla111[[#This Row],[Precio]]) - IF(ISNUMBER(FIND("x", LOWER(G48))), ( Tabla111[[#This Row],[Cantidad]]* Tabla111[[#This Row],[Precio]] * IF(ISNUMBER(FIND("aceite", LOWER(Tabla111[[#This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IF(Tabla111[[#This Row],[Cantidad]] &gt; 0,CEILING(( Tabla111[[#This Row],[Cantidad]]*Tabla111[[#This Row],[Precio]]) - IF(ISNUMBER(FIND("x", LOWER(G49))), ( Tabla111[[#This Row],[Cantidad]]* Tabla111[[#This Row],[Precio]] * IF(ISNUMBER(FIND("aceite", LOWER(Tabla111[[#This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IF(Tabla111[[#This Row],[Cantidad]] &gt; 0,CEILING(( Tabla111[[#This Row],[Cantidad]]*Tabla111[[#This Row],[Precio]]) - IF(ISNUMBER(FIND("x", LOWER(G50))), ( Tabla111[[#This Row],[Cantidad]]* Tabla111[[#This Row],[Precio]] * IF(ISNUMBER(FIND("aceite", LOWER(Tabla111[[#This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IF(Tabla111[[#This Row],[Cantidad]] &gt; 0,CEILING(( Tabla111[[#This Row],[Cantidad]]*Tabla111[[#This Row],[Precio]]) - IF(ISNUMBER(FIND("x", LOWER(G51))), ( Tabla111[[#This Row],[Cantidad]]* Tabla111[[#This Row],[Precio]] * IF(ISNUMBER(FIND("aceite", LOWER(Tabla111[[#This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IF(Tabla111[[#This Row],[Cantidad]] &gt; 0,CEILING(( Tabla111[[#This Row],[Cantidad]]*Tabla111[[#This Row],[Precio]]) - IF(ISNUMBER(FIND("x", LOWER(G52))), ( Tabla111[[#This Row],[Cantidad]]* Tabla111[[#This Row],[Precio]] * IF(ISNUMBER(FIND("aceite", LOWER(Tabla111[[#This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IF(Tabla111[[#This Row],[Cantidad]] &gt; 0,CEILING(( Tabla111[[#This Row],[Cantidad]]*Tabla111[[#This Row],[Precio]]) - IF(ISNUMBER(FIND("x", LOWER(G53))), ( Tabla111[[#This Row],[Cantidad]]* Tabla111[[#This Row],[Precio]] * IF(ISNUMBER(FIND("aceite", LOWER(Tabla111[[#This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IF(Tabla111[[#This Row],[Cantidad]] &gt; 0,CEILING(( Tabla111[[#This Row],[Cantidad]]*Tabla111[[#This Row],[Precio]]) - IF(ISNUMBER(FIND("x", LOWER(G54))), ( Tabla111[[#This Row],[Cantidad]]* Tabla111[[#This Row],[Precio]] * IF(ISNUMBER(FIND("aceite", LOWER(Tabla111[[#This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IF(Tabla111[[#This Row],[Cantidad]] &gt; 0,CEILING(( Tabla111[[#This Row],[Cantidad]]*Tabla111[[#This Row],[Precio]]) - IF(ISNUMBER(FIND("x", LOWER(G55))), ( Tabla111[[#This Row],[Cantidad]]* Tabla111[[#This Row],[Precio]] * IF(ISNUMBER(FIND("aceite", LOWER(Tabla111[[#This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IF(Tabla111[[#This Row],[Cantidad]] &gt; 0,CEILING(( Tabla111[[#This Row],[Cantidad]]*Tabla111[[#This Row],[Precio]]) - IF(ISNUMBER(FIND("x", LOWER(G56))), ( Tabla111[[#This Row],[Cantidad]]* Tabla111[[#This Row],[Precio]] * IF(ISNUMBER(FIND("aceite", LOWER(Tabla111[[#This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IF(Tabla111[[#This Row],[Cantidad]] &gt; 0,CEILING(( Tabla111[[#This Row],[Cantidad]]*Tabla111[[#This Row],[Precio]]) - IF(ISNUMBER(FIND("x", LOWER(G57))), ( Tabla111[[#This Row],[Cantidad]]* Tabla111[[#This Row],[Precio]] * IF(ISNUMBER(FIND("aceite", LOWER(Tabla111[[#This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IF(Tabla111[[#This Row],[Cantidad]] &gt; 0,CEILING(( Tabla111[[#This Row],[Cantidad]]*Tabla111[[#This Row],[Precio]]) - IF(ISNUMBER(FIND("x", LOWER(G58))), ( Tabla111[[#This Row],[Cantidad]]* Tabla111[[#This Row],[Precio]] * IF(ISNUMBER(FIND("aceite", LOWER(Tabla111[[#This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IF(Tabla111[[#This Row],[Cantidad]] &gt; 0,CEILING(( Tabla111[[#This Row],[Cantidad]]*Tabla111[[#This Row],[Precio]]) - IF(ISNUMBER(FIND("x", LOWER(G59))), ( Tabla111[[#This Row],[Cantidad]]* Tabla111[[#This Row],[Precio]] * IF(ISNUMBER(FIND("aceite", LOWER(Tabla111[[#This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IF(Tabla111[[#This Row],[Cantidad]] &gt; 0,CEILING(( Tabla111[[#This Row],[Cantidad]]*Tabla111[[#This Row],[Precio]]) - IF(ISNUMBER(FIND("x", LOWER(G60))), ( Tabla111[[#This Row],[Cantidad]]* Tabla111[[#This Row],[Precio]] * IF(ISNUMBER(FIND("aceite", LOWER(Tabla111[[#This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IF(Tabla111[[#This Row],[Cantidad]] &gt; 0,CEILING(( Tabla111[[#This Row],[Cantidad]]*Tabla111[[#This Row],[Precio]]) - IF(ISNUMBER(FIND("x", LOWER(G61))), ( Tabla111[[#This Row],[Cantidad]]* Tabla111[[#This Row],[Precio]] * IF(ISNUMBER(FIND("aceite", LOWER(Tabla111[[#This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IF(Tabla111[[#This Row],[Cantidad]] &gt; 0,CEILING(( Tabla111[[#This Row],[Cantidad]]*Tabla111[[#This Row],[Precio]]) - IF(ISNUMBER(FIND("x", LOWER(G62))), ( Tabla111[[#This Row],[Cantidad]]* Tabla111[[#This Row],[Precio]] * IF(ISNUMBER(FIND("aceite", LOWER(Tabla111[[#This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IF(Tabla111[[#This Row],[Cantidad]] &gt; 0,CEILING(( Tabla111[[#This Row],[Cantidad]]*Tabla111[[#This Row],[Precio]]) - IF(ISNUMBER(FIND("x", LOWER(G63))), ( Tabla111[[#This Row],[Cantidad]]* Tabla111[[#This Row],[Precio]] * IF(ISNUMBER(FIND("aceite", LOWER(Tabla111[[#This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IF(Tabla111[[#This Row],[Cantidad]] &gt; 0,CEILING(( Tabla111[[#This Row],[Cantidad]]*Tabla111[[#This Row],[Precio]]) - IF(ISNUMBER(FIND("x", LOWER(G64))), ( Tabla111[[#This Row],[Cantidad]]* Tabla111[[#This Row],[Precio]] * IF(ISNUMBER(FIND("aceite", LOWER(Tabla111[[#This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IF(Tabla111[[#This Row],[Cantidad]] &gt; 0,CEILING(( Tabla111[[#This Row],[Cantidad]]*Tabla111[[#This Row],[Precio]]) - IF(ISNUMBER(FIND("x", LOWER(G65))), ( Tabla111[[#This Row],[Cantidad]]* Tabla111[[#This Row],[Precio]] * IF(ISNUMBER(FIND("aceite", LOWER(Tabla111[[#This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IF(Tabla111[[#This Row],[Cantidad]] &gt; 0,CEILING(( Tabla111[[#This Row],[Cantidad]]*Tabla111[[#This Row],[Precio]]) - IF(ISNUMBER(FIND("x", LOWER(G66))), ( Tabla111[[#This Row],[Cantidad]]* Tabla111[[#This Row],[Precio]] * IF(ISNUMBER(FIND("aceite", LOWER(Tabla111[[#This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IF(Tabla111[[#This Row],[Cantidad]] &gt; 0,CEILING(( Tabla111[[#This Row],[Cantidad]]*Tabla111[[#This Row],[Precio]]) - IF(ISNUMBER(FIND("x", LOWER(G67))), ( Tabla111[[#This Row],[Cantidad]]* Tabla111[[#This Row],[Precio]] * IF(ISNUMBER(FIND("aceite", LOWER(Tabla111[[#This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IF(Tabla111[[#This Row],[Cantidad]] &gt; 0,CEILING(( Tabla111[[#This Row],[Cantidad]]*Tabla111[[#This Row],[Precio]]) - IF(ISNUMBER(FIND("x", LOWER(G68))), ( Tabla111[[#This Row],[Cantidad]]* Tabla111[[#This Row],[Precio]] * IF(ISNUMBER(FIND("aceite", LOWER(Tabla111[[#This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IF(Tabla111[[#This Row],[Cantidad]] &gt; 0,CEILING(( Tabla111[[#This Row],[Cantidad]]*Tabla111[[#This Row],[Precio]]) - IF(ISNUMBER(FIND("x", LOWER(G69))), ( Tabla111[[#This Row],[Cantidad]]* Tabla111[[#This Row],[Precio]] * IF(ISNUMBER(FIND("aceite", LOWER(Tabla111[[#This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IF(Tabla111[[#This Row],[Cantidad]] &gt; 0,CEILING(( Tabla111[[#This Row],[Cantidad]]*Tabla111[[#This Row],[Precio]]) - IF(ISNUMBER(FIND("x", LOWER(G70))), ( Tabla111[[#This Row],[Cantidad]]* Tabla111[[#This Row],[Precio]] * IF(ISNUMBER(FIND("aceite", LOWER(Tabla111[[#This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IF(Tabla111[[#This Row],[Cantidad]] &gt; 0,CEILING(( Tabla111[[#This Row],[Cantidad]]*Tabla111[[#This Row],[Precio]]) - IF(ISNUMBER(FIND("x", LOWER(G71))), ( Tabla111[[#This Row],[Cantidad]]* Tabla111[[#This Row],[Precio]] * IF(ISNUMBER(FIND("aceite", LOWER(Tabla111[[#This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IF(Tabla111[[#This Row],[Cantidad]] &gt; 0,CEILING(( Tabla111[[#This Row],[Cantidad]]*Tabla111[[#This Row],[Precio]]) - IF(ISNUMBER(FIND("x", LOWER(G72))), ( Tabla111[[#This Row],[Cantidad]]* Tabla111[[#This Row],[Precio]] * IF(ISNUMBER(FIND("aceite", LOWER(Tabla111[[#This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IF(Tabla111[[#This Row],[Cantidad]] &gt; 0,CEILING(( Tabla111[[#This Row],[Cantidad]]*Tabla111[[#This Row],[Precio]]) - IF(ISNUMBER(FIND("x", LOWER(G73))), ( Tabla111[[#This Row],[Cantidad]]* Tabla111[[#This Row],[Precio]] * IF(ISNUMBER(FIND("aceite", LOWER(Tabla111[[#This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IF(Tabla111[[#This Row],[Cantidad]] &gt; 0,CEILING(( Tabla111[[#This Row],[Cantidad]]*Tabla111[[#This Row],[Precio]]) - IF(ISNUMBER(FIND("x", LOWER(G74))), ( Tabla111[[#This Row],[Cantidad]]* Tabla111[[#This Row],[Precio]] * IF(ISNUMBER(FIND("aceite", LOWER(Tabla111[[#This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IF(Tabla111[[#This Row],[Cantidad]] &gt; 0,CEILING(( Tabla111[[#This Row],[Cantidad]]*Tabla111[[#This Row],[Precio]]) - IF(ISNUMBER(FIND("x", LOWER(G75))), ( Tabla111[[#This Row],[Cantidad]]* Tabla111[[#This Row],[Precio]] * IF(ISNUMBER(FIND("aceite", LOWER(Tabla111[[#This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IF(Tabla111[[#This Row],[Cantidad]] &gt; 0,CEILING(( Tabla111[[#This Row],[Cantidad]]*Tabla111[[#This Row],[Precio]]) - IF(ISNUMBER(FIND("x", LOWER(G76))), ( Tabla111[[#This Row],[Cantidad]]* Tabla111[[#This Row],[Precio]] * IF(ISNUMBER(FIND("aceite", LOWER(Tabla111[[#This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IF(Tabla111[[#This Row],[Cantidad]] &gt; 0,CEILING(( Tabla111[[#This Row],[Cantidad]]*Tabla111[[#This Row],[Precio]]) - IF(ISNUMBER(FIND("x", LOWER(G77))), ( Tabla111[[#This Row],[Cantidad]]* Tabla111[[#This Row],[Precio]] * IF(ISNUMBER(FIND("aceite", LOWER(Tabla111[[#This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IF(Tabla111[[#This Row],[Cantidad]] &gt; 0,CEILING(( Tabla111[[#This Row],[Cantidad]]*Tabla111[[#This Row],[Precio]]) - IF(ISNUMBER(FIND("x", LOWER(G78))), ( Tabla111[[#This Row],[Cantidad]]* Tabla111[[#This Row],[Precio]] * IF(ISNUMBER(FIND("aceite", LOWER(Tabla111[[#This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IF(Tabla111[[#This Row],[Cantidad]] &gt; 0,CEILING(( Tabla111[[#This Row],[Cantidad]]*Tabla111[[#This Row],[Precio]]) - IF(ISNUMBER(FIND("x", LOWER(G79))), ( Tabla111[[#This Row],[Cantidad]]* Tabla111[[#This Row],[Precio]] * IF(ISNUMBER(FIND("aceite", LOWER(Tabla111[[#This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IF(Tabla111[[#This Row],[Cantidad]] &gt; 0,CEILING(( Tabla111[[#This Row],[Cantidad]]*Tabla111[[#This Row],[Precio]]) - IF(ISNUMBER(FIND("x", LOWER(G80))), ( Tabla111[[#This Row],[Cantidad]]* Tabla111[[#This Row],[Precio]] * IF(ISNUMBER(FIND("aceite", LOWER(Tabla111[[#This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IF(Tabla111[[#This Row],[Cantidad]] &gt; 0,CEILING(( Tabla111[[#This Row],[Cantidad]]*Tabla111[[#This Row],[Precio]]) - IF(ISNUMBER(FIND("x", LOWER(G81))), ( Tabla111[[#This Row],[Cantidad]]* Tabla111[[#This Row],[Precio]] * IF(ISNUMBER(FIND("aceite", LOWER(Tabla111[[#This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IF(Tabla111[[#This Row],[Cantidad]] &gt; 0,CEILING(( Tabla111[[#This Row],[Cantidad]]*Tabla111[[#This Row],[Precio]]) - IF(ISNUMBER(FIND("x", LOWER(G82))), ( Tabla111[[#This Row],[Cantidad]]* Tabla111[[#This Row],[Precio]] * IF(ISNUMBER(FIND("aceite", LOWER(Tabla111[[#This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IF(Tabla111[[#This Row],[Cantidad]] &gt; 0,CEILING(( Tabla111[[#This Row],[Cantidad]]*Tabla111[[#This Row],[Precio]]) - IF(ISNUMBER(FIND("x", LOWER(G83))), ( Tabla111[[#This Row],[Cantidad]]* Tabla111[[#This Row],[Precio]] * IF(ISNUMBER(FIND("aceite", LOWER(Tabla111[[#This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IF(Tabla111[[#This Row],[Cantidad]] &gt; 0,CEILING(( Tabla111[[#This Row],[Cantidad]]*Tabla111[[#This Row],[Precio]]) - IF(ISNUMBER(FIND("x", LOWER(G84))), ( Tabla111[[#This Row],[Cantidad]]* Tabla111[[#This Row],[Precio]] * IF(ISNUMBER(FIND("aceite", LOWER(Tabla111[[#This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IF(Tabla111[[#This Row],[Cantidad]] &gt; 0,CEILING(( Tabla111[[#This Row],[Cantidad]]*Tabla111[[#This Row],[Precio]]) - IF(ISNUMBER(FIND("x", LOWER(G85))), ( Tabla111[[#This Row],[Cantidad]]* Tabla111[[#This Row],[Precio]] * IF(ISNUMBER(FIND("aceite", LOWER(Tabla111[[#This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IF(Tabla111[[#This Row],[Cantidad]] &gt; 0,CEILING(( Tabla111[[#This Row],[Cantidad]]*Tabla111[[#This Row],[Precio]]) - IF(ISNUMBER(FIND("x", LOWER(G86))), ( Tabla111[[#This Row],[Cantidad]]* Tabla111[[#This Row],[Precio]] * IF(ISNUMBER(FIND("aceite", LOWER(Tabla111[[#This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IF(Tabla111[[#This Row],[Cantidad]] &gt; 0,CEILING(( Tabla111[[#This Row],[Cantidad]]*Tabla111[[#This Row],[Precio]]) - IF(ISNUMBER(FIND("x", LOWER(G87))), ( Tabla111[[#This Row],[Cantidad]]* Tabla111[[#This Row],[Precio]] * IF(ISNUMBER(FIND("aceite", LOWER(Tabla111[[#This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IF(Tabla111[[#This Row],[Cantidad]] &gt; 0,CEILING(( Tabla111[[#This Row],[Cantidad]]*Tabla111[[#This Row],[Precio]]) - IF(ISNUMBER(FIND("x", LOWER(G88))), ( Tabla111[[#This Row],[Cantidad]]* Tabla111[[#This Row],[Precio]] * IF(ISNUMBER(FIND("aceite", LOWER(Tabla111[[#This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IF(Tabla111[[#This Row],[Cantidad]] &gt; 0,CEILING(( Tabla111[[#This Row],[Cantidad]]*Tabla111[[#This Row],[Precio]]) - IF(ISNUMBER(FIND("x", LOWER(G89))), ( Tabla111[[#This Row],[Cantidad]]* Tabla111[[#This Row],[Precio]] * IF(ISNUMBER(FIND("aceite", LOWER(Tabla111[[#This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IF(Tabla111[[#This Row],[Cantidad]] &gt; 0,CEILING(( Tabla111[[#This Row],[Cantidad]]*Tabla111[[#This Row],[Precio]]) - IF(ISNUMBER(FIND("x", LOWER(G90))), ( Tabla111[[#This Row],[Cantidad]]* Tabla111[[#This Row],[Precio]] * IF(ISNUMBER(FIND("aceite", LOWER(Tabla111[[#This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IF(Tabla111[[#This Row],[Cantidad]] &gt; 0,CEILING(( Tabla111[[#This Row],[Cantidad]]*Tabla111[[#This Row],[Precio]]) - IF(ISNUMBER(FIND("x", LOWER(G91))), ( Tabla111[[#This Row],[Cantidad]]* Tabla111[[#This Row],[Precio]] * IF(ISNUMBER(FIND("aceite", LOWER(Tabla111[[#This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IF(Tabla111[[#This Row],[Cantidad]] &gt; 0,CEILING(( Tabla111[[#This Row],[Cantidad]]*Tabla111[[#This Row],[Precio]]) - IF(ISNUMBER(FIND("x", LOWER(G92))), ( Tabla111[[#This Row],[Cantidad]]* Tabla111[[#This Row],[Precio]] * IF(ISNUMBER(FIND("aceite", LOWER(Tabla111[[#This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IF(Tabla111[[#This Row],[Cantidad]] &gt; 0,CEILING(( Tabla111[[#This Row],[Cantidad]]*Tabla111[[#This Row],[Precio]]) - IF(ISNUMBER(FIND("x", LOWER(G93))), ( Tabla111[[#This Row],[Cantidad]]* Tabla111[[#This Row],[Precio]] * IF(ISNUMBER(FIND("aceite", LOWER(Tabla111[[#This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IF(Tabla111[[#This Row],[Cantidad]] &gt; 0,CEILING(( Tabla111[[#This Row],[Cantidad]]*Tabla111[[#This Row],[Precio]]) - IF(ISNUMBER(FIND("x", LOWER(G94))), ( Tabla111[[#This Row],[Cantidad]]* Tabla111[[#This Row],[Precio]] * IF(ISNUMBER(FIND("aceite", LOWER(Tabla111[[#This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IF(Tabla111[[#This Row],[Cantidad]] &gt; 0,CEILING(( Tabla111[[#This Row],[Cantidad]]*Tabla111[[#This Row],[Precio]]) - IF(ISNUMBER(FIND("x", LOWER(G95))), ( Tabla111[[#This Row],[Cantidad]]* Tabla111[[#This Row],[Precio]] * IF(ISNUMBER(FIND("aceite", LOWER(Tabla111[[#This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IF(Tabla111[[#This Row],[Cantidad]] &gt; 0,CEILING(( Tabla111[[#This Row],[Cantidad]]*Tabla111[[#This Row],[Precio]]) - IF(ISNUMBER(FIND("x", LOWER(G96))), ( Tabla111[[#This Row],[Cantidad]]* Tabla111[[#This Row],[Precio]] * IF(ISNUMBER(FIND("aceite", LOWER(Tabla111[[#This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IF(Tabla111[[#This Row],[Cantidad]] &gt; 0,CEILING(( Tabla111[[#This Row],[Cantidad]]*Tabla111[[#This Row],[Precio]]) - IF(ISNUMBER(FIND("x", LOWER(G97))), ( Tabla111[[#This Row],[Cantidad]]* Tabla111[[#This Row],[Precio]] * IF(ISNUMBER(FIND("aceite", LOWER(Tabla111[[#This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IF(Tabla111[[#This Row],[Cantidad]] &gt; 0,CEILING(( Tabla111[[#This Row],[Cantidad]]*Tabla111[[#This Row],[Precio]]) - IF(ISNUMBER(FIND("x", LOWER(G98))), ( Tabla111[[#This Row],[Cantidad]]* Tabla111[[#This Row],[Precio]] * IF(ISNUMBER(FIND("aceite", LOWER(Tabla111[[#This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IF(Tabla111[[#This Row],[Cantidad]] &gt; 0,CEILING(( Tabla111[[#This Row],[Cantidad]]*Tabla111[[#This Row],[Precio]]) - IF(ISNUMBER(FIND("x", LOWER(G99))), ( Tabla111[[#This Row],[Cantidad]]* Tabla111[[#This Row],[Precio]] * IF(ISNUMBER(FIND("aceite", LOWER(Tabla111[[#This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IF(Tabla111[[#This Row],[Cantidad]] &gt; 0,CEILING(( Tabla111[[#This Row],[Cantidad]]*Tabla111[[#This Row],[Precio]]) - IF(ISNUMBER(FIND("x", LOWER(G100))), ( Tabla111[[#This Row],[Cantidad]]* Tabla111[[#This Row],[Precio]] * IF(ISNUMBER(FIND("aceite", LOWER(Tabla111[[#This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IF(Tabla111[[#This Row],[Cantidad]] &gt; 0,CEILING(( Tabla111[[#This Row],[Cantidad]]*Tabla111[[#This Row],[Precio]]) - IF(ISNUMBER(FIND("x", LOWER(G101))), ( Tabla111[[#This Row],[Cantidad]]* Tabla111[[#This Row],[Precio]] * IF(ISNUMBER(FIND("aceite", LOWER(Tabla111[[#This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IF(Tabla111[[#This Row],[Cantidad]] &gt; 0,CEILING(( Tabla111[[#This Row],[Cantidad]]*Tabla111[[#This Row],[Precio]]) - IF(ISNUMBER(FIND("x", LOWER(G102))), ( Tabla111[[#This Row],[Cantidad]]* Tabla111[[#This Row],[Precio]] * IF(ISNUMBER(FIND("aceite", LOWER(Tabla111[[#This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IF(Tabla111[[#This Row],[Cantidad]] &gt; 0,CEILING(( Tabla111[[#This Row],[Cantidad]]*Tabla111[[#This Row],[Precio]]) - IF(ISNUMBER(FIND("x", LOWER(G103))), ( Tabla111[[#This Row],[Cantidad]]* Tabla111[[#This Row],[Precio]] * IF(ISNUMBER(FIND("aceite", LOWER(Tabla111[[#This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9" priority="2">
      <formula>E5&gt;0&amp;ISBLANK(D5)</formula>
    </cfRule>
  </conditionalFormatting>
  <conditionalFormatting sqref="B5:B103">
    <cfRule type="expression" dxfId="18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R103"/>
  <sheetViews>
    <sheetView zoomScale="85" zoomScaleNormal="85" workbookViewId="0">
      <selection activeCell="I54" sqref="I54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82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SUM(Tabla112[Importa])</f>
        <v>626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10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46289.468773148146</v>
      </c>
      <c r="C5">
        <f t="shared" ref="C5:C68" si="0">IF(ISNUMBER(E5), IF(ISNUMBER(C4), C4+1, 1), "")</f>
        <v>1</v>
      </c>
      <c r="D5" t="s">
        <v>84</v>
      </c>
      <c r="E5">
        <v>1</v>
      </c>
      <c r="F5">
        <v>10</v>
      </c>
      <c r="H5" s="4">
        <f>IF(Tabla112[[#This Row],[Cantidad]] &gt; 0,CEILING(( Tabla112[[#This Row],[Cantidad]]*Tabla112[[#This Row],[Precio]]) - IF(ISNUMBER(FIND("x", LOWER(G5))), ( Tabla112[[#This Row],[Cantidad]]* Tabla112[[#This Row],[Precio]] * IF(ISNUMBER(FIND("aceite", LOWER(Tabla112[[#This Row],[Producto]]))), 0.05, 0.1)), 0), 0.5), "")</f>
        <v>10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46289.492592592593</v>
      </c>
      <c r="C6">
        <f t="shared" si="0"/>
        <v>2</v>
      </c>
      <c r="D6" t="s">
        <v>85</v>
      </c>
      <c r="E6">
        <v>1</v>
      </c>
      <c r="F6">
        <v>75</v>
      </c>
      <c r="H6" s="4">
        <f>IF(Tabla112[[#This Row],[Cantidad]] &gt; 0,CEILING(( Tabla112[[#This Row],[Cantidad]]*Tabla112[[#This Row],[Precio]]) - IF(ISNUMBER(FIND("x", LOWER(G6))), ( Tabla112[[#This Row],[Cantidad]]* Tabla112[[#This Row],[Precio]] * IF(ISNUMBER(FIND("aceite", LOWER(Tabla112[[#This Row],[Producto]]))), 0.05, 0.1)), 0), 0.5), "")</f>
        <v>75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46289.604930555557</v>
      </c>
      <c r="C7">
        <f t="shared" si="0"/>
        <v>3</v>
      </c>
      <c r="D7" t="s">
        <v>86</v>
      </c>
      <c r="E7">
        <v>4</v>
      </c>
      <c r="F7">
        <v>3</v>
      </c>
      <c r="H7" s="4">
        <f>IF(Tabla112[[#This Row],[Cantidad]] &gt; 0,CEILING(( Tabla112[[#This Row],[Cantidad]]*Tabla112[[#This Row],[Precio]]) - IF(ISNUMBER(FIND("x", LOWER(G7))), ( Tabla112[[#This Row],[Cantidad]]* Tabla112[[#This Row],[Precio]] * IF(ISNUMBER(FIND("aceite", LOWER(Tabla112[[#This Row],[Producto]]))), 0.05, 0.1)), 0), 0.5), "")</f>
        <v>12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46289.605000000003</v>
      </c>
      <c r="C8">
        <f t="shared" si="0"/>
        <v>4</v>
      </c>
      <c r="D8" t="s">
        <v>84</v>
      </c>
      <c r="E8">
        <v>1</v>
      </c>
      <c r="F8">
        <v>10</v>
      </c>
      <c r="H8" s="4">
        <f>IF(Tabla112[[#This Row],[Cantidad]] &gt; 0,CEILING(( Tabla112[[#This Row],[Cantidad]]*Tabla112[[#This Row],[Precio]]) - IF(ISNUMBER(FIND("x", LOWER(G8))), ( Tabla112[[#This Row],[Cantidad]]* Tabla112[[#This Row],[Precio]] * IF(ISNUMBER(FIND("aceite", LOWER(Tabla112[[#This Row],[Producto]]))), 0.05, 0.1)), 0), 0.5), "")</f>
        <v>10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46289.655023148145</v>
      </c>
      <c r="C9">
        <f t="shared" si="0"/>
        <v>5</v>
      </c>
      <c r="D9" t="s">
        <v>87</v>
      </c>
      <c r="E9">
        <v>1</v>
      </c>
      <c r="F9">
        <v>30</v>
      </c>
      <c r="H9" s="4">
        <f>IF(Tabla112[[#This Row],[Cantidad]] &gt; 0,CEILING(( Tabla112[[#This Row],[Cantidad]]*Tabla112[[#This Row],[Precio]]) - IF(ISNUMBER(FIND("x", LOWER(G9))), ( Tabla112[[#This Row],[Cantidad]]* Tabla112[[#This Row],[Precio]] * IF(ISNUMBER(FIND("aceite", LOWER(Tabla112[[#This Row],[Producto]]))), 0.05, 0.1)), 0), 0.5), "")</f>
        <v>30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46289.691446759258</v>
      </c>
      <c r="C10">
        <f t="shared" si="0"/>
        <v>6</v>
      </c>
      <c r="D10" t="s">
        <v>88</v>
      </c>
      <c r="E10">
        <v>1</v>
      </c>
      <c r="F10">
        <v>90</v>
      </c>
      <c r="H10" s="4">
        <f>IF(Tabla112[[#This Row],[Cantidad]] &gt; 0,CEILING(( Tabla112[[#This Row],[Cantidad]]*Tabla112[[#This Row],[Precio]]) - IF(ISNUMBER(FIND("x", LOWER(G10))), ( Tabla112[[#This Row],[Cantidad]]* Tabla112[[#This Row],[Precio]] * IF(ISNUMBER(FIND("aceite", LOWER(Tabla112[[#This Row],[Producto]]))), 0.05, 0.1)), 0), 0.5), "")</f>
        <v>90</v>
      </c>
      <c r="J10" s="30" t="s">
        <v>31</v>
      </c>
      <c r="K10" s="32">
        <f>IF(K4&lt;&gt;0,COUNTIF(G5:G103, "x")/K4, "")</f>
        <v>0</v>
      </c>
      <c r="M10" s="18"/>
      <c r="N10" s="18"/>
      <c r="O10" s="18"/>
      <c r="P10" s="18"/>
      <c r="Q10" s="18"/>
      <c r="R10" s="18"/>
    </row>
    <row r="11" spans="2:18" x14ac:dyDescent="0.25">
      <c r="B11" s="13">
        <v>46289.774293981478</v>
      </c>
      <c r="C11">
        <f t="shared" si="0"/>
        <v>7</v>
      </c>
      <c r="D11" t="s">
        <v>89</v>
      </c>
      <c r="E11">
        <v>1</v>
      </c>
      <c r="F11">
        <v>230</v>
      </c>
      <c r="H11" s="4">
        <f>IF(Tabla112[[#This Row],[Cantidad]] &gt; 0,CEILING(( Tabla112[[#This Row],[Cantidad]]*Tabla112[[#This Row],[Precio]]) - IF(ISNUMBER(FIND("x", LOWER(G11))), ( Tabla112[[#This Row],[Cantidad]]* Tabla112[[#This Row],[Precio]] * IF(ISNUMBER(FIND("aceite", LOWER(Tabla112[[#This Row],[Producto]]))), 0.05, 0.1)), 0), 0.5), "")</f>
        <v>230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46289.774386574078</v>
      </c>
      <c r="C12">
        <f t="shared" si="0"/>
        <v>8</v>
      </c>
      <c r="D12" t="s">
        <v>90</v>
      </c>
      <c r="E12">
        <v>1</v>
      </c>
      <c r="F12">
        <v>20</v>
      </c>
      <c r="H12" s="4">
        <f>IF(Tabla112[[#This Row],[Cantidad]] &gt; 0,CEILING(( Tabla112[[#This Row],[Cantidad]]*Tabla112[[#This Row],[Precio]]) - IF(ISNUMBER(FIND("x", LOWER(G12))), ( Tabla112[[#This Row],[Cantidad]]* Tabla112[[#This Row],[Precio]] * IF(ISNUMBER(FIND("aceite", LOWER(Tabla112[[#This Row],[Producto]]))), 0.05, 0.1)), 0), 0.5), "")</f>
        <v>20</v>
      </c>
      <c r="J12" s="30" t="s">
        <v>32</v>
      </c>
      <c r="K12" s="32">
        <f>IF(K4&lt;&gt;0,(K4-COUNTIF(G5:G103,"x"))/K4,"")</f>
        <v>1</v>
      </c>
      <c r="M12" s="18"/>
      <c r="N12" s="18"/>
      <c r="O12" s="18"/>
      <c r="P12" s="18"/>
      <c r="Q12" s="18"/>
      <c r="R12" s="18"/>
    </row>
    <row r="13" spans="2:18" x14ac:dyDescent="0.25">
      <c r="B13" s="13">
        <v>46289.774699074071</v>
      </c>
      <c r="C13">
        <f t="shared" si="0"/>
        <v>9</v>
      </c>
      <c r="D13" t="s">
        <v>45</v>
      </c>
      <c r="E13">
        <v>5</v>
      </c>
      <c r="F13">
        <v>25</v>
      </c>
      <c r="H13" s="4">
        <f>IF(Tabla112[[#This Row],[Cantidad]] &gt; 0,CEILING(( Tabla112[[#This Row],[Cantidad]]*Tabla112[[#This Row],[Precio]]) - IF(ISNUMBER(FIND("x", LOWER(G13))), ( Tabla112[[#This Row],[Cantidad]]* Tabla112[[#This Row],[Precio]] * IF(ISNUMBER(FIND("aceite", LOWER(Tabla112[[#This Row],[Producto]]))), 0.05, 0.1)), 0), 0.5), "")</f>
        <v>125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46289.77621527778</v>
      </c>
      <c r="C14">
        <f t="shared" si="0"/>
        <v>10</v>
      </c>
      <c r="D14" t="s">
        <v>91</v>
      </c>
      <c r="E14">
        <v>1</v>
      </c>
      <c r="F14">
        <v>24</v>
      </c>
      <c r="H14" s="4">
        <f>IF(Tabla112[[#This Row],[Cantidad]] &gt; 0,CEILING(( Tabla112[[#This Row],[Cantidad]]*Tabla112[[#This Row],[Precio]]) - IF(ISNUMBER(FIND("x", LOWER(G14))), ( Tabla112[[#This Row],[Cantidad]]* Tabla112[[#This Row],[Precio]] * IF(ISNUMBER(FIND("aceite", LOWER(Tabla112[[#This Row],[Producto]]))), 0.05, 0.1)), 0), 0.5), "")</f>
        <v>24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0"/>
        <v/>
      </c>
      <c r="H15" s="4" t="str">
        <f>IF(Tabla112[[#This Row],[Cantidad]] &gt; 0,CEILING(( Tabla112[[#This Row],[Cantidad]]*Tabla112[[#This Row],[Precio]]) - IF(ISNUMBER(FIND("x", LOWER(G15))), ( Tabla112[[#This Row],[Cantidad]]* Tabla112[[#This Row],[Precio]] * IF(ISNUMBER(FIND("aceite", LOWER(Tabla112[[#This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/>
      <c r="C16" t="str">
        <f t="shared" si="0"/>
        <v/>
      </c>
      <c r="H16" s="4" t="str">
        <f>IF(Tabla112[[#This Row],[Cantidad]] &gt; 0,CEILING(( Tabla112[[#This Row],[Cantidad]]*Tabla112[[#This Row],[Precio]]) - IF(ISNUMBER(FIND("x", LOWER(G16))), ( Tabla112[[#This Row],[Cantidad]]* Tabla112[[#This Row],[Precio]] * IF(ISNUMBER(FIND("aceite", LOWER(Tabla112[[#This Row],[Producto]]))), 0.05, 0.1)), 0), 0.5), "")</f>
        <v/>
      </c>
      <c r="J16" s="20" t="s">
        <v>26</v>
      </c>
      <c r="K16" s="22"/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 t="str">
        <f t="shared" si="0"/>
        <v/>
      </c>
      <c r="H17" s="4" t="str">
        <f>IF(Tabla112[[#This Row],[Cantidad]] &gt; 0,CEILING(( Tabla112[[#This Row],[Cantidad]]*Tabla112[[#This Row],[Precio]]) - IF(ISNUMBER(FIND("x", LOWER(G17))), ( Tabla112[[#This Row],[Cantidad]]* Tabla112[[#This Row],[Precio]] * IF(ISNUMBER(FIND("aceite", LOWER(Tabla112[[#This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 t="str">
        <f t="shared" si="0"/>
        <v/>
      </c>
      <c r="H18" s="4" t="str">
        <f>IF(Tabla112[[#This Row],[Cantidad]] &gt; 0,CEILING(( Tabla112[[#This Row],[Cantidad]]*Tabla112[[#This Row],[Precio]]) - IF(ISNUMBER(FIND("x", LOWER(G18))), ( Tabla112[[#This Row],[Cantidad]]* Tabla112[[#This Row],[Precio]] * IF(ISNUMBER(FIND("aceite", LOWER(Tabla112[[#This Row],[Producto]]))), 0.05, 0.1)), 0), 0.5), "")</f>
        <v/>
      </c>
      <c r="J18" s="23" t="s">
        <v>27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0"/>
        <v/>
      </c>
      <c r="H19" s="4" t="str">
        <f>IF(Tabla112[[#This Row],[Cantidad]] &gt; 0,CEILING(( Tabla112[[#This Row],[Cantidad]]*Tabla112[[#This Row],[Precio]]) - IF(ISNUMBER(FIND("x", LOWER(G19))), ( Tabla112[[#This Row],[Cantidad]]* Tabla112[[#This Row],[Precio]] * IF(ISNUMBER(FIND("aceite", LOWER(Tabla112[[#This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IF(Tabla112[[#This Row],[Cantidad]] &gt; 0,CEILING(( Tabla112[[#This Row],[Cantidad]]*Tabla112[[#This Row],[Precio]]) - IF(ISNUMBER(FIND("x", LOWER(G20))), ( Tabla112[[#This Row],[Cantidad]]* Tabla112[[#This Row],[Precio]] * IF(ISNUMBER(FIND("aceite", LOWER(Tabla112[[#This Row],[Producto]]))), 0.05, 0.1)), 0), 0.5), "")</f>
        <v/>
      </c>
      <c r="J20" s="26" t="s">
        <v>29</v>
      </c>
      <c r="K20" s="28">
        <f>K16-K18</f>
        <v>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IF(Tabla112[[#This Row],[Cantidad]] &gt; 0,CEILING(( Tabla112[[#This Row],[Cantidad]]*Tabla112[[#This Row],[Precio]]) - IF(ISNUMBER(FIND("x", LOWER(G21))), ( Tabla112[[#This Row],[Cantidad]]* Tabla112[[#This Row],[Precio]] * IF(ISNUMBER(FIND("aceite", LOWER(Tabla112[[#This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IF(Tabla112[[#This Row],[Cantidad]] &gt; 0,CEILING(( Tabla112[[#This Row],[Cantidad]]*Tabla112[[#This Row],[Precio]]) - IF(ISNUMBER(FIND("x", LOWER(G22))), ( Tabla112[[#This Row],[Cantidad]]* Tabla112[[#This Row],[Precio]] * IF(ISNUMBER(FIND("aceite", LOWER(Tabla112[[#This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IF(Tabla112[[#This Row],[Cantidad]] &gt; 0,CEILING(( Tabla112[[#This Row],[Cantidad]]*Tabla112[[#This Row],[Precio]]) - IF(ISNUMBER(FIND("x", LOWER(G23))), ( Tabla112[[#This Row],[Cantidad]]* Tabla112[[#This Row],[Precio]] * IF(ISNUMBER(FIND("aceite", LOWER(Tabla112[[#This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IF(Tabla112[[#This Row],[Cantidad]] &gt; 0,CEILING(( Tabla112[[#This Row],[Cantidad]]*Tabla112[[#This Row],[Precio]]) - IF(ISNUMBER(FIND("x", LOWER(G24))), ( Tabla112[[#This Row],[Cantidad]]* Tabla112[[#This Row],[Precio]] * IF(ISNUMBER(FIND("aceite", LOWER(Tabla112[[#This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IF(Tabla112[[#This Row],[Cantidad]] &gt; 0,CEILING(( Tabla112[[#This Row],[Cantidad]]*Tabla112[[#This Row],[Precio]]) - IF(ISNUMBER(FIND("x", LOWER(G25))), ( Tabla112[[#This Row],[Cantidad]]* Tabla112[[#This Row],[Precio]] * IF(ISNUMBER(FIND("aceite", LOWER(Tabla112[[#This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IF(Tabla112[[#This Row],[Cantidad]] &gt; 0,CEILING(( Tabla112[[#This Row],[Cantidad]]*Tabla112[[#This Row],[Precio]]) - IF(ISNUMBER(FIND("x", LOWER(G26))), ( Tabla112[[#This Row],[Cantidad]]* Tabla112[[#This Row],[Precio]] * IF(ISNUMBER(FIND("aceite", LOWER(Tabla112[[#This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IF(Tabla112[[#This Row],[Cantidad]] &gt; 0,CEILING(( Tabla112[[#This Row],[Cantidad]]*Tabla112[[#This Row],[Precio]]) - IF(ISNUMBER(FIND("x", LOWER(G27))), ( Tabla112[[#This Row],[Cantidad]]* Tabla112[[#This Row],[Precio]] * IF(ISNUMBER(FIND("aceite", LOWER(Tabla112[[#This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IF(Tabla112[[#This Row],[Cantidad]] &gt; 0,CEILING(( Tabla112[[#This Row],[Cantidad]]*Tabla112[[#This Row],[Precio]]) - IF(ISNUMBER(FIND("x", LOWER(G28))), ( Tabla112[[#This Row],[Cantidad]]* Tabla112[[#This Row],[Precio]] * IF(ISNUMBER(FIND("aceite", LOWER(Tabla112[[#This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IF(Tabla112[[#This Row],[Cantidad]] &gt; 0,CEILING(( Tabla112[[#This Row],[Cantidad]]*Tabla112[[#This Row],[Precio]]) - IF(ISNUMBER(FIND("x", LOWER(G29))), ( Tabla112[[#This Row],[Cantidad]]* Tabla112[[#This Row],[Precio]] * IF(ISNUMBER(FIND("aceite", LOWER(Tabla112[[#This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IF(Tabla112[[#This Row],[Cantidad]] &gt; 0,CEILING(( Tabla112[[#This Row],[Cantidad]]*Tabla112[[#This Row],[Precio]]) - IF(ISNUMBER(FIND("x", LOWER(G30))), ( Tabla112[[#This Row],[Cantidad]]* Tabla112[[#This Row],[Precio]] * IF(ISNUMBER(FIND("aceite", LOWER(Tabla112[[#This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IF(Tabla112[[#This Row],[Cantidad]] &gt; 0,CEILING(( Tabla112[[#This Row],[Cantidad]]*Tabla112[[#This Row],[Precio]]) - IF(ISNUMBER(FIND("x", LOWER(G31))), ( Tabla112[[#This Row],[Cantidad]]* Tabla112[[#This Row],[Precio]] * IF(ISNUMBER(FIND("aceite", LOWER(Tabla112[[#This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IF(Tabla112[[#This Row],[Cantidad]] &gt; 0,CEILING(( Tabla112[[#This Row],[Cantidad]]*Tabla112[[#This Row],[Precio]]) - IF(ISNUMBER(FIND("x", LOWER(G32))), ( Tabla112[[#This Row],[Cantidad]]* Tabla112[[#This Row],[Precio]] * IF(ISNUMBER(FIND("aceite", LOWER(Tabla112[[#This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IF(Tabla112[[#This Row],[Cantidad]] &gt; 0,CEILING(( Tabla112[[#This Row],[Cantidad]]*Tabla112[[#This Row],[Precio]]) - IF(ISNUMBER(FIND("x", LOWER(G33))), ( Tabla112[[#This Row],[Cantidad]]* Tabla112[[#This Row],[Precio]] * IF(ISNUMBER(FIND("aceite", LOWER(Tabla112[[#This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IF(Tabla112[[#This Row],[Cantidad]] &gt; 0,CEILING(( Tabla112[[#This Row],[Cantidad]]*Tabla112[[#This Row],[Precio]]) - IF(ISNUMBER(FIND("x", LOWER(G34))), ( Tabla112[[#This Row],[Cantidad]]* Tabla112[[#This Row],[Precio]] * IF(ISNUMBER(FIND("aceite", LOWER(Tabla112[[#This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IF(Tabla112[[#This Row],[Cantidad]] &gt; 0,CEILING(( Tabla112[[#This Row],[Cantidad]]*Tabla112[[#This Row],[Precio]]) - IF(ISNUMBER(FIND("x", LOWER(G35))), ( Tabla112[[#This Row],[Cantidad]]* Tabla112[[#This Row],[Precio]] * IF(ISNUMBER(FIND("aceite", LOWER(Tabla112[[#This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IF(Tabla112[[#This Row],[Cantidad]] &gt; 0,CEILING(( Tabla112[[#This Row],[Cantidad]]*Tabla112[[#This Row],[Precio]]) - IF(ISNUMBER(FIND("x", LOWER(G36))), ( Tabla112[[#This Row],[Cantidad]]* Tabla112[[#This Row],[Precio]] * IF(ISNUMBER(FIND("aceite", LOWER(Tabla112[[#This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IF(Tabla112[[#This Row],[Cantidad]] &gt; 0,CEILING(( Tabla112[[#This Row],[Cantidad]]*Tabla112[[#This Row],[Precio]]) - IF(ISNUMBER(FIND("x", LOWER(G37))), ( Tabla112[[#This Row],[Cantidad]]* Tabla112[[#This Row],[Precio]] * IF(ISNUMBER(FIND("aceite", LOWER(Tabla112[[#This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IF(Tabla112[[#This Row],[Cantidad]] &gt; 0,CEILING(( Tabla112[[#This Row],[Cantidad]]*Tabla112[[#This Row],[Precio]]) - IF(ISNUMBER(FIND("x", LOWER(G38))), ( Tabla112[[#This Row],[Cantidad]]* Tabla112[[#This Row],[Precio]] * IF(ISNUMBER(FIND("aceite", LOWER(Tabla112[[#This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IF(Tabla112[[#This Row],[Cantidad]] &gt; 0,CEILING(( Tabla112[[#This Row],[Cantidad]]*Tabla112[[#This Row],[Precio]]) - IF(ISNUMBER(FIND("x", LOWER(G39))), ( Tabla112[[#This Row],[Cantidad]]* Tabla112[[#This Row],[Precio]] * IF(ISNUMBER(FIND("aceite", LOWER(Tabla112[[#This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IF(Tabla112[[#This Row],[Cantidad]] &gt; 0,CEILING(( Tabla112[[#This Row],[Cantidad]]*Tabla112[[#This Row],[Precio]]) - IF(ISNUMBER(FIND("x", LOWER(G40))), ( Tabla112[[#This Row],[Cantidad]]* Tabla112[[#This Row],[Precio]] * IF(ISNUMBER(FIND("aceite", LOWER(Tabla112[[#This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IF(Tabla112[[#This Row],[Cantidad]] &gt; 0,CEILING(( Tabla112[[#This Row],[Cantidad]]*Tabla112[[#This Row],[Precio]]) - IF(ISNUMBER(FIND("x", LOWER(G41))), ( Tabla112[[#This Row],[Cantidad]]* Tabla112[[#This Row],[Precio]] * IF(ISNUMBER(FIND("aceite", LOWER(Tabla112[[#This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IF(Tabla112[[#This Row],[Cantidad]] &gt; 0,CEILING(( Tabla112[[#This Row],[Cantidad]]*Tabla112[[#This Row],[Precio]]) - IF(ISNUMBER(FIND("x", LOWER(G42))), ( Tabla112[[#This Row],[Cantidad]]* Tabla112[[#This Row],[Precio]] * IF(ISNUMBER(FIND("aceite", LOWER(Tabla112[[#This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IF(Tabla112[[#This Row],[Cantidad]] &gt; 0,CEILING(( Tabla112[[#This Row],[Cantidad]]*Tabla112[[#This Row],[Precio]]) - IF(ISNUMBER(FIND("x", LOWER(G43))), ( Tabla112[[#This Row],[Cantidad]]* Tabla112[[#This Row],[Precio]] * IF(ISNUMBER(FIND("aceite", LOWER(Tabla112[[#This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IF(Tabla112[[#This Row],[Cantidad]] &gt; 0,CEILING(( Tabla112[[#This Row],[Cantidad]]*Tabla112[[#This Row],[Precio]]) - IF(ISNUMBER(FIND("x", LOWER(G44))), ( Tabla112[[#This Row],[Cantidad]]* Tabla112[[#This Row],[Precio]] * IF(ISNUMBER(FIND("aceite", LOWER(Tabla112[[#This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IF(Tabla112[[#This Row],[Cantidad]] &gt; 0,CEILING(( Tabla112[[#This Row],[Cantidad]]*Tabla112[[#This Row],[Precio]]) - IF(ISNUMBER(FIND("x", LOWER(G45))), ( Tabla112[[#This Row],[Cantidad]]* Tabla112[[#This Row],[Precio]] * IF(ISNUMBER(FIND("aceite", LOWER(Tabla112[[#This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IF(Tabla112[[#This Row],[Cantidad]] &gt; 0,CEILING(( Tabla112[[#This Row],[Cantidad]]*Tabla112[[#This Row],[Precio]]) - IF(ISNUMBER(FIND("x", LOWER(G46))), ( Tabla112[[#This Row],[Cantidad]]* Tabla112[[#This Row],[Precio]] * IF(ISNUMBER(FIND("aceite", LOWER(Tabla112[[#This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IF(Tabla112[[#This Row],[Cantidad]] &gt; 0,CEILING(( Tabla112[[#This Row],[Cantidad]]*Tabla112[[#This Row],[Precio]]) - IF(ISNUMBER(FIND("x", LOWER(G47))), ( Tabla112[[#This Row],[Cantidad]]* Tabla112[[#This Row],[Precio]] * IF(ISNUMBER(FIND("aceite", LOWER(Tabla112[[#This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IF(Tabla112[[#This Row],[Cantidad]] &gt; 0,CEILING(( Tabla112[[#This Row],[Cantidad]]*Tabla112[[#This Row],[Precio]]) - IF(ISNUMBER(FIND("x", LOWER(G48))), ( Tabla112[[#This Row],[Cantidad]]* Tabla112[[#This Row],[Precio]] * IF(ISNUMBER(FIND("aceite", LOWER(Tabla112[[#This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IF(Tabla112[[#This Row],[Cantidad]] &gt; 0,CEILING(( Tabla112[[#This Row],[Cantidad]]*Tabla112[[#This Row],[Precio]]) - IF(ISNUMBER(FIND("x", LOWER(G49))), ( Tabla112[[#This Row],[Cantidad]]* Tabla112[[#This Row],[Precio]] * IF(ISNUMBER(FIND("aceite", LOWER(Tabla112[[#This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IF(Tabla112[[#This Row],[Cantidad]] &gt; 0,CEILING(( Tabla112[[#This Row],[Cantidad]]*Tabla112[[#This Row],[Precio]]) - IF(ISNUMBER(FIND("x", LOWER(G50))), ( Tabla112[[#This Row],[Cantidad]]* Tabla112[[#This Row],[Precio]] * IF(ISNUMBER(FIND("aceite", LOWER(Tabla112[[#This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IF(Tabla112[[#This Row],[Cantidad]] &gt; 0,CEILING(( Tabla112[[#This Row],[Cantidad]]*Tabla112[[#This Row],[Precio]]) - IF(ISNUMBER(FIND("x", LOWER(G51))), ( Tabla112[[#This Row],[Cantidad]]* Tabla112[[#This Row],[Precio]] * IF(ISNUMBER(FIND("aceite", LOWER(Tabla112[[#This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IF(Tabla112[[#This Row],[Cantidad]] &gt; 0,CEILING(( Tabla112[[#This Row],[Cantidad]]*Tabla112[[#This Row],[Precio]]) - IF(ISNUMBER(FIND("x", LOWER(G52))), ( Tabla112[[#This Row],[Cantidad]]* Tabla112[[#This Row],[Precio]] * IF(ISNUMBER(FIND("aceite", LOWER(Tabla112[[#This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IF(Tabla112[[#This Row],[Cantidad]] &gt; 0,CEILING(( Tabla112[[#This Row],[Cantidad]]*Tabla112[[#This Row],[Precio]]) - IF(ISNUMBER(FIND("x", LOWER(G53))), ( Tabla112[[#This Row],[Cantidad]]* Tabla112[[#This Row],[Precio]] * IF(ISNUMBER(FIND("aceite", LOWER(Tabla112[[#This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IF(Tabla112[[#This Row],[Cantidad]] &gt; 0,CEILING(( Tabla112[[#This Row],[Cantidad]]*Tabla112[[#This Row],[Precio]]) - IF(ISNUMBER(FIND("x", LOWER(G54))), ( Tabla112[[#This Row],[Cantidad]]* Tabla112[[#This Row],[Precio]] * IF(ISNUMBER(FIND("aceite", LOWER(Tabla112[[#This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IF(Tabla112[[#This Row],[Cantidad]] &gt; 0,CEILING(( Tabla112[[#This Row],[Cantidad]]*Tabla112[[#This Row],[Precio]]) - IF(ISNUMBER(FIND("x", LOWER(G55))), ( Tabla112[[#This Row],[Cantidad]]* Tabla112[[#This Row],[Precio]] * IF(ISNUMBER(FIND("aceite", LOWER(Tabla112[[#This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IF(Tabla112[[#This Row],[Cantidad]] &gt; 0,CEILING(( Tabla112[[#This Row],[Cantidad]]*Tabla112[[#This Row],[Precio]]) - IF(ISNUMBER(FIND("x", LOWER(G56))), ( Tabla112[[#This Row],[Cantidad]]* Tabla112[[#This Row],[Precio]] * IF(ISNUMBER(FIND("aceite", LOWER(Tabla112[[#This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IF(Tabla112[[#This Row],[Cantidad]] &gt; 0,CEILING(( Tabla112[[#This Row],[Cantidad]]*Tabla112[[#This Row],[Precio]]) - IF(ISNUMBER(FIND("x", LOWER(G57))), ( Tabla112[[#This Row],[Cantidad]]* Tabla112[[#This Row],[Precio]] * IF(ISNUMBER(FIND("aceite", LOWER(Tabla112[[#This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IF(Tabla112[[#This Row],[Cantidad]] &gt; 0,CEILING(( Tabla112[[#This Row],[Cantidad]]*Tabla112[[#This Row],[Precio]]) - IF(ISNUMBER(FIND("x", LOWER(G58))), ( Tabla112[[#This Row],[Cantidad]]* Tabla112[[#This Row],[Precio]] * IF(ISNUMBER(FIND("aceite", LOWER(Tabla112[[#This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IF(Tabla112[[#This Row],[Cantidad]] &gt; 0,CEILING(( Tabla112[[#This Row],[Cantidad]]*Tabla112[[#This Row],[Precio]]) - IF(ISNUMBER(FIND("x", LOWER(G59))), ( Tabla112[[#This Row],[Cantidad]]* Tabla112[[#This Row],[Precio]] * IF(ISNUMBER(FIND("aceite", LOWER(Tabla112[[#This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IF(Tabla112[[#This Row],[Cantidad]] &gt; 0,CEILING(( Tabla112[[#This Row],[Cantidad]]*Tabla112[[#This Row],[Precio]]) - IF(ISNUMBER(FIND("x", LOWER(G60))), ( Tabla112[[#This Row],[Cantidad]]* Tabla112[[#This Row],[Precio]] * IF(ISNUMBER(FIND("aceite", LOWER(Tabla112[[#This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IF(Tabla112[[#This Row],[Cantidad]] &gt; 0,CEILING(( Tabla112[[#This Row],[Cantidad]]*Tabla112[[#This Row],[Precio]]) - IF(ISNUMBER(FIND("x", LOWER(G61))), ( Tabla112[[#This Row],[Cantidad]]* Tabla112[[#This Row],[Precio]] * IF(ISNUMBER(FIND("aceite", LOWER(Tabla112[[#This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IF(Tabla112[[#This Row],[Cantidad]] &gt; 0,CEILING(( Tabla112[[#This Row],[Cantidad]]*Tabla112[[#This Row],[Precio]]) - IF(ISNUMBER(FIND("x", LOWER(G62))), ( Tabla112[[#This Row],[Cantidad]]* Tabla112[[#This Row],[Precio]] * IF(ISNUMBER(FIND("aceite", LOWER(Tabla112[[#This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IF(Tabla112[[#This Row],[Cantidad]] &gt; 0,CEILING(( Tabla112[[#This Row],[Cantidad]]*Tabla112[[#This Row],[Precio]]) - IF(ISNUMBER(FIND("x", LOWER(G63))), ( Tabla112[[#This Row],[Cantidad]]* Tabla112[[#This Row],[Precio]] * IF(ISNUMBER(FIND("aceite", LOWER(Tabla112[[#This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IF(Tabla112[[#This Row],[Cantidad]] &gt; 0,CEILING(( Tabla112[[#This Row],[Cantidad]]*Tabla112[[#This Row],[Precio]]) - IF(ISNUMBER(FIND("x", LOWER(G64))), ( Tabla112[[#This Row],[Cantidad]]* Tabla112[[#This Row],[Precio]] * IF(ISNUMBER(FIND("aceite", LOWER(Tabla112[[#This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IF(Tabla112[[#This Row],[Cantidad]] &gt; 0,CEILING(( Tabla112[[#This Row],[Cantidad]]*Tabla112[[#This Row],[Precio]]) - IF(ISNUMBER(FIND("x", LOWER(G65))), ( Tabla112[[#This Row],[Cantidad]]* Tabla112[[#This Row],[Precio]] * IF(ISNUMBER(FIND("aceite", LOWER(Tabla112[[#This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IF(Tabla112[[#This Row],[Cantidad]] &gt; 0,CEILING(( Tabla112[[#This Row],[Cantidad]]*Tabla112[[#This Row],[Precio]]) - IF(ISNUMBER(FIND("x", LOWER(G66))), ( Tabla112[[#This Row],[Cantidad]]* Tabla112[[#This Row],[Precio]] * IF(ISNUMBER(FIND("aceite", LOWER(Tabla112[[#This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IF(Tabla112[[#This Row],[Cantidad]] &gt; 0,CEILING(( Tabla112[[#This Row],[Cantidad]]*Tabla112[[#This Row],[Precio]]) - IF(ISNUMBER(FIND("x", LOWER(G67))), ( Tabla112[[#This Row],[Cantidad]]* Tabla112[[#This Row],[Precio]] * IF(ISNUMBER(FIND("aceite", LOWER(Tabla112[[#This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IF(Tabla112[[#This Row],[Cantidad]] &gt; 0,CEILING(( Tabla112[[#This Row],[Cantidad]]*Tabla112[[#This Row],[Precio]]) - IF(ISNUMBER(FIND("x", LOWER(G68))), ( Tabla112[[#This Row],[Cantidad]]* Tabla112[[#This Row],[Precio]] * IF(ISNUMBER(FIND("aceite", LOWER(Tabla112[[#This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IF(Tabla112[[#This Row],[Cantidad]] &gt; 0,CEILING(( Tabla112[[#This Row],[Cantidad]]*Tabla112[[#This Row],[Precio]]) - IF(ISNUMBER(FIND("x", LOWER(G69))), ( Tabla112[[#This Row],[Cantidad]]* Tabla112[[#This Row],[Precio]] * IF(ISNUMBER(FIND("aceite", LOWER(Tabla112[[#This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IF(Tabla112[[#This Row],[Cantidad]] &gt; 0,CEILING(( Tabla112[[#This Row],[Cantidad]]*Tabla112[[#This Row],[Precio]]) - IF(ISNUMBER(FIND("x", LOWER(G70))), ( Tabla112[[#This Row],[Cantidad]]* Tabla112[[#This Row],[Precio]] * IF(ISNUMBER(FIND("aceite", LOWER(Tabla112[[#This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IF(Tabla112[[#This Row],[Cantidad]] &gt; 0,CEILING(( Tabla112[[#This Row],[Cantidad]]*Tabla112[[#This Row],[Precio]]) - IF(ISNUMBER(FIND("x", LOWER(G71))), ( Tabla112[[#This Row],[Cantidad]]* Tabla112[[#This Row],[Precio]] * IF(ISNUMBER(FIND("aceite", LOWER(Tabla112[[#This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IF(Tabla112[[#This Row],[Cantidad]] &gt; 0,CEILING(( Tabla112[[#This Row],[Cantidad]]*Tabla112[[#This Row],[Precio]]) - IF(ISNUMBER(FIND("x", LOWER(G72))), ( Tabla112[[#This Row],[Cantidad]]* Tabla112[[#This Row],[Precio]] * IF(ISNUMBER(FIND("aceite", LOWER(Tabla112[[#This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IF(Tabla112[[#This Row],[Cantidad]] &gt; 0,CEILING(( Tabla112[[#This Row],[Cantidad]]*Tabla112[[#This Row],[Precio]]) - IF(ISNUMBER(FIND("x", LOWER(G73))), ( Tabla112[[#This Row],[Cantidad]]* Tabla112[[#This Row],[Precio]] * IF(ISNUMBER(FIND("aceite", LOWER(Tabla112[[#This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IF(Tabla112[[#This Row],[Cantidad]] &gt; 0,CEILING(( Tabla112[[#This Row],[Cantidad]]*Tabla112[[#This Row],[Precio]]) - IF(ISNUMBER(FIND("x", LOWER(G74))), ( Tabla112[[#This Row],[Cantidad]]* Tabla112[[#This Row],[Precio]] * IF(ISNUMBER(FIND("aceite", LOWER(Tabla112[[#This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IF(Tabla112[[#This Row],[Cantidad]] &gt; 0,CEILING(( Tabla112[[#This Row],[Cantidad]]*Tabla112[[#This Row],[Precio]]) - IF(ISNUMBER(FIND("x", LOWER(G75))), ( Tabla112[[#This Row],[Cantidad]]* Tabla112[[#This Row],[Precio]] * IF(ISNUMBER(FIND("aceite", LOWER(Tabla112[[#This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IF(Tabla112[[#This Row],[Cantidad]] &gt; 0,CEILING(( Tabla112[[#This Row],[Cantidad]]*Tabla112[[#This Row],[Precio]]) - IF(ISNUMBER(FIND("x", LOWER(G76))), ( Tabla112[[#This Row],[Cantidad]]* Tabla112[[#This Row],[Precio]] * IF(ISNUMBER(FIND("aceite", LOWER(Tabla112[[#This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IF(Tabla112[[#This Row],[Cantidad]] &gt; 0,CEILING(( Tabla112[[#This Row],[Cantidad]]*Tabla112[[#This Row],[Precio]]) - IF(ISNUMBER(FIND("x", LOWER(G77))), ( Tabla112[[#This Row],[Cantidad]]* Tabla112[[#This Row],[Precio]] * IF(ISNUMBER(FIND("aceite", LOWER(Tabla112[[#This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IF(Tabla112[[#This Row],[Cantidad]] &gt; 0,CEILING(( Tabla112[[#This Row],[Cantidad]]*Tabla112[[#This Row],[Precio]]) - IF(ISNUMBER(FIND("x", LOWER(G78))), ( Tabla112[[#This Row],[Cantidad]]* Tabla112[[#This Row],[Precio]] * IF(ISNUMBER(FIND("aceite", LOWER(Tabla112[[#This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IF(Tabla112[[#This Row],[Cantidad]] &gt; 0,CEILING(( Tabla112[[#This Row],[Cantidad]]*Tabla112[[#This Row],[Precio]]) - IF(ISNUMBER(FIND("x", LOWER(G79))), ( Tabla112[[#This Row],[Cantidad]]* Tabla112[[#This Row],[Precio]] * IF(ISNUMBER(FIND("aceite", LOWER(Tabla112[[#This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IF(Tabla112[[#This Row],[Cantidad]] &gt; 0,CEILING(( Tabla112[[#This Row],[Cantidad]]*Tabla112[[#This Row],[Precio]]) - IF(ISNUMBER(FIND("x", LOWER(G80))), ( Tabla112[[#This Row],[Cantidad]]* Tabla112[[#This Row],[Precio]] * IF(ISNUMBER(FIND("aceite", LOWER(Tabla112[[#This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IF(Tabla112[[#This Row],[Cantidad]] &gt; 0,CEILING(( Tabla112[[#This Row],[Cantidad]]*Tabla112[[#This Row],[Precio]]) - IF(ISNUMBER(FIND("x", LOWER(G81))), ( Tabla112[[#This Row],[Cantidad]]* Tabla112[[#This Row],[Precio]] * IF(ISNUMBER(FIND("aceite", LOWER(Tabla112[[#This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IF(Tabla112[[#This Row],[Cantidad]] &gt; 0,CEILING(( Tabla112[[#This Row],[Cantidad]]*Tabla112[[#This Row],[Precio]]) - IF(ISNUMBER(FIND("x", LOWER(G82))), ( Tabla112[[#This Row],[Cantidad]]* Tabla112[[#This Row],[Precio]] * IF(ISNUMBER(FIND("aceite", LOWER(Tabla112[[#This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IF(Tabla112[[#This Row],[Cantidad]] &gt; 0,CEILING(( Tabla112[[#This Row],[Cantidad]]*Tabla112[[#This Row],[Precio]]) - IF(ISNUMBER(FIND("x", LOWER(G83))), ( Tabla112[[#This Row],[Cantidad]]* Tabla112[[#This Row],[Precio]] * IF(ISNUMBER(FIND("aceite", LOWER(Tabla112[[#This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IF(Tabla112[[#This Row],[Cantidad]] &gt; 0,CEILING(( Tabla112[[#This Row],[Cantidad]]*Tabla112[[#This Row],[Precio]]) - IF(ISNUMBER(FIND("x", LOWER(G84))), ( Tabla112[[#This Row],[Cantidad]]* Tabla112[[#This Row],[Precio]] * IF(ISNUMBER(FIND("aceite", LOWER(Tabla112[[#This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IF(Tabla112[[#This Row],[Cantidad]] &gt; 0,CEILING(( Tabla112[[#This Row],[Cantidad]]*Tabla112[[#This Row],[Precio]]) - IF(ISNUMBER(FIND("x", LOWER(G85))), ( Tabla112[[#This Row],[Cantidad]]* Tabla112[[#This Row],[Precio]] * IF(ISNUMBER(FIND("aceite", LOWER(Tabla112[[#This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IF(Tabla112[[#This Row],[Cantidad]] &gt; 0,CEILING(( Tabla112[[#This Row],[Cantidad]]*Tabla112[[#This Row],[Precio]]) - IF(ISNUMBER(FIND("x", LOWER(G86))), ( Tabla112[[#This Row],[Cantidad]]* Tabla112[[#This Row],[Precio]] * IF(ISNUMBER(FIND("aceite", LOWER(Tabla112[[#This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IF(Tabla112[[#This Row],[Cantidad]] &gt; 0,CEILING(( Tabla112[[#This Row],[Cantidad]]*Tabla112[[#This Row],[Precio]]) - IF(ISNUMBER(FIND("x", LOWER(G87))), ( Tabla112[[#This Row],[Cantidad]]* Tabla112[[#This Row],[Precio]] * IF(ISNUMBER(FIND("aceite", LOWER(Tabla112[[#This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IF(Tabla112[[#This Row],[Cantidad]] &gt; 0,CEILING(( Tabla112[[#This Row],[Cantidad]]*Tabla112[[#This Row],[Precio]]) - IF(ISNUMBER(FIND("x", LOWER(G88))), ( Tabla112[[#This Row],[Cantidad]]* Tabla112[[#This Row],[Precio]] * IF(ISNUMBER(FIND("aceite", LOWER(Tabla112[[#This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IF(Tabla112[[#This Row],[Cantidad]] &gt; 0,CEILING(( Tabla112[[#This Row],[Cantidad]]*Tabla112[[#This Row],[Precio]]) - IF(ISNUMBER(FIND("x", LOWER(G89))), ( Tabla112[[#This Row],[Cantidad]]* Tabla112[[#This Row],[Precio]] * IF(ISNUMBER(FIND("aceite", LOWER(Tabla112[[#This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IF(Tabla112[[#This Row],[Cantidad]] &gt; 0,CEILING(( Tabla112[[#This Row],[Cantidad]]*Tabla112[[#This Row],[Precio]]) - IF(ISNUMBER(FIND("x", LOWER(G90))), ( Tabla112[[#This Row],[Cantidad]]* Tabla112[[#This Row],[Precio]] * IF(ISNUMBER(FIND("aceite", LOWER(Tabla112[[#This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IF(Tabla112[[#This Row],[Cantidad]] &gt; 0,CEILING(( Tabla112[[#This Row],[Cantidad]]*Tabla112[[#This Row],[Precio]]) - IF(ISNUMBER(FIND("x", LOWER(G91))), ( Tabla112[[#This Row],[Cantidad]]* Tabla112[[#This Row],[Precio]] * IF(ISNUMBER(FIND("aceite", LOWER(Tabla112[[#This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IF(Tabla112[[#This Row],[Cantidad]] &gt; 0,CEILING(( Tabla112[[#This Row],[Cantidad]]*Tabla112[[#This Row],[Precio]]) - IF(ISNUMBER(FIND("x", LOWER(G92))), ( Tabla112[[#This Row],[Cantidad]]* Tabla112[[#This Row],[Precio]] * IF(ISNUMBER(FIND("aceite", LOWER(Tabla112[[#This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IF(Tabla112[[#This Row],[Cantidad]] &gt; 0,CEILING(( Tabla112[[#This Row],[Cantidad]]*Tabla112[[#This Row],[Precio]]) - IF(ISNUMBER(FIND("x", LOWER(G93))), ( Tabla112[[#This Row],[Cantidad]]* Tabla112[[#This Row],[Precio]] * IF(ISNUMBER(FIND("aceite", LOWER(Tabla112[[#This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IF(Tabla112[[#This Row],[Cantidad]] &gt; 0,CEILING(( Tabla112[[#This Row],[Cantidad]]*Tabla112[[#This Row],[Precio]]) - IF(ISNUMBER(FIND("x", LOWER(G94))), ( Tabla112[[#This Row],[Cantidad]]* Tabla112[[#This Row],[Precio]] * IF(ISNUMBER(FIND("aceite", LOWER(Tabla112[[#This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IF(Tabla112[[#This Row],[Cantidad]] &gt; 0,CEILING(( Tabla112[[#This Row],[Cantidad]]*Tabla112[[#This Row],[Precio]]) - IF(ISNUMBER(FIND("x", LOWER(G95))), ( Tabla112[[#This Row],[Cantidad]]* Tabla112[[#This Row],[Precio]] * IF(ISNUMBER(FIND("aceite", LOWER(Tabla112[[#This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IF(Tabla112[[#This Row],[Cantidad]] &gt; 0,CEILING(( Tabla112[[#This Row],[Cantidad]]*Tabla112[[#This Row],[Precio]]) - IF(ISNUMBER(FIND("x", LOWER(G96))), ( Tabla112[[#This Row],[Cantidad]]* Tabla112[[#This Row],[Precio]] * IF(ISNUMBER(FIND("aceite", LOWER(Tabla112[[#This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IF(Tabla112[[#This Row],[Cantidad]] &gt; 0,CEILING(( Tabla112[[#This Row],[Cantidad]]*Tabla112[[#This Row],[Precio]]) - IF(ISNUMBER(FIND("x", LOWER(G97))), ( Tabla112[[#This Row],[Cantidad]]* Tabla112[[#This Row],[Precio]] * IF(ISNUMBER(FIND("aceite", LOWER(Tabla112[[#This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IF(Tabla112[[#This Row],[Cantidad]] &gt; 0,CEILING(( Tabla112[[#This Row],[Cantidad]]*Tabla112[[#This Row],[Precio]]) - IF(ISNUMBER(FIND("x", LOWER(G98))), ( Tabla112[[#This Row],[Cantidad]]* Tabla112[[#This Row],[Precio]] * IF(ISNUMBER(FIND("aceite", LOWER(Tabla112[[#This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IF(Tabla112[[#This Row],[Cantidad]] &gt; 0,CEILING(( Tabla112[[#This Row],[Cantidad]]*Tabla112[[#This Row],[Precio]]) - IF(ISNUMBER(FIND("x", LOWER(G99))), ( Tabla112[[#This Row],[Cantidad]]* Tabla112[[#This Row],[Precio]] * IF(ISNUMBER(FIND("aceite", LOWER(Tabla112[[#This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IF(Tabla112[[#This Row],[Cantidad]] &gt; 0,CEILING(( Tabla112[[#This Row],[Cantidad]]*Tabla112[[#This Row],[Precio]]) - IF(ISNUMBER(FIND("x", LOWER(G100))), ( Tabla112[[#This Row],[Cantidad]]* Tabla112[[#This Row],[Precio]] * IF(ISNUMBER(FIND("aceite", LOWER(Tabla112[[#This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IF(Tabla112[[#This Row],[Cantidad]] &gt; 0,CEILING(( Tabla112[[#This Row],[Cantidad]]*Tabla112[[#This Row],[Precio]]) - IF(ISNUMBER(FIND("x", LOWER(G101))), ( Tabla112[[#This Row],[Cantidad]]* Tabla112[[#This Row],[Precio]] * IF(ISNUMBER(FIND("aceite", LOWER(Tabla112[[#This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IF(Tabla112[[#This Row],[Cantidad]] &gt; 0,CEILING(( Tabla112[[#This Row],[Cantidad]]*Tabla112[[#This Row],[Precio]]) - IF(ISNUMBER(FIND("x", LOWER(G102))), ( Tabla112[[#This Row],[Cantidad]]* Tabla112[[#This Row],[Precio]] * IF(ISNUMBER(FIND("aceite", LOWER(Tabla112[[#This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IF(Tabla112[[#This Row],[Cantidad]] &gt; 0,CEILING(( Tabla112[[#This Row],[Cantidad]]*Tabla112[[#This Row],[Precio]]) - IF(ISNUMBER(FIND("x", LOWER(G103))), ( Tabla112[[#This Row],[Cantidad]]* Tabla112[[#This Row],[Precio]] * IF(ISNUMBER(FIND("aceite", LOWER(Tabla112[[#This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5" priority="2">
      <formula>E5&gt;0&amp;ISBLANK(D5)</formula>
    </cfRule>
  </conditionalFormatting>
  <conditionalFormatting sqref="B5:B103">
    <cfRule type="expression" dxfId="14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R103"/>
  <sheetViews>
    <sheetView zoomScale="85" zoomScaleNormal="85" workbookViewId="0">
      <selection activeCell="V36" sqref="V36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83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SUM(Tabla113[Importa])</f>
        <v>2357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16</v>
      </c>
      <c r="M4" s="18" t="s">
        <v>106</v>
      </c>
      <c r="N4" s="18"/>
      <c r="O4" s="18"/>
      <c r="P4" s="18"/>
      <c r="Q4" s="18"/>
      <c r="R4" s="18"/>
    </row>
    <row r="5" spans="2:18" ht="15" customHeight="1" x14ac:dyDescent="0.25">
      <c r="B5" s="13">
        <v>46290.40724537037</v>
      </c>
      <c r="C5">
        <f t="shared" ref="C5:C68" si="0">IF(ISNUMBER(E5), IF(ISNUMBER(C4), C4+1, 1), "")</f>
        <v>1</v>
      </c>
      <c r="D5" t="s">
        <v>92</v>
      </c>
      <c r="E5">
        <v>1</v>
      </c>
      <c r="F5">
        <v>336</v>
      </c>
      <c r="G5" t="s">
        <v>38</v>
      </c>
      <c r="H5" s="4">
        <f>IF(Tabla113[[#This Row],[Cantidad]] &gt; 0,CEILING(( Tabla113[[#This Row],[Cantidad]]*Tabla113[[#This Row],[Precio]]) - IF(ISNUMBER(FIND("x", LOWER(G5))), ( Tabla113[[#This Row],[Cantidad]]* Tabla113[[#This Row],[Precio]] * IF(ISNUMBER(FIND("aceite", LOWER(Tabla113[[#This Row],[Producto]]))), 0.05, 0.1)), 0), 0.5), "")</f>
        <v>302.5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46290.499803240738</v>
      </c>
      <c r="C6">
        <f t="shared" si="0"/>
        <v>2</v>
      </c>
      <c r="D6" t="s">
        <v>104</v>
      </c>
      <c r="E6">
        <v>1</v>
      </c>
      <c r="F6">
        <v>250</v>
      </c>
      <c r="H6" s="4">
        <f>IF(Tabla113[[#This Row],[Cantidad]] &gt; 0,CEILING(( Tabla113[[#This Row],[Cantidad]]*Tabla113[[#This Row],[Precio]]) - IF(ISNUMBER(FIND("x", LOWER(G6))), ( Tabla113[[#This Row],[Cantidad]]* Tabla113[[#This Row],[Precio]] * IF(ISNUMBER(FIND("aceite", LOWER(Tabla113[[#This Row],[Producto]]))), 0.05, 0.1)), 0), 0.5), "")</f>
        <v>250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46290.522222222222</v>
      </c>
      <c r="C7">
        <f t="shared" si="0"/>
        <v>3</v>
      </c>
      <c r="D7" t="s">
        <v>93</v>
      </c>
      <c r="E7">
        <v>1</v>
      </c>
      <c r="F7">
        <v>50</v>
      </c>
      <c r="H7" s="4">
        <f>IF(Tabla113[[#This Row],[Cantidad]] &gt; 0,CEILING(( Tabla113[[#This Row],[Cantidad]]*Tabla113[[#This Row],[Precio]]) - IF(ISNUMBER(FIND("x", LOWER(G7))), ( Tabla113[[#This Row],[Cantidad]]* Tabla113[[#This Row],[Precio]] * IF(ISNUMBER(FIND("aceite", LOWER(Tabla113[[#This Row],[Producto]]))), 0.05, 0.1)), 0), 0.5), "")</f>
        <v>50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46290.522534722222</v>
      </c>
      <c r="C8">
        <f t="shared" si="0"/>
        <v>4</v>
      </c>
      <c r="D8" t="s">
        <v>45</v>
      </c>
      <c r="E8">
        <v>3</v>
      </c>
      <c r="F8">
        <v>5</v>
      </c>
      <c r="H8" s="4">
        <f>IF(Tabla113[[#This Row],[Cantidad]] &gt; 0,CEILING(( Tabla113[[#This Row],[Cantidad]]*Tabla113[[#This Row],[Precio]]) - IF(ISNUMBER(FIND("x", LOWER(G8))), ( Tabla113[[#This Row],[Cantidad]]* Tabla113[[#This Row],[Precio]] * IF(ISNUMBER(FIND("aceite", LOWER(Tabla113[[#This Row],[Producto]]))), 0.05, 0.1)), 0), 0.5), "")</f>
        <v>15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46290.522858796299</v>
      </c>
      <c r="C9">
        <f t="shared" si="0"/>
        <v>5</v>
      </c>
      <c r="D9" t="s">
        <v>45</v>
      </c>
      <c r="E9">
        <v>2</v>
      </c>
      <c r="F9">
        <v>5</v>
      </c>
      <c r="H9" s="4">
        <f>IF(Tabla113[[#This Row],[Cantidad]] &gt; 0,CEILING(( Tabla113[[#This Row],[Cantidad]]*Tabla113[[#This Row],[Precio]]) - IF(ISNUMBER(FIND("x", LOWER(G9))), ( Tabla113[[#This Row],[Cantidad]]* Tabla113[[#This Row],[Precio]] * IF(ISNUMBER(FIND("aceite", LOWER(Tabla113[[#This Row],[Producto]]))), 0.05, 0.1)), 0), 0.5), "")</f>
        <v>10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46290.552152777775</v>
      </c>
      <c r="C10">
        <f t="shared" si="0"/>
        <v>6</v>
      </c>
      <c r="D10" t="s">
        <v>52</v>
      </c>
      <c r="E10">
        <v>1</v>
      </c>
      <c r="F10">
        <v>130</v>
      </c>
      <c r="G10" t="s">
        <v>38</v>
      </c>
      <c r="H10" s="4">
        <f>IF(Tabla113[[#This Row],[Cantidad]] &gt; 0,CEILING(( Tabla113[[#This Row],[Cantidad]]*Tabla113[[#This Row],[Precio]]) - IF(ISNUMBER(FIND("x", LOWER(G10))), ( Tabla113[[#This Row],[Cantidad]]* Tabla113[[#This Row],[Precio]] * IF(ISNUMBER(FIND("aceite", LOWER(Tabla113[[#This Row],[Producto]]))), 0.05, 0.1)), 0), 0.5), "")</f>
        <v>123.5</v>
      </c>
      <c r="J10" s="30" t="s">
        <v>31</v>
      </c>
      <c r="K10" s="32">
        <f>IF(K4&lt;&gt;0,COUNTIF(G5:G103, "x")/K4, "")</f>
        <v>0.625</v>
      </c>
      <c r="M10" s="18"/>
      <c r="N10" s="18"/>
      <c r="O10" s="18"/>
      <c r="P10" s="18"/>
      <c r="Q10" s="18"/>
      <c r="R10" s="18"/>
    </row>
    <row r="11" spans="2:18" x14ac:dyDescent="0.25">
      <c r="B11" s="13">
        <v>46290.552337962959</v>
      </c>
      <c r="C11">
        <f t="shared" si="0"/>
        <v>7</v>
      </c>
      <c r="D11" t="s">
        <v>100</v>
      </c>
      <c r="E11">
        <v>1</v>
      </c>
      <c r="F11">
        <v>175</v>
      </c>
      <c r="G11" t="s">
        <v>38</v>
      </c>
      <c r="H11" s="4">
        <f>IF(Tabla113[[#This Row],[Cantidad]] &gt; 0,CEILING(( Tabla113[[#This Row],[Cantidad]]*Tabla113[[#This Row],[Precio]]) - IF(ISNUMBER(FIND("x", LOWER(G11))), ( Tabla113[[#This Row],[Cantidad]]* Tabla113[[#This Row],[Precio]] * IF(ISNUMBER(FIND("aceite", LOWER(Tabla113[[#This Row],[Producto]]))), 0.05, 0.1)), 0), 0.5), "")</f>
        <v>157.5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46290.552766203706</v>
      </c>
      <c r="C12">
        <f t="shared" si="0"/>
        <v>8</v>
      </c>
      <c r="D12" t="s">
        <v>55</v>
      </c>
      <c r="E12">
        <v>1</v>
      </c>
      <c r="F12">
        <v>15</v>
      </c>
      <c r="G12" t="s">
        <v>38</v>
      </c>
      <c r="H12" s="4">
        <f>IF(Tabla113[[#This Row],[Cantidad]] &gt; 0,CEILING(( Tabla113[[#This Row],[Cantidad]]*Tabla113[[#This Row],[Precio]]) - IF(ISNUMBER(FIND("x", LOWER(G12))), ( Tabla113[[#This Row],[Cantidad]]* Tabla113[[#This Row],[Precio]] * IF(ISNUMBER(FIND("aceite", LOWER(Tabla113[[#This Row],[Producto]]))), 0.05, 0.1)), 0), 0.5), "")</f>
        <v>13.5</v>
      </c>
      <c r="J12" s="30" t="s">
        <v>32</v>
      </c>
      <c r="K12" s="32">
        <f>IF(K4&lt;&gt;0,(K4-COUNTIF(G5:G103,"x"))/K4,"")</f>
        <v>0.375</v>
      </c>
      <c r="M12" s="18"/>
      <c r="N12" s="18"/>
      <c r="O12" s="18"/>
      <c r="P12" s="18"/>
      <c r="Q12" s="18"/>
      <c r="R12" s="18"/>
    </row>
    <row r="13" spans="2:18" x14ac:dyDescent="0.25">
      <c r="B13" s="13">
        <v>46290.612604166665</v>
      </c>
      <c r="C13">
        <f t="shared" si="0"/>
        <v>9</v>
      </c>
      <c r="D13" t="s">
        <v>101</v>
      </c>
      <c r="E13">
        <v>1</v>
      </c>
      <c r="F13">
        <v>380</v>
      </c>
      <c r="H13" s="4">
        <f>IF(Tabla113[[#This Row],[Cantidad]] &gt; 0,CEILING(( Tabla113[[#This Row],[Cantidad]]*Tabla113[[#This Row],[Precio]]) - IF(ISNUMBER(FIND("x", LOWER(G13))), ( Tabla113[[#This Row],[Cantidad]]* Tabla113[[#This Row],[Precio]] * IF(ISNUMBER(FIND("aceite", LOWER(Tabla113[[#This Row],[Producto]]))), 0.05, 0.1)), 0), 0.5), "")</f>
        <v>380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46290.676828703705</v>
      </c>
      <c r="C14">
        <f t="shared" si="0"/>
        <v>10</v>
      </c>
      <c r="D14" t="s">
        <v>44</v>
      </c>
      <c r="E14">
        <v>1</v>
      </c>
      <c r="F14">
        <v>147</v>
      </c>
      <c r="G14" t="s">
        <v>38</v>
      </c>
      <c r="H14" s="4">
        <f>IF(Tabla113[[#This Row],[Cantidad]] &gt; 0,CEILING(( Tabla113[[#This Row],[Cantidad]]*Tabla113[[#This Row],[Precio]]) - IF(ISNUMBER(FIND("x", LOWER(G14))), ( Tabla113[[#This Row],[Cantidad]]* Tabla113[[#This Row],[Precio]] * IF(ISNUMBER(FIND("aceite", LOWER(Tabla113[[#This Row],[Producto]]))), 0.05, 0.1)), 0), 0.5), "")</f>
        <v>140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46290.676979166667</v>
      </c>
      <c r="C15">
        <f t="shared" si="0"/>
        <v>11</v>
      </c>
      <c r="D15" t="s">
        <v>54</v>
      </c>
      <c r="E15">
        <v>1</v>
      </c>
      <c r="F15">
        <v>71</v>
      </c>
      <c r="G15" t="s">
        <v>38</v>
      </c>
      <c r="H15" s="4">
        <f>IF(Tabla113[[#This Row],[Cantidad]] &gt; 0,CEILING(( Tabla113[[#This Row],[Cantidad]]*Tabla113[[#This Row],[Precio]]) - IF(ISNUMBER(FIND("x", LOWER(G15))), ( Tabla113[[#This Row],[Cantidad]]* Tabla113[[#This Row],[Precio]] * IF(ISNUMBER(FIND("aceite", LOWER(Tabla113[[#This Row],[Producto]]))), 0.05, 0.1)), 0), 0.5), "")</f>
        <v>64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46290.677106481482</v>
      </c>
      <c r="C16">
        <f t="shared" si="0"/>
        <v>12</v>
      </c>
      <c r="D16" t="s">
        <v>55</v>
      </c>
      <c r="E16">
        <v>1</v>
      </c>
      <c r="F16">
        <v>15</v>
      </c>
      <c r="G16" t="s">
        <v>38</v>
      </c>
      <c r="H16" s="4">
        <f>IF(Tabla113[[#This Row],[Cantidad]] &gt; 0,CEILING(( Tabla113[[#This Row],[Cantidad]]*Tabla113[[#This Row],[Precio]]) - IF(ISNUMBER(FIND("x", LOWER(G16))), ( Tabla113[[#This Row],[Cantidad]]* Tabla113[[#This Row],[Precio]] * IF(ISNUMBER(FIND("aceite", LOWER(Tabla113[[#This Row],[Producto]]))), 0.05, 0.1)), 0), 0.5), "")</f>
        <v>13.5</v>
      </c>
      <c r="J16" s="20" t="s">
        <v>26</v>
      </c>
      <c r="K16" s="22">
        <v>25987.5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46290.677187499998</v>
      </c>
      <c r="C17">
        <f t="shared" si="0"/>
        <v>13</v>
      </c>
      <c r="D17" t="s">
        <v>53</v>
      </c>
      <c r="E17">
        <v>1</v>
      </c>
      <c r="F17">
        <v>50</v>
      </c>
      <c r="G17" t="s">
        <v>38</v>
      </c>
      <c r="H17" s="4">
        <f>IF(Tabla113[[#This Row],[Cantidad]] &gt; 0,CEILING(( Tabla113[[#This Row],[Cantidad]]*Tabla113[[#This Row],[Precio]]) - IF(ISNUMBER(FIND("x", LOWER(G17))), ( Tabla113[[#This Row],[Cantidad]]* Tabla113[[#This Row],[Precio]] * IF(ISNUMBER(FIND("aceite", LOWER(Tabla113[[#This Row],[Producto]]))), 0.05, 0.1)), 0), 0.5), "")</f>
        <v>45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46290.720266203702</v>
      </c>
      <c r="C18">
        <f t="shared" si="0"/>
        <v>14</v>
      </c>
      <c r="D18" t="s">
        <v>102</v>
      </c>
      <c r="E18">
        <v>1</v>
      </c>
      <c r="F18">
        <v>714</v>
      </c>
      <c r="H18" s="4">
        <f>IF(Tabla113[[#This Row],[Cantidad]] &gt; 0,CEILING(( Tabla113[[#This Row],[Cantidad]]*Tabla113[[#This Row],[Precio]]) - IF(ISNUMBER(FIND("x", LOWER(G18))), ( Tabla113[[#This Row],[Cantidad]]* Tabla113[[#This Row],[Precio]] * IF(ISNUMBER(FIND("aceite", LOWER(Tabla113[[#This Row],[Producto]]))), 0.05, 0.1)), 0), 0.5), "")</f>
        <v>714</v>
      </c>
      <c r="J18" s="23" t="s">
        <v>27</v>
      </c>
      <c r="K18" s="25">
        <f>SUM(O27:O52)</f>
        <v>9252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46290.72047453704</v>
      </c>
      <c r="C19">
        <f t="shared" si="0"/>
        <v>15</v>
      </c>
      <c r="D19" t="s">
        <v>103</v>
      </c>
      <c r="E19">
        <v>1</v>
      </c>
      <c r="F19">
        <v>52</v>
      </c>
      <c r="G19" t="s">
        <v>38</v>
      </c>
      <c r="H19" s="4">
        <f>IF(Tabla113[[#This Row],[Cantidad]] &gt; 0,CEILING(( Tabla113[[#This Row],[Cantidad]]*Tabla113[[#This Row],[Precio]]) - IF(ISNUMBER(FIND("x", LOWER(G19))), ( Tabla113[[#This Row],[Cantidad]]* Tabla113[[#This Row],[Precio]] * IF(ISNUMBER(FIND("aceite", LOWER(Tabla113[[#This Row],[Producto]]))), 0.05, 0.1)), 0), 0.5), "")</f>
        <v>47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46290.777916666666</v>
      </c>
      <c r="C20">
        <f t="shared" si="0"/>
        <v>16</v>
      </c>
      <c r="D20" t="s">
        <v>105</v>
      </c>
      <c r="E20">
        <v>1</v>
      </c>
      <c r="F20">
        <v>35</v>
      </c>
      <c r="G20" t="s">
        <v>38</v>
      </c>
      <c r="H20" s="4">
        <f>IF(Tabla113[[#This Row],[Cantidad]] &gt; 0,CEILING(( Tabla113[[#This Row],[Cantidad]]*Tabla113[[#This Row],[Precio]]) - IF(ISNUMBER(FIND("x", LOWER(G20))), ( Tabla113[[#This Row],[Cantidad]]* Tabla113[[#This Row],[Precio]] * IF(ISNUMBER(FIND("aceite", LOWER(Tabla113[[#This Row],[Producto]]))), 0.05, 0.1)), 0), 0.5), "")</f>
        <v>31.5</v>
      </c>
      <c r="J20" s="26" t="s">
        <v>29</v>
      </c>
      <c r="K20" s="28">
        <f>K16-K18</f>
        <v>16735.5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IF(Tabla113[[#This Row],[Cantidad]] &gt; 0,CEILING(( Tabla113[[#This Row],[Cantidad]]*Tabla113[[#This Row],[Precio]]) - IF(ISNUMBER(FIND("x", LOWER(G21))), ( Tabla113[[#This Row],[Cantidad]]* Tabla113[[#This Row],[Precio]] * IF(ISNUMBER(FIND("aceite", LOWER(Tabla113[[#This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IF(Tabla113[[#This Row],[Cantidad]] &gt; 0,CEILING(( Tabla113[[#This Row],[Cantidad]]*Tabla113[[#This Row],[Precio]]) - IF(ISNUMBER(FIND("x", LOWER(G22))), ( Tabla113[[#This Row],[Cantidad]]* Tabla113[[#This Row],[Precio]] * IF(ISNUMBER(FIND("aceite", LOWER(Tabla113[[#This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IF(Tabla113[[#This Row],[Cantidad]] &gt; 0,CEILING(( Tabla113[[#This Row],[Cantidad]]*Tabla113[[#This Row],[Precio]]) - IF(ISNUMBER(FIND("x", LOWER(G23))), ( Tabla113[[#This Row],[Cantidad]]* Tabla113[[#This Row],[Precio]] * IF(ISNUMBER(FIND("aceite", LOWER(Tabla113[[#This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IF(Tabla113[[#This Row],[Cantidad]] &gt; 0,CEILING(( Tabla113[[#This Row],[Cantidad]]*Tabla113[[#This Row],[Precio]]) - IF(ISNUMBER(FIND("x", LOWER(G24))), ( Tabla113[[#This Row],[Cantidad]]* Tabla113[[#This Row],[Precio]] * IF(ISNUMBER(FIND("aceite", LOWER(Tabla113[[#This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IF(Tabla113[[#This Row],[Cantidad]] &gt; 0,CEILING(( Tabla113[[#This Row],[Cantidad]]*Tabla113[[#This Row],[Precio]]) - IF(ISNUMBER(FIND("x", LOWER(G25))), ( Tabla113[[#This Row],[Cantidad]]* Tabla113[[#This Row],[Precio]] * IF(ISNUMBER(FIND("aceite", LOWER(Tabla113[[#This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IF(Tabla113[[#This Row],[Cantidad]] &gt; 0,CEILING(( Tabla113[[#This Row],[Cantidad]]*Tabla113[[#This Row],[Precio]]) - IF(ISNUMBER(FIND("x", LOWER(G26))), ( Tabla113[[#This Row],[Cantidad]]* Tabla113[[#This Row],[Precio]] * IF(ISNUMBER(FIND("aceite", LOWER(Tabla113[[#This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IF(Tabla113[[#This Row],[Cantidad]] &gt; 0,CEILING(( Tabla113[[#This Row],[Cantidad]]*Tabla113[[#This Row],[Precio]]) - IF(ISNUMBER(FIND("x", LOWER(G27))), ( Tabla113[[#This Row],[Cantidad]]* Tabla113[[#This Row],[Precio]] * IF(ISNUMBER(FIND("aceite", LOWER(Tabla113[[#This Row],[Producto]]))), 0.05, 0.1)), 0), 0.5), "")</f>
        <v/>
      </c>
      <c r="M27" s="44" t="s">
        <v>36</v>
      </c>
      <c r="N27" s="45"/>
      <c r="O27" s="33">
        <v>40</v>
      </c>
      <c r="P27" s="35" t="s">
        <v>95</v>
      </c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IF(Tabla113[[#This Row],[Cantidad]] &gt; 0,CEILING(( Tabla113[[#This Row],[Cantidad]]*Tabla113[[#This Row],[Precio]]) - IF(ISNUMBER(FIND("x", LOWER(G28))), ( Tabla113[[#This Row],[Cantidad]]* Tabla113[[#This Row],[Precio]] * IF(ISNUMBER(FIND("aceite", LOWER(Tabla113[[#This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IF(Tabla113[[#This Row],[Cantidad]] &gt; 0,CEILING(( Tabla113[[#This Row],[Cantidad]]*Tabla113[[#This Row],[Precio]]) - IF(ISNUMBER(FIND("x", LOWER(G29))), ( Tabla113[[#This Row],[Cantidad]]* Tabla113[[#This Row],[Precio]] * IF(ISNUMBER(FIND("aceite", LOWER(Tabla113[[#This Row],[Producto]]))), 0.05, 0.1)), 0), 0.5), "")</f>
        <v/>
      </c>
      <c r="M29" s="44" t="s">
        <v>94</v>
      </c>
      <c r="N29" s="45"/>
      <c r="O29" s="33">
        <v>1639</v>
      </c>
      <c r="P29" s="35" t="s">
        <v>95</v>
      </c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IF(Tabla113[[#This Row],[Cantidad]] &gt; 0,CEILING(( Tabla113[[#This Row],[Cantidad]]*Tabla113[[#This Row],[Precio]]) - IF(ISNUMBER(FIND("x", LOWER(G30))), ( Tabla113[[#This Row],[Cantidad]]* Tabla113[[#This Row],[Precio]] * IF(ISNUMBER(FIND("aceite", LOWER(Tabla113[[#This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IF(Tabla113[[#This Row],[Cantidad]] &gt; 0,CEILING(( Tabla113[[#This Row],[Cantidad]]*Tabla113[[#This Row],[Precio]]) - IF(ISNUMBER(FIND("x", LOWER(G31))), ( Tabla113[[#This Row],[Cantidad]]* Tabla113[[#This Row],[Precio]] * IF(ISNUMBER(FIND("aceite", LOWER(Tabla113[[#This Row],[Producto]]))), 0.05, 0.1)), 0), 0.5), "")</f>
        <v/>
      </c>
      <c r="M31" s="44" t="s">
        <v>79</v>
      </c>
      <c r="N31" s="45"/>
      <c r="O31" s="33">
        <v>4573</v>
      </c>
      <c r="P31" s="35" t="s">
        <v>96</v>
      </c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IF(Tabla113[[#This Row],[Cantidad]] &gt; 0,CEILING(( Tabla113[[#This Row],[Cantidad]]*Tabla113[[#This Row],[Precio]]) - IF(ISNUMBER(FIND("x", LOWER(G32))), ( Tabla113[[#This Row],[Cantidad]]* Tabla113[[#This Row],[Precio]] * IF(ISNUMBER(FIND("aceite", LOWER(Tabla113[[#This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IF(Tabla113[[#This Row],[Cantidad]] &gt; 0,CEILING(( Tabla113[[#This Row],[Cantidad]]*Tabla113[[#This Row],[Precio]]) - IF(ISNUMBER(FIND("x", LOWER(G33))), ( Tabla113[[#This Row],[Cantidad]]* Tabla113[[#This Row],[Precio]] * IF(ISNUMBER(FIND("aceite", LOWER(Tabla113[[#This Row],[Producto]]))), 0.05, 0.1)), 0), 0.5), "")</f>
        <v/>
      </c>
      <c r="M33" s="44" t="s">
        <v>97</v>
      </c>
      <c r="N33" s="45"/>
      <c r="O33" s="33">
        <v>1500</v>
      </c>
      <c r="P33" s="35" t="s">
        <v>98</v>
      </c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IF(Tabla113[[#This Row],[Cantidad]] &gt; 0,CEILING(( Tabla113[[#This Row],[Cantidad]]*Tabla113[[#This Row],[Precio]]) - IF(ISNUMBER(FIND("x", LOWER(G34))), ( Tabla113[[#This Row],[Cantidad]]* Tabla113[[#This Row],[Precio]] * IF(ISNUMBER(FIND("aceite", LOWER(Tabla113[[#This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IF(Tabla113[[#This Row],[Cantidad]] &gt; 0,CEILING(( Tabla113[[#This Row],[Cantidad]]*Tabla113[[#This Row],[Precio]]) - IF(ISNUMBER(FIND("x", LOWER(G35))), ( Tabla113[[#This Row],[Cantidad]]* Tabla113[[#This Row],[Precio]] * IF(ISNUMBER(FIND("aceite", LOWER(Tabla113[[#This Row],[Producto]]))), 0.05, 0.1)), 0), 0.5), "")</f>
        <v/>
      </c>
      <c r="M35" s="44" t="s">
        <v>99</v>
      </c>
      <c r="N35" s="45"/>
      <c r="O35" s="33">
        <v>1500</v>
      </c>
      <c r="P35" s="35" t="s">
        <v>98</v>
      </c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IF(Tabla113[[#This Row],[Cantidad]] &gt; 0,CEILING(( Tabla113[[#This Row],[Cantidad]]*Tabla113[[#This Row],[Precio]]) - IF(ISNUMBER(FIND("x", LOWER(G36))), ( Tabla113[[#This Row],[Cantidad]]* Tabla113[[#This Row],[Precio]] * IF(ISNUMBER(FIND("aceite", LOWER(Tabla113[[#This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IF(Tabla113[[#This Row],[Cantidad]] &gt; 0,CEILING(( Tabla113[[#This Row],[Cantidad]]*Tabla113[[#This Row],[Precio]]) - IF(ISNUMBER(FIND("x", LOWER(G37))), ( Tabla113[[#This Row],[Cantidad]]* Tabla113[[#This Row],[Precio]] * IF(ISNUMBER(FIND("aceite", LOWER(Tabla113[[#This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IF(Tabla113[[#This Row],[Cantidad]] &gt; 0,CEILING(( Tabla113[[#This Row],[Cantidad]]*Tabla113[[#This Row],[Precio]]) - IF(ISNUMBER(FIND("x", LOWER(G38))), ( Tabla113[[#This Row],[Cantidad]]* Tabla113[[#This Row],[Precio]] * IF(ISNUMBER(FIND("aceite", LOWER(Tabla113[[#This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IF(Tabla113[[#This Row],[Cantidad]] &gt; 0,CEILING(( Tabla113[[#This Row],[Cantidad]]*Tabla113[[#This Row],[Precio]]) - IF(ISNUMBER(FIND("x", LOWER(G39))), ( Tabla113[[#This Row],[Cantidad]]* Tabla113[[#This Row],[Precio]] * IF(ISNUMBER(FIND("aceite", LOWER(Tabla113[[#This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IF(Tabla113[[#This Row],[Cantidad]] &gt; 0,CEILING(( Tabla113[[#This Row],[Cantidad]]*Tabla113[[#This Row],[Precio]]) - IF(ISNUMBER(FIND("x", LOWER(G40))), ( Tabla113[[#This Row],[Cantidad]]* Tabla113[[#This Row],[Precio]] * IF(ISNUMBER(FIND("aceite", LOWER(Tabla113[[#This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IF(Tabla113[[#This Row],[Cantidad]] &gt; 0,CEILING(( Tabla113[[#This Row],[Cantidad]]*Tabla113[[#This Row],[Precio]]) - IF(ISNUMBER(FIND("x", LOWER(G41))), ( Tabla113[[#This Row],[Cantidad]]* Tabla113[[#This Row],[Precio]] * IF(ISNUMBER(FIND("aceite", LOWER(Tabla113[[#This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IF(Tabla113[[#This Row],[Cantidad]] &gt; 0,CEILING(( Tabla113[[#This Row],[Cantidad]]*Tabla113[[#This Row],[Precio]]) - IF(ISNUMBER(FIND("x", LOWER(G42))), ( Tabla113[[#This Row],[Cantidad]]* Tabla113[[#This Row],[Precio]] * IF(ISNUMBER(FIND("aceite", LOWER(Tabla113[[#This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IF(Tabla113[[#This Row],[Cantidad]] &gt; 0,CEILING(( Tabla113[[#This Row],[Cantidad]]*Tabla113[[#This Row],[Precio]]) - IF(ISNUMBER(FIND("x", LOWER(G43))), ( Tabla113[[#This Row],[Cantidad]]* Tabla113[[#This Row],[Precio]] * IF(ISNUMBER(FIND("aceite", LOWER(Tabla113[[#This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IF(Tabla113[[#This Row],[Cantidad]] &gt; 0,CEILING(( Tabla113[[#This Row],[Cantidad]]*Tabla113[[#This Row],[Precio]]) - IF(ISNUMBER(FIND("x", LOWER(G44))), ( Tabla113[[#This Row],[Cantidad]]* Tabla113[[#This Row],[Precio]] * IF(ISNUMBER(FIND("aceite", LOWER(Tabla113[[#This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IF(Tabla113[[#This Row],[Cantidad]] &gt; 0,CEILING(( Tabla113[[#This Row],[Cantidad]]*Tabla113[[#This Row],[Precio]]) - IF(ISNUMBER(FIND("x", LOWER(G45))), ( Tabla113[[#This Row],[Cantidad]]* Tabla113[[#This Row],[Precio]] * IF(ISNUMBER(FIND("aceite", LOWER(Tabla113[[#This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IF(Tabla113[[#This Row],[Cantidad]] &gt; 0,CEILING(( Tabla113[[#This Row],[Cantidad]]*Tabla113[[#This Row],[Precio]]) - IF(ISNUMBER(FIND("x", LOWER(G46))), ( Tabla113[[#This Row],[Cantidad]]* Tabla113[[#This Row],[Precio]] * IF(ISNUMBER(FIND("aceite", LOWER(Tabla113[[#This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IF(Tabla113[[#This Row],[Cantidad]] &gt; 0,CEILING(( Tabla113[[#This Row],[Cantidad]]*Tabla113[[#This Row],[Precio]]) - IF(ISNUMBER(FIND("x", LOWER(G47))), ( Tabla113[[#This Row],[Cantidad]]* Tabla113[[#This Row],[Precio]] * IF(ISNUMBER(FIND("aceite", LOWER(Tabla113[[#This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IF(Tabla113[[#This Row],[Cantidad]] &gt; 0,CEILING(( Tabla113[[#This Row],[Cantidad]]*Tabla113[[#This Row],[Precio]]) - IF(ISNUMBER(FIND("x", LOWER(G48))), ( Tabla113[[#This Row],[Cantidad]]* Tabla113[[#This Row],[Precio]] * IF(ISNUMBER(FIND("aceite", LOWER(Tabla113[[#This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IF(Tabla113[[#This Row],[Cantidad]] &gt; 0,CEILING(( Tabla113[[#This Row],[Cantidad]]*Tabla113[[#This Row],[Precio]]) - IF(ISNUMBER(FIND("x", LOWER(G49))), ( Tabla113[[#This Row],[Cantidad]]* Tabla113[[#This Row],[Precio]] * IF(ISNUMBER(FIND("aceite", LOWER(Tabla113[[#This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IF(Tabla113[[#This Row],[Cantidad]] &gt; 0,CEILING(( Tabla113[[#This Row],[Cantidad]]*Tabla113[[#This Row],[Precio]]) - IF(ISNUMBER(FIND("x", LOWER(G50))), ( Tabla113[[#This Row],[Cantidad]]* Tabla113[[#This Row],[Precio]] * IF(ISNUMBER(FIND("aceite", LOWER(Tabla113[[#This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IF(Tabla113[[#This Row],[Cantidad]] &gt; 0,CEILING(( Tabla113[[#This Row],[Cantidad]]*Tabla113[[#This Row],[Precio]]) - IF(ISNUMBER(FIND("x", LOWER(G51))), ( Tabla113[[#This Row],[Cantidad]]* Tabla113[[#This Row],[Precio]] * IF(ISNUMBER(FIND("aceite", LOWER(Tabla113[[#This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IF(Tabla113[[#This Row],[Cantidad]] &gt; 0,CEILING(( Tabla113[[#This Row],[Cantidad]]*Tabla113[[#This Row],[Precio]]) - IF(ISNUMBER(FIND("x", LOWER(G52))), ( Tabla113[[#This Row],[Cantidad]]* Tabla113[[#This Row],[Precio]] * IF(ISNUMBER(FIND("aceite", LOWER(Tabla113[[#This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IF(Tabla113[[#This Row],[Cantidad]] &gt; 0,CEILING(( Tabla113[[#This Row],[Cantidad]]*Tabla113[[#This Row],[Precio]]) - IF(ISNUMBER(FIND("x", LOWER(G53))), ( Tabla113[[#This Row],[Cantidad]]* Tabla113[[#This Row],[Precio]] * IF(ISNUMBER(FIND("aceite", LOWER(Tabla113[[#This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IF(Tabla113[[#This Row],[Cantidad]] &gt; 0,CEILING(( Tabla113[[#This Row],[Cantidad]]*Tabla113[[#This Row],[Precio]]) - IF(ISNUMBER(FIND("x", LOWER(G54))), ( Tabla113[[#This Row],[Cantidad]]* Tabla113[[#This Row],[Precio]] * IF(ISNUMBER(FIND("aceite", LOWER(Tabla113[[#This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IF(Tabla113[[#This Row],[Cantidad]] &gt; 0,CEILING(( Tabla113[[#This Row],[Cantidad]]*Tabla113[[#This Row],[Precio]]) - IF(ISNUMBER(FIND("x", LOWER(G55))), ( Tabla113[[#This Row],[Cantidad]]* Tabla113[[#This Row],[Precio]] * IF(ISNUMBER(FIND("aceite", LOWER(Tabla113[[#This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IF(Tabla113[[#This Row],[Cantidad]] &gt; 0,CEILING(( Tabla113[[#This Row],[Cantidad]]*Tabla113[[#This Row],[Precio]]) - IF(ISNUMBER(FIND("x", LOWER(G56))), ( Tabla113[[#This Row],[Cantidad]]* Tabla113[[#This Row],[Precio]] * IF(ISNUMBER(FIND("aceite", LOWER(Tabla113[[#This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IF(Tabla113[[#This Row],[Cantidad]] &gt; 0,CEILING(( Tabla113[[#This Row],[Cantidad]]*Tabla113[[#This Row],[Precio]]) - IF(ISNUMBER(FIND("x", LOWER(G57))), ( Tabla113[[#This Row],[Cantidad]]* Tabla113[[#This Row],[Precio]] * IF(ISNUMBER(FIND("aceite", LOWER(Tabla113[[#This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IF(Tabla113[[#This Row],[Cantidad]] &gt; 0,CEILING(( Tabla113[[#This Row],[Cantidad]]*Tabla113[[#This Row],[Precio]]) - IF(ISNUMBER(FIND("x", LOWER(G58))), ( Tabla113[[#This Row],[Cantidad]]* Tabla113[[#This Row],[Precio]] * IF(ISNUMBER(FIND("aceite", LOWER(Tabla113[[#This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IF(Tabla113[[#This Row],[Cantidad]] &gt; 0,CEILING(( Tabla113[[#This Row],[Cantidad]]*Tabla113[[#This Row],[Precio]]) - IF(ISNUMBER(FIND("x", LOWER(G59))), ( Tabla113[[#This Row],[Cantidad]]* Tabla113[[#This Row],[Precio]] * IF(ISNUMBER(FIND("aceite", LOWER(Tabla113[[#This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IF(Tabla113[[#This Row],[Cantidad]] &gt; 0,CEILING(( Tabla113[[#This Row],[Cantidad]]*Tabla113[[#This Row],[Precio]]) - IF(ISNUMBER(FIND("x", LOWER(G60))), ( Tabla113[[#This Row],[Cantidad]]* Tabla113[[#This Row],[Precio]] * IF(ISNUMBER(FIND("aceite", LOWER(Tabla113[[#This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IF(Tabla113[[#This Row],[Cantidad]] &gt; 0,CEILING(( Tabla113[[#This Row],[Cantidad]]*Tabla113[[#This Row],[Precio]]) - IF(ISNUMBER(FIND("x", LOWER(G61))), ( Tabla113[[#This Row],[Cantidad]]* Tabla113[[#This Row],[Precio]] * IF(ISNUMBER(FIND("aceite", LOWER(Tabla113[[#This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IF(Tabla113[[#This Row],[Cantidad]] &gt; 0,CEILING(( Tabla113[[#This Row],[Cantidad]]*Tabla113[[#This Row],[Precio]]) - IF(ISNUMBER(FIND("x", LOWER(G62))), ( Tabla113[[#This Row],[Cantidad]]* Tabla113[[#This Row],[Precio]] * IF(ISNUMBER(FIND("aceite", LOWER(Tabla113[[#This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IF(Tabla113[[#This Row],[Cantidad]] &gt; 0,CEILING(( Tabla113[[#This Row],[Cantidad]]*Tabla113[[#This Row],[Precio]]) - IF(ISNUMBER(FIND("x", LOWER(G63))), ( Tabla113[[#This Row],[Cantidad]]* Tabla113[[#This Row],[Precio]] * IF(ISNUMBER(FIND("aceite", LOWER(Tabla113[[#This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IF(Tabla113[[#This Row],[Cantidad]] &gt; 0,CEILING(( Tabla113[[#This Row],[Cantidad]]*Tabla113[[#This Row],[Precio]]) - IF(ISNUMBER(FIND("x", LOWER(G64))), ( Tabla113[[#This Row],[Cantidad]]* Tabla113[[#This Row],[Precio]] * IF(ISNUMBER(FIND("aceite", LOWER(Tabla113[[#This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IF(Tabla113[[#This Row],[Cantidad]] &gt; 0,CEILING(( Tabla113[[#This Row],[Cantidad]]*Tabla113[[#This Row],[Precio]]) - IF(ISNUMBER(FIND("x", LOWER(G65))), ( Tabla113[[#This Row],[Cantidad]]* Tabla113[[#This Row],[Precio]] * IF(ISNUMBER(FIND("aceite", LOWER(Tabla113[[#This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IF(Tabla113[[#This Row],[Cantidad]] &gt; 0,CEILING(( Tabla113[[#This Row],[Cantidad]]*Tabla113[[#This Row],[Precio]]) - IF(ISNUMBER(FIND("x", LOWER(G66))), ( Tabla113[[#This Row],[Cantidad]]* Tabla113[[#This Row],[Precio]] * IF(ISNUMBER(FIND("aceite", LOWER(Tabla113[[#This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IF(Tabla113[[#This Row],[Cantidad]] &gt; 0,CEILING(( Tabla113[[#This Row],[Cantidad]]*Tabla113[[#This Row],[Precio]]) - IF(ISNUMBER(FIND("x", LOWER(G67))), ( Tabla113[[#This Row],[Cantidad]]* Tabla113[[#This Row],[Precio]] * IF(ISNUMBER(FIND("aceite", LOWER(Tabla113[[#This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IF(Tabla113[[#This Row],[Cantidad]] &gt; 0,CEILING(( Tabla113[[#This Row],[Cantidad]]*Tabla113[[#This Row],[Precio]]) - IF(ISNUMBER(FIND("x", LOWER(G68))), ( Tabla113[[#This Row],[Cantidad]]* Tabla113[[#This Row],[Precio]] * IF(ISNUMBER(FIND("aceite", LOWER(Tabla113[[#This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IF(Tabla113[[#This Row],[Cantidad]] &gt; 0,CEILING(( Tabla113[[#This Row],[Cantidad]]*Tabla113[[#This Row],[Precio]]) - IF(ISNUMBER(FIND("x", LOWER(G69))), ( Tabla113[[#This Row],[Cantidad]]* Tabla113[[#This Row],[Precio]] * IF(ISNUMBER(FIND("aceite", LOWER(Tabla113[[#This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IF(Tabla113[[#This Row],[Cantidad]] &gt; 0,CEILING(( Tabla113[[#This Row],[Cantidad]]*Tabla113[[#This Row],[Precio]]) - IF(ISNUMBER(FIND("x", LOWER(G70))), ( Tabla113[[#This Row],[Cantidad]]* Tabla113[[#This Row],[Precio]] * IF(ISNUMBER(FIND("aceite", LOWER(Tabla113[[#This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IF(Tabla113[[#This Row],[Cantidad]] &gt; 0,CEILING(( Tabla113[[#This Row],[Cantidad]]*Tabla113[[#This Row],[Precio]]) - IF(ISNUMBER(FIND("x", LOWER(G71))), ( Tabla113[[#This Row],[Cantidad]]* Tabla113[[#This Row],[Precio]] * IF(ISNUMBER(FIND("aceite", LOWER(Tabla113[[#This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IF(Tabla113[[#This Row],[Cantidad]] &gt; 0,CEILING(( Tabla113[[#This Row],[Cantidad]]*Tabla113[[#This Row],[Precio]]) - IF(ISNUMBER(FIND("x", LOWER(G72))), ( Tabla113[[#This Row],[Cantidad]]* Tabla113[[#This Row],[Precio]] * IF(ISNUMBER(FIND("aceite", LOWER(Tabla113[[#This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IF(Tabla113[[#This Row],[Cantidad]] &gt; 0,CEILING(( Tabla113[[#This Row],[Cantidad]]*Tabla113[[#This Row],[Precio]]) - IF(ISNUMBER(FIND("x", LOWER(G73))), ( Tabla113[[#This Row],[Cantidad]]* Tabla113[[#This Row],[Precio]] * IF(ISNUMBER(FIND("aceite", LOWER(Tabla113[[#This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IF(Tabla113[[#This Row],[Cantidad]] &gt; 0,CEILING(( Tabla113[[#This Row],[Cantidad]]*Tabla113[[#This Row],[Precio]]) - IF(ISNUMBER(FIND("x", LOWER(G74))), ( Tabla113[[#This Row],[Cantidad]]* Tabla113[[#This Row],[Precio]] * IF(ISNUMBER(FIND("aceite", LOWER(Tabla113[[#This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IF(Tabla113[[#This Row],[Cantidad]] &gt; 0,CEILING(( Tabla113[[#This Row],[Cantidad]]*Tabla113[[#This Row],[Precio]]) - IF(ISNUMBER(FIND("x", LOWER(G75))), ( Tabla113[[#This Row],[Cantidad]]* Tabla113[[#This Row],[Precio]] * IF(ISNUMBER(FIND("aceite", LOWER(Tabla113[[#This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IF(Tabla113[[#This Row],[Cantidad]] &gt; 0,CEILING(( Tabla113[[#This Row],[Cantidad]]*Tabla113[[#This Row],[Precio]]) - IF(ISNUMBER(FIND("x", LOWER(G76))), ( Tabla113[[#This Row],[Cantidad]]* Tabla113[[#This Row],[Precio]] * IF(ISNUMBER(FIND("aceite", LOWER(Tabla113[[#This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IF(Tabla113[[#This Row],[Cantidad]] &gt; 0,CEILING(( Tabla113[[#This Row],[Cantidad]]*Tabla113[[#This Row],[Precio]]) - IF(ISNUMBER(FIND("x", LOWER(G77))), ( Tabla113[[#This Row],[Cantidad]]* Tabla113[[#This Row],[Precio]] * IF(ISNUMBER(FIND("aceite", LOWER(Tabla113[[#This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IF(Tabla113[[#This Row],[Cantidad]] &gt; 0,CEILING(( Tabla113[[#This Row],[Cantidad]]*Tabla113[[#This Row],[Precio]]) - IF(ISNUMBER(FIND("x", LOWER(G78))), ( Tabla113[[#This Row],[Cantidad]]* Tabla113[[#This Row],[Precio]] * IF(ISNUMBER(FIND("aceite", LOWER(Tabla113[[#This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IF(Tabla113[[#This Row],[Cantidad]] &gt; 0,CEILING(( Tabla113[[#This Row],[Cantidad]]*Tabla113[[#This Row],[Precio]]) - IF(ISNUMBER(FIND("x", LOWER(G79))), ( Tabla113[[#This Row],[Cantidad]]* Tabla113[[#This Row],[Precio]] * IF(ISNUMBER(FIND("aceite", LOWER(Tabla113[[#This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IF(Tabla113[[#This Row],[Cantidad]] &gt; 0,CEILING(( Tabla113[[#This Row],[Cantidad]]*Tabla113[[#This Row],[Precio]]) - IF(ISNUMBER(FIND("x", LOWER(G80))), ( Tabla113[[#This Row],[Cantidad]]* Tabla113[[#This Row],[Precio]] * IF(ISNUMBER(FIND("aceite", LOWER(Tabla113[[#This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IF(Tabla113[[#This Row],[Cantidad]] &gt; 0,CEILING(( Tabla113[[#This Row],[Cantidad]]*Tabla113[[#This Row],[Precio]]) - IF(ISNUMBER(FIND("x", LOWER(G81))), ( Tabla113[[#This Row],[Cantidad]]* Tabla113[[#This Row],[Precio]] * IF(ISNUMBER(FIND("aceite", LOWER(Tabla113[[#This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IF(Tabla113[[#This Row],[Cantidad]] &gt; 0,CEILING(( Tabla113[[#This Row],[Cantidad]]*Tabla113[[#This Row],[Precio]]) - IF(ISNUMBER(FIND("x", LOWER(G82))), ( Tabla113[[#This Row],[Cantidad]]* Tabla113[[#This Row],[Precio]] * IF(ISNUMBER(FIND("aceite", LOWER(Tabla113[[#This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IF(Tabla113[[#This Row],[Cantidad]] &gt; 0,CEILING(( Tabla113[[#This Row],[Cantidad]]*Tabla113[[#This Row],[Precio]]) - IF(ISNUMBER(FIND("x", LOWER(G83))), ( Tabla113[[#This Row],[Cantidad]]* Tabla113[[#This Row],[Precio]] * IF(ISNUMBER(FIND("aceite", LOWER(Tabla113[[#This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IF(Tabla113[[#This Row],[Cantidad]] &gt; 0,CEILING(( Tabla113[[#This Row],[Cantidad]]*Tabla113[[#This Row],[Precio]]) - IF(ISNUMBER(FIND("x", LOWER(G84))), ( Tabla113[[#This Row],[Cantidad]]* Tabla113[[#This Row],[Precio]] * IF(ISNUMBER(FIND("aceite", LOWER(Tabla113[[#This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IF(Tabla113[[#This Row],[Cantidad]] &gt; 0,CEILING(( Tabla113[[#This Row],[Cantidad]]*Tabla113[[#This Row],[Precio]]) - IF(ISNUMBER(FIND("x", LOWER(G85))), ( Tabla113[[#This Row],[Cantidad]]* Tabla113[[#This Row],[Precio]] * IF(ISNUMBER(FIND("aceite", LOWER(Tabla113[[#This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IF(Tabla113[[#This Row],[Cantidad]] &gt; 0,CEILING(( Tabla113[[#This Row],[Cantidad]]*Tabla113[[#This Row],[Precio]]) - IF(ISNUMBER(FIND("x", LOWER(G86))), ( Tabla113[[#This Row],[Cantidad]]* Tabla113[[#This Row],[Precio]] * IF(ISNUMBER(FIND("aceite", LOWER(Tabla113[[#This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IF(Tabla113[[#This Row],[Cantidad]] &gt; 0,CEILING(( Tabla113[[#This Row],[Cantidad]]*Tabla113[[#This Row],[Precio]]) - IF(ISNUMBER(FIND("x", LOWER(G87))), ( Tabla113[[#This Row],[Cantidad]]* Tabla113[[#This Row],[Precio]] * IF(ISNUMBER(FIND("aceite", LOWER(Tabla113[[#This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IF(Tabla113[[#This Row],[Cantidad]] &gt; 0,CEILING(( Tabla113[[#This Row],[Cantidad]]*Tabla113[[#This Row],[Precio]]) - IF(ISNUMBER(FIND("x", LOWER(G88))), ( Tabla113[[#This Row],[Cantidad]]* Tabla113[[#This Row],[Precio]] * IF(ISNUMBER(FIND("aceite", LOWER(Tabla113[[#This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IF(Tabla113[[#This Row],[Cantidad]] &gt; 0,CEILING(( Tabla113[[#This Row],[Cantidad]]*Tabla113[[#This Row],[Precio]]) - IF(ISNUMBER(FIND("x", LOWER(G89))), ( Tabla113[[#This Row],[Cantidad]]* Tabla113[[#This Row],[Precio]] * IF(ISNUMBER(FIND("aceite", LOWER(Tabla113[[#This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IF(Tabla113[[#This Row],[Cantidad]] &gt; 0,CEILING(( Tabla113[[#This Row],[Cantidad]]*Tabla113[[#This Row],[Precio]]) - IF(ISNUMBER(FIND("x", LOWER(G90))), ( Tabla113[[#This Row],[Cantidad]]* Tabla113[[#This Row],[Precio]] * IF(ISNUMBER(FIND("aceite", LOWER(Tabla113[[#This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IF(Tabla113[[#This Row],[Cantidad]] &gt; 0,CEILING(( Tabla113[[#This Row],[Cantidad]]*Tabla113[[#This Row],[Precio]]) - IF(ISNUMBER(FIND("x", LOWER(G91))), ( Tabla113[[#This Row],[Cantidad]]* Tabla113[[#This Row],[Precio]] * IF(ISNUMBER(FIND("aceite", LOWER(Tabla113[[#This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IF(Tabla113[[#This Row],[Cantidad]] &gt; 0,CEILING(( Tabla113[[#This Row],[Cantidad]]*Tabla113[[#This Row],[Precio]]) - IF(ISNUMBER(FIND("x", LOWER(G92))), ( Tabla113[[#This Row],[Cantidad]]* Tabla113[[#This Row],[Precio]] * IF(ISNUMBER(FIND("aceite", LOWER(Tabla113[[#This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IF(Tabla113[[#This Row],[Cantidad]] &gt; 0,CEILING(( Tabla113[[#This Row],[Cantidad]]*Tabla113[[#This Row],[Precio]]) - IF(ISNUMBER(FIND("x", LOWER(G93))), ( Tabla113[[#This Row],[Cantidad]]* Tabla113[[#This Row],[Precio]] * IF(ISNUMBER(FIND("aceite", LOWER(Tabla113[[#This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IF(Tabla113[[#This Row],[Cantidad]] &gt; 0,CEILING(( Tabla113[[#This Row],[Cantidad]]*Tabla113[[#This Row],[Precio]]) - IF(ISNUMBER(FIND("x", LOWER(G94))), ( Tabla113[[#This Row],[Cantidad]]* Tabla113[[#This Row],[Precio]] * IF(ISNUMBER(FIND("aceite", LOWER(Tabla113[[#This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IF(Tabla113[[#This Row],[Cantidad]] &gt; 0,CEILING(( Tabla113[[#This Row],[Cantidad]]*Tabla113[[#This Row],[Precio]]) - IF(ISNUMBER(FIND("x", LOWER(G95))), ( Tabla113[[#This Row],[Cantidad]]* Tabla113[[#This Row],[Precio]] * IF(ISNUMBER(FIND("aceite", LOWER(Tabla113[[#This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IF(Tabla113[[#This Row],[Cantidad]] &gt; 0,CEILING(( Tabla113[[#This Row],[Cantidad]]*Tabla113[[#This Row],[Precio]]) - IF(ISNUMBER(FIND("x", LOWER(G96))), ( Tabla113[[#This Row],[Cantidad]]* Tabla113[[#This Row],[Precio]] * IF(ISNUMBER(FIND("aceite", LOWER(Tabla113[[#This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IF(Tabla113[[#This Row],[Cantidad]] &gt; 0,CEILING(( Tabla113[[#This Row],[Cantidad]]*Tabla113[[#This Row],[Precio]]) - IF(ISNUMBER(FIND("x", LOWER(G97))), ( Tabla113[[#This Row],[Cantidad]]* Tabla113[[#This Row],[Precio]] * IF(ISNUMBER(FIND("aceite", LOWER(Tabla113[[#This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IF(Tabla113[[#This Row],[Cantidad]] &gt; 0,CEILING(( Tabla113[[#This Row],[Cantidad]]*Tabla113[[#This Row],[Precio]]) - IF(ISNUMBER(FIND("x", LOWER(G98))), ( Tabla113[[#This Row],[Cantidad]]* Tabla113[[#This Row],[Precio]] * IF(ISNUMBER(FIND("aceite", LOWER(Tabla113[[#This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IF(Tabla113[[#This Row],[Cantidad]] &gt; 0,CEILING(( Tabla113[[#This Row],[Cantidad]]*Tabla113[[#This Row],[Precio]]) - IF(ISNUMBER(FIND("x", LOWER(G99))), ( Tabla113[[#This Row],[Cantidad]]* Tabla113[[#This Row],[Precio]] * IF(ISNUMBER(FIND("aceite", LOWER(Tabla113[[#This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IF(Tabla113[[#This Row],[Cantidad]] &gt; 0,CEILING(( Tabla113[[#This Row],[Cantidad]]*Tabla113[[#This Row],[Precio]]) - IF(ISNUMBER(FIND("x", LOWER(G100))), ( Tabla113[[#This Row],[Cantidad]]* Tabla113[[#This Row],[Precio]] * IF(ISNUMBER(FIND("aceite", LOWER(Tabla113[[#This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IF(Tabla113[[#This Row],[Cantidad]] &gt; 0,CEILING(( Tabla113[[#This Row],[Cantidad]]*Tabla113[[#This Row],[Precio]]) - IF(ISNUMBER(FIND("x", LOWER(G101))), ( Tabla113[[#This Row],[Cantidad]]* Tabla113[[#This Row],[Precio]] * IF(ISNUMBER(FIND("aceite", LOWER(Tabla113[[#This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IF(Tabla113[[#This Row],[Cantidad]] &gt; 0,CEILING(( Tabla113[[#This Row],[Cantidad]]*Tabla113[[#This Row],[Precio]]) - IF(ISNUMBER(FIND("x", LOWER(G102))), ( Tabla113[[#This Row],[Cantidad]]* Tabla113[[#This Row],[Precio]] * IF(ISNUMBER(FIND("aceite", LOWER(Tabla113[[#This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IF(Tabla113[[#This Row],[Cantidad]] &gt; 0,CEILING(( Tabla113[[#This Row],[Cantidad]]*Tabla113[[#This Row],[Precio]]) - IF(ISNUMBER(FIND("x", LOWER(G103))), ( Tabla113[[#This Row],[Cantidad]]* Tabla113[[#This Row],[Precio]] * IF(ISNUMBER(FIND("aceite", LOWER(Tabla113[[#This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1" priority="2">
      <formula>E5&gt;0&amp;ISBLANK(D5)</formula>
    </cfRule>
  </conditionalFormatting>
  <conditionalFormatting sqref="B5:B103">
    <cfRule type="expression" dxfId="10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R103"/>
  <sheetViews>
    <sheetView tabSelected="1" zoomScale="85" zoomScaleNormal="85" workbookViewId="0">
      <selection activeCell="T38" sqref="T38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107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SUM(Tabla114[Importa])</f>
        <v>1574.5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15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46291.394236111111</v>
      </c>
      <c r="C5">
        <f t="shared" ref="C5:C68" si="0">IF(ISNUMBER(E5), IF(ISNUMBER(C4), C4+1, 1), "")</f>
        <v>1</v>
      </c>
      <c r="D5" t="s">
        <v>108</v>
      </c>
      <c r="E5">
        <v>1</v>
      </c>
      <c r="F5">
        <v>35</v>
      </c>
      <c r="H5" s="4">
        <f>IF(Tabla114[[#This Row],[Cantidad]] &gt; 0,CEILING(( Tabla114[[#This Row],[Cantidad]]*Tabla114[[#This Row],[Precio]]) - IF(ISNUMBER(FIND("x", LOWER(G5))), ( Tabla114[[#This Row],[Cantidad]]* Tabla114[[#This Row],[Precio]] * IF(ISNUMBER(FIND("aceite", LOWER(Tabla114[[#This Row],[Producto]]))), 0.05, 0.1)), 0), 0.5), "")</f>
        <v>35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46291.515555555554</v>
      </c>
      <c r="C6">
        <f t="shared" si="0"/>
        <v>2</v>
      </c>
      <c r="D6" t="s">
        <v>45</v>
      </c>
      <c r="E6">
        <v>2</v>
      </c>
      <c r="F6">
        <v>5</v>
      </c>
      <c r="H6" s="4">
        <f>IF(Tabla114[[#This Row],[Cantidad]] &gt; 0,CEILING(( Tabla114[[#This Row],[Cantidad]]*Tabla114[[#This Row],[Precio]]) - IF(ISNUMBER(FIND("x", LOWER(G6))), ( Tabla114[[#This Row],[Cantidad]]* Tabla114[[#This Row],[Precio]] * IF(ISNUMBER(FIND("aceite", LOWER(Tabla114[[#This Row],[Producto]]))), 0.05, 0.1)), 0), 0.5), "")</f>
        <v>10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46291.530636574076</v>
      </c>
      <c r="C7">
        <f t="shared" si="0"/>
        <v>3</v>
      </c>
      <c r="D7" t="s">
        <v>109</v>
      </c>
      <c r="E7">
        <v>1</v>
      </c>
      <c r="F7">
        <v>690</v>
      </c>
      <c r="G7" t="s">
        <v>38</v>
      </c>
      <c r="H7" s="4">
        <f>IF(Tabla114[[#This Row],[Cantidad]] &gt; 0,CEILING(( Tabla114[[#This Row],[Cantidad]]*Tabla114[[#This Row],[Precio]]) - IF(ISNUMBER(FIND("x", LOWER(G7))), ( Tabla114[[#This Row],[Cantidad]]* Tabla114[[#This Row],[Precio]] * IF(ISNUMBER(FIND("aceite", LOWER(Tabla114[[#This Row],[Producto]]))), 0.05, 0.1)), 0), 0.5), "")</f>
        <v>621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46291.531076388892</v>
      </c>
      <c r="C8">
        <f t="shared" si="0"/>
        <v>4</v>
      </c>
      <c r="D8" t="s">
        <v>57</v>
      </c>
      <c r="E8">
        <v>1</v>
      </c>
      <c r="F8">
        <v>130</v>
      </c>
      <c r="G8" t="s">
        <v>38</v>
      </c>
      <c r="H8" s="4">
        <f>IF(Tabla114[[#This Row],[Cantidad]] &gt; 0,CEILING(( Tabla114[[#This Row],[Cantidad]]*Tabla114[[#This Row],[Precio]]) - IF(ISNUMBER(FIND("x", LOWER(G8))), ( Tabla114[[#This Row],[Cantidad]]* Tabla114[[#This Row],[Precio]] * IF(ISNUMBER(FIND("aceite", LOWER(Tabla114[[#This Row],[Producto]]))), 0.05, 0.1)), 0), 0.5), "")</f>
        <v>123.5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46291.531458333331</v>
      </c>
      <c r="C9">
        <f t="shared" si="0"/>
        <v>5</v>
      </c>
      <c r="D9" t="s">
        <v>110</v>
      </c>
      <c r="E9">
        <v>1</v>
      </c>
      <c r="F9">
        <v>97</v>
      </c>
      <c r="G9" t="s">
        <v>38</v>
      </c>
      <c r="H9" s="4">
        <f>IF(Tabla114[[#This Row],[Cantidad]] &gt; 0,CEILING(( Tabla114[[#This Row],[Cantidad]]*Tabla114[[#This Row],[Precio]]) - IF(ISNUMBER(FIND("x", LOWER(G9))), ( Tabla114[[#This Row],[Cantidad]]* Tabla114[[#This Row],[Precio]] * IF(ISNUMBER(FIND("aceite", LOWER(Tabla114[[#This Row],[Producto]]))), 0.05, 0.1)), 0), 0.5), "")</f>
        <v>87.5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46291.531967592593</v>
      </c>
      <c r="C10">
        <f t="shared" si="0"/>
        <v>6</v>
      </c>
      <c r="D10" t="s">
        <v>55</v>
      </c>
      <c r="E10">
        <v>1</v>
      </c>
      <c r="F10">
        <v>15</v>
      </c>
      <c r="G10" t="s">
        <v>38</v>
      </c>
      <c r="H10" s="4">
        <f>IF(Tabla114[[#This Row],[Cantidad]] &gt; 0,CEILING(( Tabla114[[#This Row],[Cantidad]]*Tabla114[[#This Row],[Precio]]) - IF(ISNUMBER(FIND("x", LOWER(G10))), ( Tabla114[[#This Row],[Cantidad]]* Tabla114[[#This Row],[Precio]] * IF(ISNUMBER(FIND("aceite", LOWER(Tabla114[[#This Row],[Producto]]))), 0.05, 0.1)), 0), 0.5), "")</f>
        <v>13.5</v>
      </c>
      <c r="J10" s="30" t="s">
        <v>31</v>
      </c>
      <c r="K10" s="32">
        <f>IF(K4&lt;&gt;0,COUNTIF(G5:G103, "x")/K4, "")</f>
        <v>0.6</v>
      </c>
      <c r="M10" s="18"/>
      <c r="N10" s="18"/>
      <c r="O10" s="18"/>
      <c r="P10" s="18"/>
      <c r="Q10" s="18"/>
      <c r="R10" s="18"/>
    </row>
    <row r="11" spans="2:18" x14ac:dyDescent="0.25">
      <c r="B11" s="13">
        <v>46291.532407407409</v>
      </c>
      <c r="C11">
        <f t="shared" si="0"/>
        <v>7</v>
      </c>
      <c r="D11" t="s">
        <v>111</v>
      </c>
      <c r="E11">
        <v>1</v>
      </c>
      <c r="F11">
        <v>50</v>
      </c>
      <c r="G11" t="s">
        <v>38</v>
      </c>
      <c r="H11" s="4">
        <f>IF(Tabla114[[#This Row],[Cantidad]] &gt; 0,CEILING(( Tabla114[[#This Row],[Cantidad]]*Tabla114[[#This Row],[Precio]]) - IF(ISNUMBER(FIND("x", LOWER(G11))), ( Tabla114[[#This Row],[Cantidad]]* Tabla114[[#This Row],[Precio]] * IF(ISNUMBER(FIND("aceite", LOWER(Tabla114[[#This Row],[Producto]]))), 0.05, 0.1)), 0), 0.5), "")</f>
        <v>45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46291.57953703704</v>
      </c>
      <c r="C12">
        <f t="shared" si="0"/>
        <v>8</v>
      </c>
      <c r="D12" t="s">
        <v>53</v>
      </c>
      <c r="E12">
        <v>1</v>
      </c>
      <c r="F12">
        <v>50</v>
      </c>
      <c r="G12" t="s">
        <v>38</v>
      </c>
      <c r="H12" s="4">
        <f>IF(Tabla114[[#This Row],[Cantidad]] &gt; 0,CEILING(( Tabla114[[#This Row],[Cantidad]]*Tabla114[[#This Row],[Precio]]) - IF(ISNUMBER(FIND("x", LOWER(G12))), ( Tabla114[[#This Row],[Cantidad]]* Tabla114[[#This Row],[Precio]] * IF(ISNUMBER(FIND("aceite", LOWER(Tabla114[[#This Row],[Producto]]))), 0.05, 0.1)), 0), 0.5), "")</f>
        <v>45</v>
      </c>
      <c r="J12" s="30" t="s">
        <v>32</v>
      </c>
      <c r="K12" s="32">
        <f>IF(K4&lt;&gt;0,(K4-COUNTIF(G5:G103,"x"))/K4,"")</f>
        <v>0.4</v>
      </c>
      <c r="M12" s="18"/>
      <c r="N12" s="18"/>
      <c r="O12" s="18"/>
      <c r="P12" s="18"/>
      <c r="Q12" s="18"/>
      <c r="R12" s="18"/>
    </row>
    <row r="13" spans="2:18" x14ac:dyDescent="0.25">
      <c r="B13" s="13">
        <v>46291.579687500001</v>
      </c>
      <c r="C13">
        <f t="shared" si="0"/>
        <v>9</v>
      </c>
      <c r="D13" t="s">
        <v>112</v>
      </c>
      <c r="E13">
        <v>1</v>
      </c>
      <c r="F13">
        <v>15</v>
      </c>
      <c r="G13" t="s">
        <v>38</v>
      </c>
      <c r="H13" s="4">
        <f>IF(Tabla114[[#This Row],[Cantidad]] &gt; 0,CEILING(( Tabla114[[#This Row],[Cantidad]]*Tabla114[[#This Row],[Precio]]) - IF(ISNUMBER(FIND("x", LOWER(G13))), ( Tabla114[[#This Row],[Cantidad]]* Tabla114[[#This Row],[Precio]] * IF(ISNUMBER(FIND("aceite", LOWER(Tabla114[[#This Row],[Producto]]))), 0.05, 0.1)), 0), 0.5), "")</f>
        <v>13.5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46291.579826388886</v>
      </c>
      <c r="C14">
        <f t="shared" si="0"/>
        <v>10</v>
      </c>
      <c r="D14" t="s">
        <v>113</v>
      </c>
      <c r="E14">
        <v>2</v>
      </c>
      <c r="F14">
        <v>5</v>
      </c>
      <c r="H14" s="4">
        <f>IF(Tabla114[[#This Row],[Cantidad]] &gt; 0,CEILING(( Tabla114[[#This Row],[Cantidad]]*Tabla114[[#This Row],[Precio]]) - IF(ISNUMBER(FIND("x", LOWER(G14))), ( Tabla114[[#This Row],[Cantidad]]* Tabla114[[#This Row],[Precio]] * IF(ISNUMBER(FIND("aceite", LOWER(Tabla114[[#This Row],[Producto]]))), 0.05, 0.1)), 0), 0.5), "")</f>
        <v>10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46291.669131944444</v>
      </c>
      <c r="C15">
        <f t="shared" si="0"/>
        <v>11</v>
      </c>
      <c r="D15" t="s">
        <v>114</v>
      </c>
      <c r="E15">
        <v>1</v>
      </c>
      <c r="F15">
        <v>60</v>
      </c>
      <c r="H15" s="4">
        <f>IF(Tabla114[[#This Row],[Cantidad]] &gt; 0,CEILING(( Tabla114[[#This Row],[Cantidad]]*Tabla114[[#This Row],[Precio]]) - IF(ISNUMBER(FIND("x", LOWER(G15))), ( Tabla114[[#This Row],[Cantidad]]* Tabla114[[#This Row],[Precio]] * IF(ISNUMBER(FIND("aceite", LOWER(Tabla114[[#This Row],[Producto]]))), 0.05, 0.1)), 0), 0.5), "")</f>
        <v>60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46291.674398148149</v>
      </c>
      <c r="C16">
        <f t="shared" si="0"/>
        <v>12</v>
      </c>
      <c r="D16" t="s">
        <v>115</v>
      </c>
      <c r="E16">
        <v>1</v>
      </c>
      <c r="F16">
        <v>35</v>
      </c>
      <c r="G16" t="s">
        <v>38</v>
      </c>
      <c r="H16" s="4">
        <f>IF(Tabla114[[#This Row],[Cantidad]] &gt; 0,CEILING(( Tabla114[[#This Row],[Cantidad]]*Tabla114[[#This Row],[Precio]]) - IF(ISNUMBER(FIND("x", LOWER(G16))), ( Tabla114[[#This Row],[Cantidad]]* Tabla114[[#This Row],[Precio]] * IF(ISNUMBER(FIND("aceite", LOWER(Tabla114[[#This Row],[Producto]]))), 0.05, 0.1)), 0), 0.5), "")</f>
        <v>31.5</v>
      </c>
      <c r="J16" s="20" t="s">
        <v>26</v>
      </c>
      <c r="K16" s="22">
        <v>18310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46291.720983796295</v>
      </c>
      <c r="C17">
        <f t="shared" si="0"/>
        <v>13</v>
      </c>
      <c r="D17" t="s">
        <v>116</v>
      </c>
      <c r="E17">
        <v>1</v>
      </c>
      <c r="F17">
        <v>80</v>
      </c>
      <c r="G17" t="s">
        <v>38</v>
      </c>
      <c r="H17" s="4">
        <f>IF(Tabla114[[#This Row],[Cantidad]] &gt; 0,CEILING(( Tabla114[[#This Row],[Cantidad]]*Tabla114[[#This Row],[Precio]]) - IF(ISNUMBER(FIND("x", LOWER(G17))), ( Tabla114[[#This Row],[Cantidad]]* Tabla114[[#This Row],[Precio]] * IF(ISNUMBER(FIND("aceite", LOWER(Tabla114[[#This Row],[Producto]]))), 0.05, 0.1)), 0), 0.5), "")</f>
        <v>72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46291.726273148146</v>
      </c>
      <c r="C18">
        <f t="shared" si="0"/>
        <v>14</v>
      </c>
      <c r="D18" t="s">
        <v>117</v>
      </c>
      <c r="E18">
        <v>3</v>
      </c>
      <c r="F18">
        <v>3</v>
      </c>
      <c r="H18" s="4">
        <f>IF(Tabla114[[#This Row],[Cantidad]] &gt; 0,CEILING(( Tabla114[[#This Row],[Cantidad]]*Tabla114[[#This Row],[Precio]]) - IF(ISNUMBER(FIND("x", LOWER(G18))), ( Tabla114[[#This Row],[Cantidad]]* Tabla114[[#This Row],[Precio]] * IF(ISNUMBER(FIND("aceite", LOWER(Tabla114[[#This Row],[Producto]]))), 0.05, 0.1)), 0), 0.5), "")</f>
        <v>9</v>
      </c>
      <c r="J18" s="23" t="s">
        <v>27</v>
      </c>
      <c r="K18" s="25">
        <f>SUM(O27:O52)</f>
        <v>300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46291.77920138889</v>
      </c>
      <c r="C19">
        <f t="shared" si="0"/>
        <v>15</v>
      </c>
      <c r="D19" t="s">
        <v>118</v>
      </c>
      <c r="E19">
        <v>1</v>
      </c>
      <c r="F19">
        <v>398</v>
      </c>
      <c r="H19" s="4">
        <f>IF(Tabla114[[#This Row],[Cantidad]] &gt; 0,CEILING(( Tabla114[[#This Row],[Cantidad]]*Tabla114[[#This Row],[Precio]]) - IF(ISNUMBER(FIND("x", LOWER(G19))), ( Tabla114[[#This Row],[Cantidad]]* Tabla114[[#This Row],[Precio]] * IF(ISNUMBER(FIND("aceite", LOWER(Tabla114[[#This Row],[Producto]]))), 0.05, 0.1)), 0), 0.5), "")</f>
        <v>398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IF(Tabla114[[#This Row],[Cantidad]] &gt; 0,CEILING(( Tabla114[[#This Row],[Cantidad]]*Tabla114[[#This Row],[Precio]]) - IF(ISNUMBER(FIND("x", LOWER(G20))), ( Tabla114[[#This Row],[Cantidad]]* Tabla114[[#This Row],[Precio]] * IF(ISNUMBER(FIND("aceite", LOWER(Tabla114[[#This Row],[Producto]]))), 0.05, 0.1)), 0), 0.5), "")</f>
        <v/>
      </c>
      <c r="J20" s="26" t="s">
        <v>29</v>
      </c>
      <c r="K20" s="28">
        <f>K16-K18</f>
        <v>18010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IF(Tabla114[[#This Row],[Cantidad]] &gt; 0,CEILING(( Tabla114[[#This Row],[Cantidad]]*Tabla114[[#This Row],[Precio]]) - IF(ISNUMBER(FIND("x", LOWER(G21))), ( Tabla114[[#This Row],[Cantidad]]* Tabla114[[#This Row],[Precio]] * IF(ISNUMBER(FIND("aceite", LOWER(Tabla114[[#This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IF(Tabla114[[#This Row],[Cantidad]] &gt; 0,CEILING(( Tabla114[[#This Row],[Cantidad]]*Tabla114[[#This Row],[Precio]]) - IF(ISNUMBER(FIND("x", LOWER(G22))), ( Tabla114[[#This Row],[Cantidad]]* Tabla114[[#This Row],[Precio]] * IF(ISNUMBER(FIND("aceite", LOWER(Tabla114[[#This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IF(Tabla114[[#This Row],[Cantidad]] &gt; 0,CEILING(( Tabla114[[#This Row],[Cantidad]]*Tabla114[[#This Row],[Precio]]) - IF(ISNUMBER(FIND("x", LOWER(G23))), ( Tabla114[[#This Row],[Cantidad]]* Tabla114[[#This Row],[Precio]] * IF(ISNUMBER(FIND("aceite", LOWER(Tabla114[[#This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IF(Tabla114[[#This Row],[Cantidad]] &gt; 0,CEILING(( Tabla114[[#This Row],[Cantidad]]*Tabla114[[#This Row],[Precio]]) - IF(ISNUMBER(FIND("x", LOWER(G24))), ( Tabla114[[#This Row],[Cantidad]]* Tabla114[[#This Row],[Precio]] * IF(ISNUMBER(FIND("aceite", LOWER(Tabla114[[#This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IF(Tabla114[[#This Row],[Cantidad]] &gt; 0,CEILING(( Tabla114[[#This Row],[Cantidad]]*Tabla114[[#This Row],[Precio]]) - IF(ISNUMBER(FIND("x", LOWER(G25))), ( Tabla114[[#This Row],[Cantidad]]* Tabla114[[#This Row],[Precio]] * IF(ISNUMBER(FIND("aceite", LOWER(Tabla114[[#This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IF(Tabla114[[#This Row],[Cantidad]] &gt; 0,CEILING(( Tabla114[[#This Row],[Cantidad]]*Tabla114[[#This Row],[Precio]]) - IF(ISNUMBER(FIND("x", LOWER(G26))), ( Tabla114[[#This Row],[Cantidad]]* Tabla114[[#This Row],[Precio]] * IF(ISNUMBER(FIND("aceite", LOWER(Tabla114[[#This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IF(Tabla114[[#This Row],[Cantidad]] &gt; 0,CEILING(( Tabla114[[#This Row],[Cantidad]]*Tabla114[[#This Row],[Precio]]) - IF(ISNUMBER(FIND("x", LOWER(G27))), ( Tabla114[[#This Row],[Cantidad]]* Tabla114[[#This Row],[Precio]] * IF(ISNUMBER(FIND("aceite", LOWER(Tabla114[[#This Row],[Producto]]))), 0.05, 0.1)), 0), 0.5), "")</f>
        <v/>
      </c>
      <c r="M27" s="44" t="s">
        <v>99</v>
      </c>
      <c r="N27" s="45"/>
      <c r="O27" s="33">
        <v>300</v>
      </c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IF(Tabla114[[#This Row],[Cantidad]] &gt; 0,CEILING(( Tabla114[[#This Row],[Cantidad]]*Tabla114[[#This Row],[Precio]]) - IF(ISNUMBER(FIND("x", LOWER(G28))), ( Tabla114[[#This Row],[Cantidad]]* Tabla114[[#This Row],[Precio]] * IF(ISNUMBER(FIND("aceite", LOWER(Tabla114[[#This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IF(Tabla114[[#This Row],[Cantidad]] &gt; 0,CEILING(( Tabla114[[#This Row],[Cantidad]]*Tabla114[[#This Row],[Precio]]) - IF(ISNUMBER(FIND("x", LOWER(G29))), ( Tabla114[[#This Row],[Cantidad]]* Tabla114[[#This Row],[Precio]] * IF(ISNUMBER(FIND("aceite", LOWER(Tabla114[[#This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IF(Tabla114[[#This Row],[Cantidad]] &gt; 0,CEILING(( Tabla114[[#This Row],[Cantidad]]*Tabla114[[#This Row],[Precio]]) - IF(ISNUMBER(FIND("x", LOWER(G30))), ( Tabla114[[#This Row],[Cantidad]]* Tabla114[[#This Row],[Precio]] * IF(ISNUMBER(FIND("aceite", LOWER(Tabla114[[#This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IF(Tabla114[[#This Row],[Cantidad]] &gt; 0,CEILING(( Tabla114[[#This Row],[Cantidad]]*Tabla114[[#This Row],[Precio]]) - IF(ISNUMBER(FIND("x", LOWER(G31))), ( Tabla114[[#This Row],[Cantidad]]* Tabla114[[#This Row],[Precio]] * IF(ISNUMBER(FIND("aceite", LOWER(Tabla114[[#This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IF(Tabla114[[#This Row],[Cantidad]] &gt; 0,CEILING(( Tabla114[[#This Row],[Cantidad]]*Tabla114[[#This Row],[Precio]]) - IF(ISNUMBER(FIND("x", LOWER(G32))), ( Tabla114[[#This Row],[Cantidad]]* Tabla114[[#This Row],[Precio]] * IF(ISNUMBER(FIND("aceite", LOWER(Tabla114[[#This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IF(Tabla114[[#This Row],[Cantidad]] &gt; 0,CEILING(( Tabla114[[#This Row],[Cantidad]]*Tabla114[[#This Row],[Precio]]) - IF(ISNUMBER(FIND("x", LOWER(G33))), ( Tabla114[[#This Row],[Cantidad]]* Tabla114[[#This Row],[Precio]] * IF(ISNUMBER(FIND("aceite", LOWER(Tabla114[[#This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IF(Tabla114[[#This Row],[Cantidad]] &gt; 0,CEILING(( Tabla114[[#This Row],[Cantidad]]*Tabla114[[#This Row],[Precio]]) - IF(ISNUMBER(FIND("x", LOWER(G34))), ( Tabla114[[#This Row],[Cantidad]]* Tabla114[[#This Row],[Precio]] * IF(ISNUMBER(FIND("aceite", LOWER(Tabla114[[#This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IF(Tabla114[[#This Row],[Cantidad]] &gt; 0,CEILING(( Tabla114[[#This Row],[Cantidad]]*Tabla114[[#This Row],[Precio]]) - IF(ISNUMBER(FIND("x", LOWER(G35))), ( Tabla114[[#This Row],[Cantidad]]* Tabla114[[#This Row],[Precio]] * IF(ISNUMBER(FIND("aceite", LOWER(Tabla114[[#This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IF(Tabla114[[#This Row],[Cantidad]] &gt; 0,CEILING(( Tabla114[[#This Row],[Cantidad]]*Tabla114[[#This Row],[Precio]]) - IF(ISNUMBER(FIND("x", LOWER(G36))), ( Tabla114[[#This Row],[Cantidad]]* Tabla114[[#This Row],[Precio]] * IF(ISNUMBER(FIND("aceite", LOWER(Tabla114[[#This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IF(Tabla114[[#This Row],[Cantidad]] &gt; 0,CEILING(( Tabla114[[#This Row],[Cantidad]]*Tabla114[[#This Row],[Precio]]) - IF(ISNUMBER(FIND("x", LOWER(G37))), ( Tabla114[[#This Row],[Cantidad]]* Tabla114[[#This Row],[Precio]] * IF(ISNUMBER(FIND("aceite", LOWER(Tabla114[[#This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IF(Tabla114[[#This Row],[Cantidad]] &gt; 0,CEILING(( Tabla114[[#This Row],[Cantidad]]*Tabla114[[#This Row],[Precio]]) - IF(ISNUMBER(FIND("x", LOWER(G38))), ( Tabla114[[#This Row],[Cantidad]]* Tabla114[[#This Row],[Precio]] * IF(ISNUMBER(FIND("aceite", LOWER(Tabla114[[#This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IF(Tabla114[[#This Row],[Cantidad]] &gt; 0,CEILING(( Tabla114[[#This Row],[Cantidad]]*Tabla114[[#This Row],[Precio]]) - IF(ISNUMBER(FIND("x", LOWER(G39))), ( Tabla114[[#This Row],[Cantidad]]* Tabla114[[#This Row],[Precio]] * IF(ISNUMBER(FIND("aceite", LOWER(Tabla114[[#This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IF(Tabla114[[#This Row],[Cantidad]] &gt; 0,CEILING(( Tabla114[[#This Row],[Cantidad]]*Tabla114[[#This Row],[Precio]]) - IF(ISNUMBER(FIND("x", LOWER(G40))), ( Tabla114[[#This Row],[Cantidad]]* Tabla114[[#This Row],[Precio]] * IF(ISNUMBER(FIND("aceite", LOWER(Tabla114[[#This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IF(Tabla114[[#This Row],[Cantidad]] &gt; 0,CEILING(( Tabla114[[#This Row],[Cantidad]]*Tabla114[[#This Row],[Precio]]) - IF(ISNUMBER(FIND("x", LOWER(G41))), ( Tabla114[[#This Row],[Cantidad]]* Tabla114[[#This Row],[Precio]] * IF(ISNUMBER(FIND("aceite", LOWER(Tabla114[[#This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IF(Tabla114[[#This Row],[Cantidad]] &gt; 0,CEILING(( Tabla114[[#This Row],[Cantidad]]*Tabla114[[#This Row],[Precio]]) - IF(ISNUMBER(FIND("x", LOWER(G42))), ( Tabla114[[#This Row],[Cantidad]]* Tabla114[[#This Row],[Precio]] * IF(ISNUMBER(FIND("aceite", LOWER(Tabla114[[#This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IF(Tabla114[[#This Row],[Cantidad]] &gt; 0,CEILING(( Tabla114[[#This Row],[Cantidad]]*Tabla114[[#This Row],[Precio]]) - IF(ISNUMBER(FIND("x", LOWER(G43))), ( Tabla114[[#This Row],[Cantidad]]* Tabla114[[#This Row],[Precio]] * IF(ISNUMBER(FIND("aceite", LOWER(Tabla114[[#This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IF(Tabla114[[#This Row],[Cantidad]] &gt; 0,CEILING(( Tabla114[[#This Row],[Cantidad]]*Tabla114[[#This Row],[Precio]]) - IF(ISNUMBER(FIND("x", LOWER(G44))), ( Tabla114[[#This Row],[Cantidad]]* Tabla114[[#This Row],[Precio]] * IF(ISNUMBER(FIND("aceite", LOWER(Tabla114[[#This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IF(Tabla114[[#This Row],[Cantidad]] &gt; 0,CEILING(( Tabla114[[#This Row],[Cantidad]]*Tabla114[[#This Row],[Precio]]) - IF(ISNUMBER(FIND("x", LOWER(G45))), ( Tabla114[[#This Row],[Cantidad]]* Tabla114[[#This Row],[Precio]] * IF(ISNUMBER(FIND("aceite", LOWER(Tabla114[[#This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IF(Tabla114[[#This Row],[Cantidad]] &gt; 0,CEILING(( Tabla114[[#This Row],[Cantidad]]*Tabla114[[#This Row],[Precio]]) - IF(ISNUMBER(FIND("x", LOWER(G46))), ( Tabla114[[#This Row],[Cantidad]]* Tabla114[[#This Row],[Precio]] * IF(ISNUMBER(FIND("aceite", LOWER(Tabla114[[#This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IF(Tabla114[[#This Row],[Cantidad]] &gt; 0,CEILING(( Tabla114[[#This Row],[Cantidad]]*Tabla114[[#This Row],[Precio]]) - IF(ISNUMBER(FIND("x", LOWER(G47))), ( Tabla114[[#This Row],[Cantidad]]* Tabla114[[#This Row],[Precio]] * IF(ISNUMBER(FIND("aceite", LOWER(Tabla114[[#This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IF(Tabla114[[#This Row],[Cantidad]] &gt; 0,CEILING(( Tabla114[[#This Row],[Cantidad]]*Tabla114[[#This Row],[Precio]]) - IF(ISNUMBER(FIND("x", LOWER(G48))), ( Tabla114[[#This Row],[Cantidad]]* Tabla114[[#This Row],[Precio]] * IF(ISNUMBER(FIND("aceite", LOWER(Tabla114[[#This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IF(Tabla114[[#This Row],[Cantidad]] &gt; 0,CEILING(( Tabla114[[#This Row],[Cantidad]]*Tabla114[[#This Row],[Precio]]) - IF(ISNUMBER(FIND("x", LOWER(G49))), ( Tabla114[[#This Row],[Cantidad]]* Tabla114[[#This Row],[Precio]] * IF(ISNUMBER(FIND("aceite", LOWER(Tabla114[[#This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IF(Tabla114[[#This Row],[Cantidad]] &gt; 0,CEILING(( Tabla114[[#This Row],[Cantidad]]*Tabla114[[#This Row],[Precio]]) - IF(ISNUMBER(FIND("x", LOWER(G50))), ( Tabla114[[#This Row],[Cantidad]]* Tabla114[[#This Row],[Precio]] * IF(ISNUMBER(FIND("aceite", LOWER(Tabla114[[#This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IF(Tabla114[[#This Row],[Cantidad]] &gt; 0,CEILING(( Tabla114[[#This Row],[Cantidad]]*Tabla114[[#This Row],[Precio]]) - IF(ISNUMBER(FIND("x", LOWER(G51))), ( Tabla114[[#This Row],[Cantidad]]* Tabla114[[#This Row],[Precio]] * IF(ISNUMBER(FIND("aceite", LOWER(Tabla114[[#This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IF(Tabla114[[#This Row],[Cantidad]] &gt; 0,CEILING(( Tabla114[[#This Row],[Cantidad]]*Tabla114[[#This Row],[Precio]]) - IF(ISNUMBER(FIND("x", LOWER(G52))), ( Tabla114[[#This Row],[Cantidad]]* Tabla114[[#This Row],[Precio]] * IF(ISNUMBER(FIND("aceite", LOWER(Tabla114[[#This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IF(Tabla114[[#This Row],[Cantidad]] &gt; 0,CEILING(( Tabla114[[#This Row],[Cantidad]]*Tabla114[[#This Row],[Precio]]) - IF(ISNUMBER(FIND("x", LOWER(G53))), ( Tabla114[[#This Row],[Cantidad]]* Tabla114[[#This Row],[Precio]] * IF(ISNUMBER(FIND("aceite", LOWER(Tabla114[[#This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IF(Tabla114[[#This Row],[Cantidad]] &gt; 0,CEILING(( Tabla114[[#This Row],[Cantidad]]*Tabla114[[#This Row],[Precio]]) - IF(ISNUMBER(FIND("x", LOWER(G54))), ( Tabla114[[#This Row],[Cantidad]]* Tabla114[[#This Row],[Precio]] * IF(ISNUMBER(FIND("aceite", LOWER(Tabla114[[#This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IF(Tabla114[[#This Row],[Cantidad]] &gt; 0,CEILING(( Tabla114[[#This Row],[Cantidad]]*Tabla114[[#This Row],[Precio]]) - IF(ISNUMBER(FIND("x", LOWER(G55))), ( Tabla114[[#This Row],[Cantidad]]* Tabla114[[#This Row],[Precio]] * IF(ISNUMBER(FIND("aceite", LOWER(Tabla114[[#This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IF(Tabla114[[#This Row],[Cantidad]] &gt; 0,CEILING(( Tabla114[[#This Row],[Cantidad]]*Tabla114[[#This Row],[Precio]]) - IF(ISNUMBER(FIND("x", LOWER(G56))), ( Tabla114[[#This Row],[Cantidad]]* Tabla114[[#This Row],[Precio]] * IF(ISNUMBER(FIND("aceite", LOWER(Tabla114[[#This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IF(Tabla114[[#This Row],[Cantidad]] &gt; 0,CEILING(( Tabla114[[#This Row],[Cantidad]]*Tabla114[[#This Row],[Precio]]) - IF(ISNUMBER(FIND("x", LOWER(G57))), ( Tabla114[[#This Row],[Cantidad]]* Tabla114[[#This Row],[Precio]] * IF(ISNUMBER(FIND("aceite", LOWER(Tabla114[[#This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IF(Tabla114[[#This Row],[Cantidad]] &gt; 0,CEILING(( Tabla114[[#This Row],[Cantidad]]*Tabla114[[#This Row],[Precio]]) - IF(ISNUMBER(FIND("x", LOWER(G58))), ( Tabla114[[#This Row],[Cantidad]]* Tabla114[[#This Row],[Precio]] * IF(ISNUMBER(FIND("aceite", LOWER(Tabla114[[#This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IF(Tabla114[[#This Row],[Cantidad]] &gt; 0,CEILING(( Tabla114[[#This Row],[Cantidad]]*Tabla114[[#This Row],[Precio]]) - IF(ISNUMBER(FIND("x", LOWER(G59))), ( Tabla114[[#This Row],[Cantidad]]* Tabla114[[#This Row],[Precio]] * IF(ISNUMBER(FIND("aceite", LOWER(Tabla114[[#This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IF(Tabla114[[#This Row],[Cantidad]] &gt; 0,CEILING(( Tabla114[[#This Row],[Cantidad]]*Tabla114[[#This Row],[Precio]]) - IF(ISNUMBER(FIND("x", LOWER(G60))), ( Tabla114[[#This Row],[Cantidad]]* Tabla114[[#This Row],[Precio]] * IF(ISNUMBER(FIND("aceite", LOWER(Tabla114[[#This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IF(Tabla114[[#This Row],[Cantidad]] &gt; 0,CEILING(( Tabla114[[#This Row],[Cantidad]]*Tabla114[[#This Row],[Precio]]) - IF(ISNUMBER(FIND("x", LOWER(G61))), ( Tabla114[[#This Row],[Cantidad]]* Tabla114[[#This Row],[Precio]] * IF(ISNUMBER(FIND("aceite", LOWER(Tabla114[[#This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IF(Tabla114[[#This Row],[Cantidad]] &gt; 0,CEILING(( Tabla114[[#This Row],[Cantidad]]*Tabla114[[#This Row],[Precio]]) - IF(ISNUMBER(FIND("x", LOWER(G62))), ( Tabla114[[#This Row],[Cantidad]]* Tabla114[[#This Row],[Precio]] * IF(ISNUMBER(FIND("aceite", LOWER(Tabla114[[#This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IF(Tabla114[[#This Row],[Cantidad]] &gt; 0,CEILING(( Tabla114[[#This Row],[Cantidad]]*Tabla114[[#This Row],[Precio]]) - IF(ISNUMBER(FIND("x", LOWER(G63))), ( Tabla114[[#This Row],[Cantidad]]* Tabla114[[#This Row],[Precio]] * IF(ISNUMBER(FIND("aceite", LOWER(Tabla114[[#This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IF(Tabla114[[#This Row],[Cantidad]] &gt; 0,CEILING(( Tabla114[[#This Row],[Cantidad]]*Tabla114[[#This Row],[Precio]]) - IF(ISNUMBER(FIND("x", LOWER(G64))), ( Tabla114[[#This Row],[Cantidad]]* Tabla114[[#This Row],[Precio]] * IF(ISNUMBER(FIND("aceite", LOWER(Tabla114[[#This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IF(Tabla114[[#This Row],[Cantidad]] &gt; 0,CEILING(( Tabla114[[#This Row],[Cantidad]]*Tabla114[[#This Row],[Precio]]) - IF(ISNUMBER(FIND("x", LOWER(G65))), ( Tabla114[[#This Row],[Cantidad]]* Tabla114[[#This Row],[Precio]] * IF(ISNUMBER(FIND("aceite", LOWER(Tabla114[[#This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IF(Tabla114[[#This Row],[Cantidad]] &gt; 0,CEILING(( Tabla114[[#This Row],[Cantidad]]*Tabla114[[#This Row],[Precio]]) - IF(ISNUMBER(FIND("x", LOWER(G66))), ( Tabla114[[#This Row],[Cantidad]]* Tabla114[[#This Row],[Precio]] * IF(ISNUMBER(FIND("aceite", LOWER(Tabla114[[#This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IF(Tabla114[[#This Row],[Cantidad]] &gt; 0,CEILING(( Tabla114[[#This Row],[Cantidad]]*Tabla114[[#This Row],[Precio]]) - IF(ISNUMBER(FIND("x", LOWER(G67))), ( Tabla114[[#This Row],[Cantidad]]* Tabla114[[#This Row],[Precio]] * IF(ISNUMBER(FIND("aceite", LOWER(Tabla114[[#This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IF(Tabla114[[#This Row],[Cantidad]] &gt; 0,CEILING(( Tabla114[[#This Row],[Cantidad]]*Tabla114[[#This Row],[Precio]]) - IF(ISNUMBER(FIND("x", LOWER(G68))), ( Tabla114[[#This Row],[Cantidad]]* Tabla114[[#This Row],[Precio]] * IF(ISNUMBER(FIND("aceite", LOWER(Tabla114[[#This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IF(Tabla114[[#This Row],[Cantidad]] &gt; 0,CEILING(( Tabla114[[#This Row],[Cantidad]]*Tabla114[[#This Row],[Precio]]) - IF(ISNUMBER(FIND("x", LOWER(G69))), ( Tabla114[[#This Row],[Cantidad]]* Tabla114[[#This Row],[Precio]] * IF(ISNUMBER(FIND("aceite", LOWER(Tabla114[[#This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IF(Tabla114[[#This Row],[Cantidad]] &gt; 0,CEILING(( Tabla114[[#This Row],[Cantidad]]*Tabla114[[#This Row],[Precio]]) - IF(ISNUMBER(FIND("x", LOWER(G70))), ( Tabla114[[#This Row],[Cantidad]]* Tabla114[[#This Row],[Precio]] * IF(ISNUMBER(FIND("aceite", LOWER(Tabla114[[#This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IF(Tabla114[[#This Row],[Cantidad]] &gt; 0,CEILING(( Tabla114[[#This Row],[Cantidad]]*Tabla114[[#This Row],[Precio]]) - IF(ISNUMBER(FIND("x", LOWER(G71))), ( Tabla114[[#This Row],[Cantidad]]* Tabla114[[#This Row],[Precio]] * IF(ISNUMBER(FIND("aceite", LOWER(Tabla114[[#This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IF(Tabla114[[#This Row],[Cantidad]] &gt; 0,CEILING(( Tabla114[[#This Row],[Cantidad]]*Tabla114[[#This Row],[Precio]]) - IF(ISNUMBER(FIND("x", LOWER(G72))), ( Tabla114[[#This Row],[Cantidad]]* Tabla114[[#This Row],[Precio]] * IF(ISNUMBER(FIND("aceite", LOWER(Tabla114[[#This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IF(Tabla114[[#This Row],[Cantidad]] &gt; 0,CEILING(( Tabla114[[#This Row],[Cantidad]]*Tabla114[[#This Row],[Precio]]) - IF(ISNUMBER(FIND("x", LOWER(G73))), ( Tabla114[[#This Row],[Cantidad]]* Tabla114[[#This Row],[Precio]] * IF(ISNUMBER(FIND("aceite", LOWER(Tabla114[[#This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IF(Tabla114[[#This Row],[Cantidad]] &gt; 0,CEILING(( Tabla114[[#This Row],[Cantidad]]*Tabla114[[#This Row],[Precio]]) - IF(ISNUMBER(FIND("x", LOWER(G74))), ( Tabla114[[#This Row],[Cantidad]]* Tabla114[[#This Row],[Precio]] * IF(ISNUMBER(FIND("aceite", LOWER(Tabla114[[#This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IF(Tabla114[[#This Row],[Cantidad]] &gt; 0,CEILING(( Tabla114[[#This Row],[Cantidad]]*Tabla114[[#This Row],[Precio]]) - IF(ISNUMBER(FIND("x", LOWER(G75))), ( Tabla114[[#This Row],[Cantidad]]* Tabla114[[#This Row],[Precio]] * IF(ISNUMBER(FIND("aceite", LOWER(Tabla114[[#This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IF(Tabla114[[#This Row],[Cantidad]] &gt; 0,CEILING(( Tabla114[[#This Row],[Cantidad]]*Tabla114[[#This Row],[Precio]]) - IF(ISNUMBER(FIND("x", LOWER(G76))), ( Tabla114[[#This Row],[Cantidad]]* Tabla114[[#This Row],[Precio]] * IF(ISNUMBER(FIND("aceite", LOWER(Tabla114[[#This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IF(Tabla114[[#This Row],[Cantidad]] &gt; 0,CEILING(( Tabla114[[#This Row],[Cantidad]]*Tabla114[[#This Row],[Precio]]) - IF(ISNUMBER(FIND("x", LOWER(G77))), ( Tabla114[[#This Row],[Cantidad]]* Tabla114[[#This Row],[Precio]] * IF(ISNUMBER(FIND("aceite", LOWER(Tabla114[[#This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IF(Tabla114[[#This Row],[Cantidad]] &gt; 0,CEILING(( Tabla114[[#This Row],[Cantidad]]*Tabla114[[#This Row],[Precio]]) - IF(ISNUMBER(FIND("x", LOWER(G78))), ( Tabla114[[#This Row],[Cantidad]]* Tabla114[[#This Row],[Precio]] * IF(ISNUMBER(FIND("aceite", LOWER(Tabla114[[#This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IF(Tabla114[[#This Row],[Cantidad]] &gt; 0,CEILING(( Tabla114[[#This Row],[Cantidad]]*Tabla114[[#This Row],[Precio]]) - IF(ISNUMBER(FIND("x", LOWER(G79))), ( Tabla114[[#This Row],[Cantidad]]* Tabla114[[#This Row],[Precio]] * IF(ISNUMBER(FIND("aceite", LOWER(Tabla114[[#This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IF(Tabla114[[#This Row],[Cantidad]] &gt; 0,CEILING(( Tabla114[[#This Row],[Cantidad]]*Tabla114[[#This Row],[Precio]]) - IF(ISNUMBER(FIND("x", LOWER(G80))), ( Tabla114[[#This Row],[Cantidad]]* Tabla114[[#This Row],[Precio]] * IF(ISNUMBER(FIND("aceite", LOWER(Tabla114[[#This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IF(Tabla114[[#This Row],[Cantidad]] &gt; 0,CEILING(( Tabla114[[#This Row],[Cantidad]]*Tabla114[[#This Row],[Precio]]) - IF(ISNUMBER(FIND("x", LOWER(G81))), ( Tabla114[[#This Row],[Cantidad]]* Tabla114[[#This Row],[Precio]] * IF(ISNUMBER(FIND("aceite", LOWER(Tabla114[[#This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IF(Tabla114[[#This Row],[Cantidad]] &gt; 0,CEILING(( Tabla114[[#This Row],[Cantidad]]*Tabla114[[#This Row],[Precio]]) - IF(ISNUMBER(FIND("x", LOWER(G82))), ( Tabla114[[#This Row],[Cantidad]]* Tabla114[[#This Row],[Precio]] * IF(ISNUMBER(FIND("aceite", LOWER(Tabla114[[#This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IF(Tabla114[[#This Row],[Cantidad]] &gt; 0,CEILING(( Tabla114[[#This Row],[Cantidad]]*Tabla114[[#This Row],[Precio]]) - IF(ISNUMBER(FIND("x", LOWER(G83))), ( Tabla114[[#This Row],[Cantidad]]* Tabla114[[#This Row],[Precio]] * IF(ISNUMBER(FIND("aceite", LOWER(Tabla114[[#This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IF(Tabla114[[#This Row],[Cantidad]] &gt; 0,CEILING(( Tabla114[[#This Row],[Cantidad]]*Tabla114[[#This Row],[Precio]]) - IF(ISNUMBER(FIND("x", LOWER(G84))), ( Tabla114[[#This Row],[Cantidad]]* Tabla114[[#This Row],[Precio]] * IF(ISNUMBER(FIND("aceite", LOWER(Tabla114[[#This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IF(Tabla114[[#This Row],[Cantidad]] &gt; 0,CEILING(( Tabla114[[#This Row],[Cantidad]]*Tabla114[[#This Row],[Precio]]) - IF(ISNUMBER(FIND("x", LOWER(G85))), ( Tabla114[[#This Row],[Cantidad]]* Tabla114[[#This Row],[Precio]] * IF(ISNUMBER(FIND("aceite", LOWER(Tabla114[[#This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IF(Tabla114[[#This Row],[Cantidad]] &gt; 0,CEILING(( Tabla114[[#This Row],[Cantidad]]*Tabla114[[#This Row],[Precio]]) - IF(ISNUMBER(FIND("x", LOWER(G86))), ( Tabla114[[#This Row],[Cantidad]]* Tabla114[[#This Row],[Precio]] * IF(ISNUMBER(FIND("aceite", LOWER(Tabla114[[#This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IF(Tabla114[[#This Row],[Cantidad]] &gt; 0,CEILING(( Tabla114[[#This Row],[Cantidad]]*Tabla114[[#This Row],[Precio]]) - IF(ISNUMBER(FIND("x", LOWER(G87))), ( Tabla114[[#This Row],[Cantidad]]* Tabla114[[#This Row],[Precio]] * IF(ISNUMBER(FIND("aceite", LOWER(Tabla114[[#This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IF(Tabla114[[#This Row],[Cantidad]] &gt; 0,CEILING(( Tabla114[[#This Row],[Cantidad]]*Tabla114[[#This Row],[Precio]]) - IF(ISNUMBER(FIND("x", LOWER(G88))), ( Tabla114[[#This Row],[Cantidad]]* Tabla114[[#This Row],[Precio]] * IF(ISNUMBER(FIND("aceite", LOWER(Tabla114[[#This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IF(Tabla114[[#This Row],[Cantidad]] &gt; 0,CEILING(( Tabla114[[#This Row],[Cantidad]]*Tabla114[[#This Row],[Precio]]) - IF(ISNUMBER(FIND("x", LOWER(G89))), ( Tabla114[[#This Row],[Cantidad]]* Tabla114[[#This Row],[Precio]] * IF(ISNUMBER(FIND("aceite", LOWER(Tabla114[[#This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IF(Tabla114[[#This Row],[Cantidad]] &gt; 0,CEILING(( Tabla114[[#This Row],[Cantidad]]*Tabla114[[#This Row],[Precio]]) - IF(ISNUMBER(FIND("x", LOWER(G90))), ( Tabla114[[#This Row],[Cantidad]]* Tabla114[[#This Row],[Precio]] * IF(ISNUMBER(FIND("aceite", LOWER(Tabla114[[#This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IF(Tabla114[[#This Row],[Cantidad]] &gt; 0,CEILING(( Tabla114[[#This Row],[Cantidad]]*Tabla114[[#This Row],[Precio]]) - IF(ISNUMBER(FIND("x", LOWER(G91))), ( Tabla114[[#This Row],[Cantidad]]* Tabla114[[#This Row],[Precio]] * IF(ISNUMBER(FIND("aceite", LOWER(Tabla114[[#This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IF(Tabla114[[#This Row],[Cantidad]] &gt; 0,CEILING(( Tabla114[[#This Row],[Cantidad]]*Tabla114[[#This Row],[Precio]]) - IF(ISNUMBER(FIND("x", LOWER(G92))), ( Tabla114[[#This Row],[Cantidad]]* Tabla114[[#This Row],[Precio]] * IF(ISNUMBER(FIND("aceite", LOWER(Tabla114[[#This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IF(Tabla114[[#This Row],[Cantidad]] &gt; 0,CEILING(( Tabla114[[#This Row],[Cantidad]]*Tabla114[[#This Row],[Precio]]) - IF(ISNUMBER(FIND("x", LOWER(G93))), ( Tabla114[[#This Row],[Cantidad]]* Tabla114[[#This Row],[Precio]] * IF(ISNUMBER(FIND("aceite", LOWER(Tabla114[[#This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IF(Tabla114[[#This Row],[Cantidad]] &gt; 0,CEILING(( Tabla114[[#This Row],[Cantidad]]*Tabla114[[#This Row],[Precio]]) - IF(ISNUMBER(FIND("x", LOWER(G94))), ( Tabla114[[#This Row],[Cantidad]]* Tabla114[[#This Row],[Precio]] * IF(ISNUMBER(FIND("aceite", LOWER(Tabla114[[#This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IF(Tabla114[[#This Row],[Cantidad]] &gt; 0,CEILING(( Tabla114[[#This Row],[Cantidad]]*Tabla114[[#This Row],[Precio]]) - IF(ISNUMBER(FIND("x", LOWER(G95))), ( Tabla114[[#This Row],[Cantidad]]* Tabla114[[#This Row],[Precio]] * IF(ISNUMBER(FIND("aceite", LOWER(Tabla114[[#This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IF(Tabla114[[#This Row],[Cantidad]] &gt; 0,CEILING(( Tabla114[[#This Row],[Cantidad]]*Tabla114[[#This Row],[Precio]]) - IF(ISNUMBER(FIND("x", LOWER(G96))), ( Tabla114[[#This Row],[Cantidad]]* Tabla114[[#This Row],[Precio]] * IF(ISNUMBER(FIND("aceite", LOWER(Tabla114[[#This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IF(Tabla114[[#This Row],[Cantidad]] &gt; 0,CEILING(( Tabla114[[#This Row],[Cantidad]]*Tabla114[[#This Row],[Precio]]) - IF(ISNUMBER(FIND("x", LOWER(G97))), ( Tabla114[[#This Row],[Cantidad]]* Tabla114[[#This Row],[Precio]] * IF(ISNUMBER(FIND("aceite", LOWER(Tabla114[[#This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IF(Tabla114[[#This Row],[Cantidad]] &gt; 0,CEILING(( Tabla114[[#This Row],[Cantidad]]*Tabla114[[#This Row],[Precio]]) - IF(ISNUMBER(FIND("x", LOWER(G98))), ( Tabla114[[#This Row],[Cantidad]]* Tabla114[[#This Row],[Precio]] * IF(ISNUMBER(FIND("aceite", LOWER(Tabla114[[#This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IF(Tabla114[[#This Row],[Cantidad]] &gt; 0,CEILING(( Tabla114[[#This Row],[Cantidad]]*Tabla114[[#This Row],[Precio]]) - IF(ISNUMBER(FIND("x", LOWER(G99))), ( Tabla114[[#This Row],[Cantidad]]* Tabla114[[#This Row],[Precio]] * IF(ISNUMBER(FIND("aceite", LOWER(Tabla114[[#This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IF(Tabla114[[#This Row],[Cantidad]] &gt; 0,CEILING(( Tabla114[[#This Row],[Cantidad]]*Tabla114[[#This Row],[Precio]]) - IF(ISNUMBER(FIND("x", LOWER(G100))), ( Tabla114[[#This Row],[Cantidad]]* Tabla114[[#This Row],[Precio]] * IF(ISNUMBER(FIND("aceite", LOWER(Tabla114[[#This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IF(Tabla114[[#This Row],[Cantidad]] &gt; 0,CEILING(( Tabla114[[#This Row],[Cantidad]]*Tabla114[[#This Row],[Precio]]) - IF(ISNUMBER(FIND("x", LOWER(G101))), ( Tabla114[[#This Row],[Cantidad]]* Tabla114[[#This Row],[Precio]] * IF(ISNUMBER(FIND("aceite", LOWER(Tabla114[[#This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IF(Tabla114[[#This Row],[Cantidad]] &gt; 0,CEILING(( Tabla114[[#This Row],[Cantidad]]*Tabla114[[#This Row],[Precio]]) - IF(ISNUMBER(FIND("x", LOWER(G102))), ( Tabla114[[#This Row],[Cantidad]]* Tabla114[[#This Row],[Precio]] * IF(ISNUMBER(FIND("aceite", LOWER(Tabla114[[#This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IF(Tabla114[[#This Row],[Cantidad]] &gt; 0,CEILING(( Tabla114[[#This Row],[Cantidad]]*Tabla114[[#This Row],[Precio]]) - IF(ISNUMBER(FIND("x", LOWER(G103))), ( Tabla114[[#This Row],[Cantidad]]* Tabla114[[#This Row],[Precio]] * IF(ISNUMBER(FIND("aceite", LOWER(Tabla114[[#This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7" priority="2">
      <formula>E5&gt;0&amp;ISBLANK(D5)</formula>
    </cfRule>
  </conditionalFormatting>
  <conditionalFormatting sqref="B5:B103">
    <cfRule type="expression" dxfId="6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R103"/>
  <sheetViews>
    <sheetView zoomScale="85" zoomScaleNormal="85" workbookViewId="0">
      <selection activeCell="D5" sqref="D5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15</v>
      </c>
      <c r="D2" s="16"/>
      <c r="E2" s="17"/>
      <c r="F2" s="17"/>
      <c r="G2" s="17"/>
      <c r="H2" s="17"/>
      <c r="L2" s="7"/>
      <c r="M2" s="16" t="s">
        <v>6</v>
      </c>
      <c r="N2" s="17"/>
      <c r="O2" s="17"/>
      <c r="P2" s="17"/>
      <c r="Q2" s="17"/>
      <c r="R2" s="17"/>
    </row>
    <row r="3" spans="2:18" ht="26.25" x14ac:dyDescent="0.4">
      <c r="G3" t="s">
        <v>8</v>
      </c>
      <c r="J3" s="14" t="s">
        <v>18</v>
      </c>
      <c r="K3" s="5">
        <f>SUM(Tabla115[Importa])</f>
        <v>0</v>
      </c>
      <c r="M3" s="19" t="s">
        <v>7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0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 t="str">
        <f t="shared" ref="C5:C68" si="0">IF(ISNUMBER(E5), IF(ISNUMBER(C4), C4+1, 1), "")</f>
        <v/>
      </c>
      <c r="H5" s="4" t="str">
        <f>IF(Tabla115[[#This Row],[Cantidad]] &gt; 0,CEILING(( Tabla115[[#This Row],[Cantidad]]*Tabla115[[#This Row],[Precio]]) - IF(ISNUMBER(FIND("x", LOWER(G5))), ( Tabla115[[#This Row],[Cantidad]]* Tabla115[[#This Row],[Precio]] * IF(ISNUMBER(FIND("aceite", LOWER(Tabla115[[#This Row],[Producto]]))), 0.05, 0.1)), 0), 0.5), "")</f>
        <v/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 t="str">
        <f t="shared" si="0"/>
        <v/>
      </c>
      <c r="H6" s="4" t="str">
        <f>IF(Tabla115[[#This Row],[Cantidad]] &gt; 0,CEILING(( Tabla115[[#This Row],[Cantidad]]*Tabla115[[#This Row],[Precio]]) - IF(ISNUMBER(FIND("x", LOWER(G6))), ( Tabla115[[#This Row],[Cantidad]]* Tabla115[[#This Row],[Precio]] * IF(ISNUMBER(FIND("aceite", LOWER(Tabla115[[#This Row],[Producto]]))), 0.05, 0.1)), 0), 0.5), "")</f>
        <v/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 t="str">
        <f t="shared" si="0"/>
        <v/>
      </c>
      <c r="H7" s="4" t="str">
        <f>IF(Tabla115[[#This Row],[Cantidad]] &gt; 0,CEILING(( Tabla115[[#This Row],[Cantidad]]*Tabla115[[#This Row],[Precio]]) - IF(ISNUMBER(FIND("x", LOWER(G7))), ( Tabla115[[#This Row],[Cantidad]]* Tabla115[[#This Row],[Precio]] * IF(ISNUMBER(FIND("aceite", LOWER(Tabla115[[#This Row],[Producto]]))), 0.05, 0.1)), 0), 0.5), "")</f>
        <v/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 t="str">
        <f t="shared" si="0"/>
        <v/>
      </c>
      <c r="H8" s="4" t="str">
        <f>IF(Tabla115[[#This Row],[Cantidad]] &gt; 0,CEILING(( Tabla115[[#This Row],[Cantidad]]*Tabla115[[#This Row],[Precio]]) - IF(ISNUMBER(FIND("x", LOWER(G8))), ( Tabla115[[#This Row],[Cantidad]]* Tabla115[[#This Row],[Precio]] * IF(ISNUMBER(FIND("aceite", LOWER(Tabla115[[#This Row],[Producto]]))), 0.05, 0.1)), 0), 0.5), "")</f>
        <v/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 t="str">
        <f t="shared" si="0"/>
        <v/>
      </c>
      <c r="H9" s="4" t="str">
        <f>IF(Tabla115[[#This Row],[Cantidad]] &gt; 0,CEILING(( Tabla115[[#This Row],[Cantidad]]*Tabla115[[#This Row],[Precio]]) - IF(ISNUMBER(FIND("x", LOWER(G9))), ( Tabla115[[#This Row],[Cantidad]]* Tabla115[[#This Row],[Precio]] * IF(ISNUMBER(FIND("aceite", LOWER(Tabla115[[#This Row],[Producto]]))), 0.05, 0.1)), 0), 0.5), "")</f>
        <v/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/>
      <c r="C10" t="str">
        <f t="shared" si="0"/>
        <v/>
      </c>
      <c r="H10" s="4" t="str">
        <f>IF(Tabla115[[#This Row],[Cantidad]] &gt; 0,CEILING(( Tabla115[[#This Row],[Cantidad]]*Tabla115[[#This Row],[Precio]]) - IF(ISNUMBER(FIND("x", LOWER(G10))), ( Tabla115[[#This Row],[Cantidad]]* Tabla115[[#This Row],[Precio]] * IF(ISNUMBER(FIND("aceite", LOWER(Tabla115[[#This Row],[Producto]]))), 0.05, 0.1)), 0), 0.5), "")</f>
        <v/>
      </c>
      <c r="J10" s="30" t="s">
        <v>31</v>
      </c>
      <c r="K10" s="32" t="str">
        <f>IF(K4&lt;&gt;0,COUNTIF(G5:G103, "x")/K4, "")</f>
        <v/>
      </c>
      <c r="M10" s="18"/>
      <c r="N10" s="18"/>
      <c r="O10" s="18"/>
      <c r="P10" s="18"/>
      <c r="Q10" s="18"/>
      <c r="R10" s="18"/>
    </row>
    <row r="11" spans="2:18" x14ac:dyDescent="0.25">
      <c r="B11" s="13"/>
      <c r="C11" t="str">
        <f t="shared" si="0"/>
        <v/>
      </c>
      <c r="H11" s="4" t="str">
        <f>IF(Tabla115[[#This Row],[Cantidad]] &gt; 0,CEILING(( Tabla115[[#This Row],[Cantidad]]*Tabla115[[#This Row],[Precio]]) - IF(ISNUMBER(FIND("x", LOWER(G11))), ( Tabla115[[#This Row],[Cantidad]]* Tabla115[[#This Row],[Precio]] * IF(ISNUMBER(FIND("aceite", LOWER(Tabla115[[#This Row],[Producto]]))), 0.05, 0.1)), 0), 0.5), "")</f>
        <v/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/>
      <c r="C12" t="str">
        <f t="shared" si="0"/>
        <v/>
      </c>
      <c r="H12" s="4" t="str">
        <f>IF(Tabla115[[#This Row],[Cantidad]] &gt; 0,CEILING(( Tabla115[[#This Row],[Cantidad]]*Tabla115[[#This Row],[Precio]]) - IF(ISNUMBER(FIND("x", LOWER(G12))), ( Tabla115[[#This Row],[Cantidad]]* Tabla115[[#This Row],[Precio]] * IF(ISNUMBER(FIND("aceite", LOWER(Tabla115[[#This Row],[Producto]]))), 0.05, 0.1)), 0), 0.5), "")</f>
        <v/>
      </c>
      <c r="J12" s="30" t="s">
        <v>32</v>
      </c>
      <c r="K12" s="32" t="str">
        <f>IF(K4&lt;&gt;0,(K4-COUNTIF(G5:G103,"x"))/K4,"")</f>
        <v/>
      </c>
      <c r="M12" s="18"/>
      <c r="N12" s="18"/>
      <c r="O12" s="18"/>
      <c r="P12" s="18"/>
      <c r="Q12" s="18"/>
      <c r="R12" s="18"/>
    </row>
    <row r="13" spans="2:18" x14ac:dyDescent="0.25">
      <c r="B13" s="13"/>
      <c r="C13" t="str">
        <f t="shared" si="0"/>
        <v/>
      </c>
      <c r="H13" s="4" t="str">
        <f>IF(Tabla115[[#This Row],[Cantidad]] &gt; 0,CEILING(( Tabla115[[#This Row],[Cantidad]]*Tabla115[[#This Row],[Precio]]) - IF(ISNUMBER(FIND("x", LOWER(G13))), ( Tabla115[[#This Row],[Cantidad]]* Tabla115[[#This Row],[Precio]] * IF(ISNUMBER(FIND("aceite", LOWER(Tabla115[[#This Row],[Producto]]))), 0.05, 0.1)), 0), 0.5), "")</f>
        <v/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 t="str">
        <f t="shared" si="0"/>
        <v/>
      </c>
      <c r="H14" s="4" t="str">
        <f>IF(Tabla115[[#This Row],[Cantidad]] &gt; 0,CEILING(( Tabla115[[#This Row],[Cantidad]]*Tabla115[[#This Row],[Precio]]) - IF(ISNUMBER(FIND("x", LOWER(G14))), ( Tabla115[[#This Row],[Cantidad]]* Tabla115[[#This Row],[Precio]] * IF(ISNUMBER(FIND("aceite", LOWER(Tabla115[[#This Row],[Producto]]))), 0.05, 0.1)), 0), 0.5), "")</f>
        <v/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0"/>
        <v/>
      </c>
      <c r="H15" s="4" t="str">
        <f>IF(Tabla115[[#This Row],[Cantidad]] &gt; 0,CEILING(( Tabla115[[#This Row],[Cantidad]]*Tabla115[[#This Row],[Precio]]) - IF(ISNUMBER(FIND("x", LOWER(G15))), ( Tabla115[[#This Row],[Cantidad]]* Tabla115[[#This Row],[Precio]] * IF(ISNUMBER(FIND("aceite", LOWER(Tabla115[[#This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/>
      <c r="C16" t="str">
        <f t="shared" si="0"/>
        <v/>
      </c>
      <c r="H16" s="4" t="str">
        <f>IF(Tabla115[[#This Row],[Cantidad]] &gt; 0,CEILING(( Tabla115[[#This Row],[Cantidad]]*Tabla115[[#This Row],[Precio]]) - IF(ISNUMBER(FIND("x", LOWER(G16))), ( Tabla115[[#This Row],[Cantidad]]* Tabla115[[#This Row],[Precio]] * IF(ISNUMBER(FIND("aceite", LOWER(Tabla115[[#This Row],[Producto]]))), 0.05, 0.1)), 0), 0.5), "")</f>
        <v/>
      </c>
      <c r="J16" s="20" t="s">
        <v>26</v>
      </c>
      <c r="K16" s="22"/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 t="str">
        <f t="shared" si="0"/>
        <v/>
      </c>
      <c r="H17" s="4" t="str">
        <f>IF(Tabla115[[#This Row],[Cantidad]] &gt; 0,CEILING(( Tabla115[[#This Row],[Cantidad]]*Tabla115[[#This Row],[Precio]]) - IF(ISNUMBER(FIND("x", LOWER(G17))), ( Tabla115[[#This Row],[Cantidad]]* Tabla115[[#This Row],[Precio]] * IF(ISNUMBER(FIND("aceite", LOWER(Tabla115[[#This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 t="str">
        <f t="shared" si="0"/>
        <v/>
      </c>
      <c r="H18" s="4" t="str">
        <f>IF(Tabla115[[#This Row],[Cantidad]] &gt; 0,CEILING(( Tabla115[[#This Row],[Cantidad]]*Tabla115[[#This Row],[Precio]]) - IF(ISNUMBER(FIND("x", LOWER(G18))), ( Tabla115[[#This Row],[Cantidad]]* Tabla115[[#This Row],[Precio]] * IF(ISNUMBER(FIND("aceite", LOWER(Tabla115[[#This Row],[Producto]]))), 0.05, 0.1)), 0), 0.5), "")</f>
        <v/>
      </c>
      <c r="J18" s="23" t="s">
        <v>27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0"/>
        <v/>
      </c>
      <c r="H19" s="4" t="str">
        <f>IF(Tabla115[[#This Row],[Cantidad]] &gt; 0,CEILING(( Tabla115[[#This Row],[Cantidad]]*Tabla115[[#This Row],[Precio]]) - IF(ISNUMBER(FIND("x", LOWER(G19))), ( Tabla115[[#This Row],[Cantidad]]* Tabla115[[#This Row],[Precio]] * IF(ISNUMBER(FIND("aceite", LOWER(Tabla115[[#This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IF(Tabla115[[#This Row],[Cantidad]] &gt; 0,CEILING(( Tabla115[[#This Row],[Cantidad]]*Tabla115[[#This Row],[Precio]]) - IF(ISNUMBER(FIND("x", LOWER(G20))), ( Tabla115[[#This Row],[Cantidad]]* Tabla115[[#This Row],[Precio]] * IF(ISNUMBER(FIND("aceite", LOWER(Tabla115[[#This Row],[Producto]]))), 0.05, 0.1)), 0), 0.5), "")</f>
        <v/>
      </c>
      <c r="J20" s="26" t="s">
        <v>29</v>
      </c>
      <c r="K20" s="28">
        <f>K16-K18</f>
        <v>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IF(Tabla115[[#This Row],[Cantidad]] &gt; 0,CEILING(( Tabla115[[#This Row],[Cantidad]]*Tabla115[[#This Row],[Precio]]) - IF(ISNUMBER(FIND("x", LOWER(G21))), ( Tabla115[[#This Row],[Cantidad]]* Tabla115[[#This Row],[Precio]] * IF(ISNUMBER(FIND("aceite", LOWER(Tabla115[[#This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IF(Tabla115[[#This Row],[Cantidad]] &gt; 0,CEILING(( Tabla115[[#This Row],[Cantidad]]*Tabla115[[#This Row],[Precio]]) - IF(ISNUMBER(FIND("x", LOWER(G22))), ( Tabla115[[#This Row],[Cantidad]]* Tabla115[[#This Row],[Precio]] * IF(ISNUMBER(FIND("aceite", LOWER(Tabla115[[#This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IF(Tabla115[[#This Row],[Cantidad]] &gt; 0,CEILING(( Tabla115[[#This Row],[Cantidad]]*Tabla115[[#This Row],[Precio]]) - IF(ISNUMBER(FIND("x", LOWER(G23))), ( Tabla115[[#This Row],[Cantidad]]* Tabla115[[#This Row],[Precio]] * IF(ISNUMBER(FIND("aceite", LOWER(Tabla115[[#This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IF(Tabla115[[#This Row],[Cantidad]] &gt; 0,CEILING(( Tabla115[[#This Row],[Cantidad]]*Tabla115[[#This Row],[Precio]]) - IF(ISNUMBER(FIND("x", LOWER(G24))), ( Tabla115[[#This Row],[Cantidad]]* Tabla115[[#This Row],[Precio]] * IF(ISNUMBER(FIND("aceite", LOWER(Tabla115[[#This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IF(Tabla115[[#This Row],[Cantidad]] &gt; 0,CEILING(( Tabla115[[#This Row],[Cantidad]]*Tabla115[[#This Row],[Precio]]) - IF(ISNUMBER(FIND("x", LOWER(G25))), ( Tabla115[[#This Row],[Cantidad]]* Tabla115[[#This Row],[Precio]] * IF(ISNUMBER(FIND("aceite", LOWER(Tabla115[[#This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IF(Tabla115[[#This Row],[Cantidad]] &gt; 0,CEILING(( Tabla115[[#This Row],[Cantidad]]*Tabla115[[#This Row],[Precio]]) - IF(ISNUMBER(FIND("x", LOWER(G26))), ( Tabla115[[#This Row],[Cantidad]]* Tabla115[[#This Row],[Precio]] * IF(ISNUMBER(FIND("aceite", LOWER(Tabla115[[#This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IF(Tabla115[[#This Row],[Cantidad]] &gt; 0,CEILING(( Tabla115[[#This Row],[Cantidad]]*Tabla115[[#This Row],[Precio]]) - IF(ISNUMBER(FIND("x", LOWER(G27))), ( Tabla115[[#This Row],[Cantidad]]* Tabla115[[#This Row],[Precio]] * IF(ISNUMBER(FIND("aceite", LOWER(Tabla115[[#This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IF(Tabla115[[#This Row],[Cantidad]] &gt; 0,CEILING(( Tabla115[[#This Row],[Cantidad]]*Tabla115[[#This Row],[Precio]]) - IF(ISNUMBER(FIND("x", LOWER(G28))), ( Tabla115[[#This Row],[Cantidad]]* Tabla115[[#This Row],[Precio]] * IF(ISNUMBER(FIND("aceite", LOWER(Tabla115[[#This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IF(Tabla115[[#This Row],[Cantidad]] &gt; 0,CEILING(( Tabla115[[#This Row],[Cantidad]]*Tabla115[[#This Row],[Precio]]) - IF(ISNUMBER(FIND("x", LOWER(G29))), ( Tabla115[[#This Row],[Cantidad]]* Tabla115[[#This Row],[Precio]] * IF(ISNUMBER(FIND("aceite", LOWER(Tabla115[[#This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IF(Tabla115[[#This Row],[Cantidad]] &gt; 0,CEILING(( Tabla115[[#This Row],[Cantidad]]*Tabla115[[#This Row],[Precio]]) - IF(ISNUMBER(FIND("x", LOWER(G30))), ( Tabla115[[#This Row],[Cantidad]]* Tabla115[[#This Row],[Precio]] * IF(ISNUMBER(FIND("aceite", LOWER(Tabla115[[#This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IF(Tabla115[[#This Row],[Cantidad]] &gt; 0,CEILING(( Tabla115[[#This Row],[Cantidad]]*Tabla115[[#This Row],[Precio]]) - IF(ISNUMBER(FIND("x", LOWER(G31))), ( Tabla115[[#This Row],[Cantidad]]* Tabla115[[#This Row],[Precio]] * IF(ISNUMBER(FIND("aceite", LOWER(Tabla115[[#This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IF(Tabla115[[#This Row],[Cantidad]] &gt; 0,CEILING(( Tabla115[[#This Row],[Cantidad]]*Tabla115[[#This Row],[Precio]]) - IF(ISNUMBER(FIND("x", LOWER(G32))), ( Tabla115[[#This Row],[Cantidad]]* Tabla115[[#This Row],[Precio]] * IF(ISNUMBER(FIND("aceite", LOWER(Tabla115[[#This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IF(Tabla115[[#This Row],[Cantidad]] &gt; 0,CEILING(( Tabla115[[#This Row],[Cantidad]]*Tabla115[[#This Row],[Precio]]) - IF(ISNUMBER(FIND("x", LOWER(G33))), ( Tabla115[[#This Row],[Cantidad]]* Tabla115[[#This Row],[Precio]] * IF(ISNUMBER(FIND("aceite", LOWER(Tabla115[[#This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IF(Tabla115[[#This Row],[Cantidad]] &gt; 0,CEILING(( Tabla115[[#This Row],[Cantidad]]*Tabla115[[#This Row],[Precio]]) - IF(ISNUMBER(FIND("x", LOWER(G34))), ( Tabla115[[#This Row],[Cantidad]]* Tabla115[[#This Row],[Precio]] * IF(ISNUMBER(FIND("aceite", LOWER(Tabla115[[#This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IF(Tabla115[[#This Row],[Cantidad]] &gt; 0,CEILING(( Tabla115[[#This Row],[Cantidad]]*Tabla115[[#This Row],[Precio]]) - IF(ISNUMBER(FIND("x", LOWER(G35))), ( Tabla115[[#This Row],[Cantidad]]* Tabla115[[#This Row],[Precio]] * IF(ISNUMBER(FIND("aceite", LOWER(Tabla115[[#This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IF(Tabla115[[#This Row],[Cantidad]] &gt; 0,CEILING(( Tabla115[[#This Row],[Cantidad]]*Tabla115[[#This Row],[Precio]]) - IF(ISNUMBER(FIND("x", LOWER(G36))), ( Tabla115[[#This Row],[Cantidad]]* Tabla115[[#This Row],[Precio]] * IF(ISNUMBER(FIND("aceite", LOWER(Tabla115[[#This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IF(Tabla115[[#This Row],[Cantidad]] &gt; 0,CEILING(( Tabla115[[#This Row],[Cantidad]]*Tabla115[[#This Row],[Precio]]) - IF(ISNUMBER(FIND("x", LOWER(G37))), ( Tabla115[[#This Row],[Cantidad]]* Tabla115[[#This Row],[Precio]] * IF(ISNUMBER(FIND("aceite", LOWER(Tabla115[[#This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IF(Tabla115[[#This Row],[Cantidad]] &gt; 0,CEILING(( Tabla115[[#This Row],[Cantidad]]*Tabla115[[#This Row],[Precio]]) - IF(ISNUMBER(FIND("x", LOWER(G38))), ( Tabla115[[#This Row],[Cantidad]]* Tabla115[[#This Row],[Precio]] * IF(ISNUMBER(FIND("aceite", LOWER(Tabla115[[#This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IF(Tabla115[[#This Row],[Cantidad]] &gt; 0,CEILING(( Tabla115[[#This Row],[Cantidad]]*Tabla115[[#This Row],[Precio]]) - IF(ISNUMBER(FIND("x", LOWER(G39))), ( Tabla115[[#This Row],[Cantidad]]* Tabla115[[#This Row],[Precio]] * IF(ISNUMBER(FIND("aceite", LOWER(Tabla115[[#This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IF(Tabla115[[#This Row],[Cantidad]] &gt; 0,CEILING(( Tabla115[[#This Row],[Cantidad]]*Tabla115[[#This Row],[Precio]]) - IF(ISNUMBER(FIND("x", LOWER(G40))), ( Tabla115[[#This Row],[Cantidad]]* Tabla115[[#This Row],[Precio]] * IF(ISNUMBER(FIND("aceite", LOWER(Tabla115[[#This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IF(Tabla115[[#This Row],[Cantidad]] &gt; 0,CEILING(( Tabla115[[#This Row],[Cantidad]]*Tabla115[[#This Row],[Precio]]) - IF(ISNUMBER(FIND("x", LOWER(G41))), ( Tabla115[[#This Row],[Cantidad]]* Tabla115[[#This Row],[Precio]] * IF(ISNUMBER(FIND("aceite", LOWER(Tabla115[[#This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IF(Tabla115[[#This Row],[Cantidad]] &gt; 0,CEILING(( Tabla115[[#This Row],[Cantidad]]*Tabla115[[#This Row],[Precio]]) - IF(ISNUMBER(FIND("x", LOWER(G42))), ( Tabla115[[#This Row],[Cantidad]]* Tabla115[[#This Row],[Precio]] * IF(ISNUMBER(FIND("aceite", LOWER(Tabla115[[#This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IF(Tabla115[[#This Row],[Cantidad]] &gt; 0,CEILING(( Tabla115[[#This Row],[Cantidad]]*Tabla115[[#This Row],[Precio]]) - IF(ISNUMBER(FIND("x", LOWER(G43))), ( Tabla115[[#This Row],[Cantidad]]* Tabla115[[#This Row],[Precio]] * IF(ISNUMBER(FIND("aceite", LOWER(Tabla115[[#This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IF(Tabla115[[#This Row],[Cantidad]] &gt; 0,CEILING(( Tabla115[[#This Row],[Cantidad]]*Tabla115[[#This Row],[Precio]]) - IF(ISNUMBER(FIND("x", LOWER(G44))), ( Tabla115[[#This Row],[Cantidad]]* Tabla115[[#This Row],[Precio]] * IF(ISNUMBER(FIND("aceite", LOWER(Tabla115[[#This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IF(Tabla115[[#This Row],[Cantidad]] &gt; 0,CEILING(( Tabla115[[#This Row],[Cantidad]]*Tabla115[[#This Row],[Precio]]) - IF(ISNUMBER(FIND("x", LOWER(G45))), ( Tabla115[[#This Row],[Cantidad]]* Tabla115[[#This Row],[Precio]] * IF(ISNUMBER(FIND("aceite", LOWER(Tabla115[[#This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IF(Tabla115[[#This Row],[Cantidad]] &gt; 0,CEILING(( Tabla115[[#This Row],[Cantidad]]*Tabla115[[#This Row],[Precio]]) - IF(ISNUMBER(FIND("x", LOWER(G46))), ( Tabla115[[#This Row],[Cantidad]]* Tabla115[[#This Row],[Precio]] * IF(ISNUMBER(FIND("aceite", LOWER(Tabla115[[#This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IF(Tabla115[[#This Row],[Cantidad]] &gt; 0,CEILING(( Tabla115[[#This Row],[Cantidad]]*Tabla115[[#This Row],[Precio]]) - IF(ISNUMBER(FIND("x", LOWER(G47))), ( Tabla115[[#This Row],[Cantidad]]* Tabla115[[#This Row],[Precio]] * IF(ISNUMBER(FIND("aceite", LOWER(Tabla115[[#This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IF(Tabla115[[#This Row],[Cantidad]] &gt; 0,CEILING(( Tabla115[[#This Row],[Cantidad]]*Tabla115[[#This Row],[Precio]]) - IF(ISNUMBER(FIND("x", LOWER(G48))), ( Tabla115[[#This Row],[Cantidad]]* Tabla115[[#This Row],[Precio]] * IF(ISNUMBER(FIND("aceite", LOWER(Tabla115[[#This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IF(Tabla115[[#This Row],[Cantidad]] &gt; 0,CEILING(( Tabla115[[#This Row],[Cantidad]]*Tabla115[[#This Row],[Precio]]) - IF(ISNUMBER(FIND("x", LOWER(G49))), ( Tabla115[[#This Row],[Cantidad]]* Tabla115[[#This Row],[Precio]] * IF(ISNUMBER(FIND("aceite", LOWER(Tabla115[[#This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IF(Tabla115[[#This Row],[Cantidad]] &gt; 0,CEILING(( Tabla115[[#This Row],[Cantidad]]*Tabla115[[#This Row],[Precio]]) - IF(ISNUMBER(FIND("x", LOWER(G50))), ( Tabla115[[#This Row],[Cantidad]]* Tabla115[[#This Row],[Precio]] * IF(ISNUMBER(FIND("aceite", LOWER(Tabla115[[#This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IF(Tabla115[[#This Row],[Cantidad]] &gt; 0,CEILING(( Tabla115[[#This Row],[Cantidad]]*Tabla115[[#This Row],[Precio]]) - IF(ISNUMBER(FIND("x", LOWER(G51))), ( Tabla115[[#This Row],[Cantidad]]* Tabla115[[#This Row],[Precio]] * IF(ISNUMBER(FIND("aceite", LOWER(Tabla115[[#This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IF(Tabla115[[#This Row],[Cantidad]] &gt; 0,CEILING(( Tabla115[[#This Row],[Cantidad]]*Tabla115[[#This Row],[Precio]]) - IF(ISNUMBER(FIND("x", LOWER(G52))), ( Tabla115[[#This Row],[Cantidad]]* Tabla115[[#This Row],[Precio]] * IF(ISNUMBER(FIND("aceite", LOWER(Tabla115[[#This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IF(Tabla115[[#This Row],[Cantidad]] &gt; 0,CEILING(( Tabla115[[#This Row],[Cantidad]]*Tabla115[[#This Row],[Precio]]) - IF(ISNUMBER(FIND("x", LOWER(G53))), ( Tabla115[[#This Row],[Cantidad]]* Tabla115[[#This Row],[Precio]] * IF(ISNUMBER(FIND("aceite", LOWER(Tabla115[[#This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IF(Tabla115[[#This Row],[Cantidad]] &gt; 0,CEILING(( Tabla115[[#This Row],[Cantidad]]*Tabla115[[#This Row],[Precio]]) - IF(ISNUMBER(FIND("x", LOWER(G54))), ( Tabla115[[#This Row],[Cantidad]]* Tabla115[[#This Row],[Precio]] * IF(ISNUMBER(FIND("aceite", LOWER(Tabla115[[#This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IF(Tabla115[[#This Row],[Cantidad]] &gt; 0,CEILING(( Tabla115[[#This Row],[Cantidad]]*Tabla115[[#This Row],[Precio]]) - IF(ISNUMBER(FIND("x", LOWER(G55))), ( Tabla115[[#This Row],[Cantidad]]* Tabla115[[#This Row],[Precio]] * IF(ISNUMBER(FIND("aceite", LOWER(Tabla115[[#This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IF(Tabla115[[#This Row],[Cantidad]] &gt; 0,CEILING(( Tabla115[[#This Row],[Cantidad]]*Tabla115[[#This Row],[Precio]]) - IF(ISNUMBER(FIND("x", LOWER(G56))), ( Tabla115[[#This Row],[Cantidad]]* Tabla115[[#This Row],[Precio]] * IF(ISNUMBER(FIND("aceite", LOWER(Tabla115[[#This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IF(Tabla115[[#This Row],[Cantidad]] &gt; 0,CEILING(( Tabla115[[#This Row],[Cantidad]]*Tabla115[[#This Row],[Precio]]) - IF(ISNUMBER(FIND("x", LOWER(G57))), ( Tabla115[[#This Row],[Cantidad]]* Tabla115[[#This Row],[Precio]] * IF(ISNUMBER(FIND("aceite", LOWER(Tabla115[[#This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IF(Tabla115[[#This Row],[Cantidad]] &gt; 0,CEILING(( Tabla115[[#This Row],[Cantidad]]*Tabla115[[#This Row],[Precio]]) - IF(ISNUMBER(FIND("x", LOWER(G58))), ( Tabla115[[#This Row],[Cantidad]]* Tabla115[[#This Row],[Precio]] * IF(ISNUMBER(FIND("aceite", LOWER(Tabla115[[#This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IF(Tabla115[[#This Row],[Cantidad]] &gt; 0,CEILING(( Tabla115[[#This Row],[Cantidad]]*Tabla115[[#This Row],[Precio]]) - IF(ISNUMBER(FIND("x", LOWER(G59))), ( Tabla115[[#This Row],[Cantidad]]* Tabla115[[#This Row],[Precio]] * IF(ISNUMBER(FIND("aceite", LOWER(Tabla115[[#This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IF(Tabla115[[#This Row],[Cantidad]] &gt; 0,CEILING(( Tabla115[[#This Row],[Cantidad]]*Tabla115[[#This Row],[Precio]]) - IF(ISNUMBER(FIND("x", LOWER(G60))), ( Tabla115[[#This Row],[Cantidad]]* Tabla115[[#This Row],[Precio]] * IF(ISNUMBER(FIND("aceite", LOWER(Tabla115[[#This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IF(Tabla115[[#This Row],[Cantidad]] &gt; 0,CEILING(( Tabla115[[#This Row],[Cantidad]]*Tabla115[[#This Row],[Precio]]) - IF(ISNUMBER(FIND("x", LOWER(G61))), ( Tabla115[[#This Row],[Cantidad]]* Tabla115[[#This Row],[Precio]] * IF(ISNUMBER(FIND("aceite", LOWER(Tabla115[[#This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IF(Tabla115[[#This Row],[Cantidad]] &gt; 0,CEILING(( Tabla115[[#This Row],[Cantidad]]*Tabla115[[#This Row],[Precio]]) - IF(ISNUMBER(FIND("x", LOWER(G62))), ( Tabla115[[#This Row],[Cantidad]]* Tabla115[[#This Row],[Precio]] * IF(ISNUMBER(FIND("aceite", LOWER(Tabla115[[#This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IF(Tabla115[[#This Row],[Cantidad]] &gt; 0,CEILING(( Tabla115[[#This Row],[Cantidad]]*Tabla115[[#This Row],[Precio]]) - IF(ISNUMBER(FIND("x", LOWER(G63))), ( Tabla115[[#This Row],[Cantidad]]* Tabla115[[#This Row],[Precio]] * IF(ISNUMBER(FIND("aceite", LOWER(Tabla115[[#This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IF(Tabla115[[#This Row],[Cantidad]] &gt; 0,CEILING(( Tabla115[[#This Row],[Cantidad]]*Tabla115[[#This Row],[Precio]]) - IF(ISNUMBER(FIND("x", LOWER(G64))), ( Tabla115[[#This Row],[Cantidad]]* Tabla115[[#This Row],[Precio]] * IF(ISNUMBER(FIND("aceite", LOWER(Tabla115[[#This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IF(Tabla115[[#This Row],[Cantidad]] &gt; 0,CEILING(( Tabla115[[#This Row],[Cantidad]]*Tabla115[[#This Row],[Precio]]) - IF(ISNUMBER(FIND("x", LOWER(G65))), ( Tabla115[[#This Row],[Cantidad]]* Tabla115[[#This Row],[Precio]] * IF(ISNUMBER(FIND("aceite", LOWER(Tabla115[[#This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IF(Tabla115[[#This Row],[Cantidad]] &gt; 0,CEILING(( Tabla115[[#This Row],[Cantidad]]*Tabla115[[#This Row],[Precio]]) - IF(ISNUMBER(FIND("x", LOWER(G66))), ( Tabla115[[#This Row],[Cantidad]]* Tabla115[[#This Row],[Precio]] * IF(ISNUMBER(FIND("aceite", LOWER(Tabla115[[#This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IF(Tabla115[[#This Row],[Cantidad]] &gt; 0,CEILING(( Tabla115[[#This Row],[Cantidad]]*Tabla115[[#This Row],[Precio]]) - IF(ISNUMBER(FIND("x", LOWER(G67))), ( Tabla115[[#This Row],[Cantidad]]* Tabla115[[#This Row],[Precio]] * IF(ISNUMBER(FIND("aceite", LOWER(Tabla115[[#This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IF(Tabla115[[#This Row],[Cantidad]] &gt; 0,CEILING(( Tabla115[[#This Row],[Cantidad]]*Tabla115[[#This Row],[Precio]]) - IF(ISNUMBER(FIND("x", LOWER(G68))), ( Tabla115[[#This Row],[Cantidad]]* Tabla115[[#This Row],[Precio]] * IF(ISNUMBER(FIND("aceite", LOWER(Tabla115[[#This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IF(Tabla115[[#This Row],[Cantidad]] &gt; 0,CEILING(( Tabla115[[#This Row],[Cantidad]]*Tabla115[[#This Row],[Precio]]) - IF(ISNUMBER(FIND("x", LOWER(G69))), ( Tabla115[[#This Row],[Cantidad]]* Tabla115[[#This Row],[Precio]] * IF(ISNUMBER(FIND("aceite", LOWER(Tabla115[[#This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IF(Tabla115[[#This Row],[Cantidad]] &gt; 0,CEILING(( Tabla115[[#This Row],[Cantidad]]*Tabla115[[#This Row],[Precio]]) - IF(ISNUMBER(FIND("x", LOWER(G70))), ( Tabla115[[#This Row],[Cantidad]]* Tabla115[[#This Row],[Precio]] * IF(ISNUMBER(FIND("aceite", LOWER(Tabla115[[#This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IF(Tabla115[[#This Row],[Cantidad]] &gt; 0,CEILING(( Tabla115[[#This Row],[Cantidad]]*Tabla115[[#This Row],[Precio]]) - IF(ISNUMBER(FIND("x", LOWER(G71))), ( Tabla115[[#This Row],[Cantidad]]* Tabla115[[#This Row],[Precio]] * IF(ISNUMBER(FIND("aceite", LOWER(Tabla115[[#This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IF(Tabla115[[#This Row],[Cantidad]] &gt; 0,CEILING(( Tabla115[[#This Row],[Cantidad]]*Tabla115[[#This Row],[Precio]]) - IF(ISNUMBER(FIND("x", LOWER(G72))), ( Tabla115[[#This Row],[Cantidad]]* Tabla115[[#This Row],[Precio]] * IF(ISNUMBER(FIND("aceite", LOWER(Tabla115[[#This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IF(Tabla115[[#This Row],[Cantidad]] &gt; 0,CEILING(( Tabla115[[#This Row],[Cantidad]]*Tabla115[[#This Row],[Precio]]) - IF(ISNUMBER(FIND("x", LOWER(G73))), ( Tabla115[[#This Row],[Cantidad]]* Tabla115[[#This Row],[Precio]] * IF(ISNUMBER(FIND("aceite", LOWER(Tabla115[[#This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IF(Tabla115[[#This Row],[Cantidad]] &gt; 0,CEILING(( Tabla115[[#This Row],[Cantidad]]*Tabla115[[#This Row],[Precio]]) - IF(ISNUMBER(FIND("x", LOWER(G74))), ( Tabla115[[#This Row],[Cantidad]]* Tabla115[[#This Row],[Precio]] * IF(ISNUMBER(FIND("aceite", LOWER(Tabla115[[#This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IF(Tabla115[[#This Row],[Cantidad]] &gt; 0,CEILING(( Tabla115[[#This Row],[Cantidad]]*Tabla115[[#This Row],[Precio]]) - IF(ISNUMBER(FIND("x", LOWER(G75))), ( Tabla115[[#This Row],[Cantidad]]* Tabla115[[#This Row],[Precio]] * IF(ISNUMBER(FIND("aceite", LOWER(Tabla115[[#This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IF(Tabla115[[#This Row],[Cantidad]] &gt; 0,CEILING(( Tabla115[[#This Row],[Cantidad]]*Tabla115[[#This Row],[Precio]]) - IF(ISNUMBER(FIND("x", LOWER(G76))), ( Tabla115[[#This Row],[Cantidad]]* Tabla115[[#This Row],[Precio]] * IF(ISNUMBER(FIND("aceite", LOWER(Tabla115[[#This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IF(Tabla115[[#This Row],[Cantidad]] &gt; 0,CEILING(( Tabla115[[#This Row],[Cantidad]]*Tabla115[[#This Row],[Precio]]) - IF(ISNUMBER(FIND("x", LOWER(G77))), ( Tabla115[[#This Row],[Cantidad]]* Tabla115[[#This Row],[Precio]] * IF(ISNUMBER(FIND("aceite", LOWER(Tabla115[[#This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IF(Tabla115[[#This Row],[Cantidad]] &gt; 0,CEILING(( Tabla115[[#This Row],[Cantidad]]*Tabla115[[#This Row],[Precio]]) - IF(ISNUMBER(FIND("x", LOWER(G78))), ( Tabla115[[#This Row],[Cantidad]]* Tabla115[[#This Row],[Precio]] * IF(ISNUMBER(FIND("aceite", LOWER(Tabla115[[#This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IF(Tabla115[[#This Row],[Cantidad]] &gt; 0,CEILING(( Tabla115[[#This Row],[Cantidad]]*Tabla115[[#This Row],[Precio]]) - IF(ISNUMBER(FIND("x", LOWER(G79))), ( Tabla115[[#This Row],[Cantidad]]* Tabla115[[#This Row],[Precio]] * IF(ISNUMBER(FIND("aceite", LOWER(Tabla115[[#This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IF(Tabla115[[#This Row],[Cantidad]] &gt; 0,CEILING(( Tabla115[[#This Row],[Cantidad]]*Tabla115[[#This Row],[Precio]]) - IF(ISNUMBER(FIND("x", LOWER(G80))), ( Tabla115[[#This Row],[Cantidad]]* Tabla115[[#This Row],[Precio]] * IF(ISNUMBER(FIND("aceite", LOWER(Tabla115[[#This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IF(Tabla115[[#This Row],[Cantidad]] &gt; 0,CEILING(( Tabla115[[#This Row],[Cantidad]]*Tabla115[[#This Row],[Precio]]) - IF(ISNUMBER(FIND("x", LOWER(G81))), ( Tabla115[[#This Row],[Cantidad]]* Tabla115[[#This Row],[Precio]] * IF(ISNUMBER(FIND("aceite", LOWER(Tabla115[[#This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IF(Tabla115[[#This Row],[Cantidad]] &gt; 0,CEILING(( Tabla115[[#This Row],[Cantidad]]*Tabla115[[#This Row],[Precio]]) - IF(ISNUMBER(FIND("x", LOWER(G82))), ( Tabla115[[#This Row],[Cantidad]]* Tabla115[[#This Row],[Precio]] * IF(ISNUMBER(FIND("aceite", LOWER(Tabla115[[#This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IF(Tabla115[[#This Row],[Cantidad]] &gt; 0,CEILING(( Tabla115[[#This Row],[Cantidad]]*Tabla115[[#This Row],[Precio]]) - IF(ISNUMBER(FIND("x", LOWER(G83))), ( Tabla115[[#This Row],[Cantidad]]* Tabla115[[#This Row],[Precio]] * IF(ISNUMBER(FIND("aceite", LOWER(Tabla115[[#This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IF(Tabla115[[#This Row],[Cantidad]] &gt; 0,CEILING(( Tabla115[[#This Row],[Cantidad]]*Tabla115[[#This Row],[Precio]]) - IF(ISNUMBER(FIND("x", LOWER(G84))), ( Tabla115[[#This Row],[Cantidad]]* Tabla115[[#This Row],[Precio]] * IF(ISNUMBER(FIND("aceite", LOWER(Tabla115[[#This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IF(Tabla115[[#This Row],[Cantidad]] &gt; 0,CEILING(( Tabla115[[#This Row],[Cantidad]]*Tabla115[[#This Row],[Precio]]) - IF(ISNUMBER(FIND("x", LOWER(G85))), ( Tabla115[[#This Row],[Cantidad]]* Tabla115[[#This Row],[Precio]] * IF(ISNUMBER(FIND("aceite", LOWER(Tabla115[[#This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IF(Tabla115[[#This Row],[Cantidad]] &gt; 0,CEILING(( Tabla115[[#This Row],[Cantidad]]*Tabla115[[#This Row],[Precio]]) - IF(ISNUMBER(FIND("x", LOWER(G86))), ( Tabla115[[#This Row],[Cantidad]]* Tabla115[[#This Row],[Precio]] * IF(ISNUMBER(FIND("aceite", LOWER(Tabla115[[#This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IF(Tabla115[[#This Row],[Cantidad]] &gt; 0,CEILING(( Tabla115[[#This Row],[Cantidad]]*Tabla115[[#This Row],[Precio]]) - IF(ISNUMBER(FIND("x", LOWER(G87))), ( Tabla115[[#This Row],[Cantidad]]* Tabla115[[#This Row],[Precio]] * IF(ISNUMBER(FIND("aceite", LOWER(Tabla115[[#This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IF(Tabla115[[#This Row],[Cantidad]] &gt; 0,CEILING(( Tabla115[[#This Row],[Cantidad]]*Tabla115[[#This Row],[Precio]]) - IF(ISNUMBER(FIND("x", LOWER(G88))), ( Tabla115[[#This Row],[Cantidad]]* Tabla115[[#This Row],[Precio]] * IF(ISNUMBER(FIND("aceite", LOWER(Tabla115[[#This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IF(Tabla115[[#This Row],[Cantidad]] &gt; 0,CEILING(( Tabla115[[#This Row],[Cantidad]]*Tabla115[[#This Row],[Precio]]) - IF(ISNUMBER(FIND("x", LOWER(G89))), ( Tabla115[[#This Row],[Cantidad]]* Tabla115[[#This Row],[Precio]] * IF(ISNUMBER(FIND("aceite", LOWER(Tabla115[[#This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IF(Tabla115[[#This Row],[Cantidad]] &gt; 0,CEILING(( Tabla115[[#This Row],[Cantidad]]*Tabla115[[#This Row],[Precio]]) - IF(ISNUMBER(FIND("x", LOWER(G90))), ( Tabla115[[#This Row],[Cantidad]]* Tabla115[[#This Row],[Precio]] * IF(ISNUMBER(FIND("aceite", LOWER(Tabla115[[#This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IF(Tabla115[[#This Row],[Cantidad]] &gt; 0,CEILING(( Tabla115[[#This Row],[Cantidad]]*Tabla115[[#This Row],[Precio]]) - IF(ISNUMBER(FIND("x", LOWER(G91))), ( Tabla115[[#This Row],[Cantidad]]* Tabla115[[#This Row],[Precio]] * IF(ISNUMBER(FIND("aceite", LOWER(Tabla115[[#This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IF(Tabla115[[#This Row],[Cantidad]] &gt; 0,CEILING(( Tabla115[[#This Row],[Cantidad]]*Tabla115[[#This Row],[Precio]]) - IF(ISNUMBER(FIND("x", LOWER(G92))), ( Tabla115[[#This Row],[Cantidad]]* Tabla115[[#This Row],[Precio]] * IF(ISNUMBER(FIND("aceite", LOWER(Tabla115[[#This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IF(Tabla115[[#This Row],[Cantidad]] &gt; 0,CEILING(( Tabla115[[#This Row],[Cantidad]]*Tabla115[[#This Row],[Precio]]) - IF(ISNUMBER(FIND("x", LOWER(G93))), ( Tabla115[[#This Row],[Cantidad]]* Tabla115[[#This Row],[Precio]] * IF(ISNUMBER(FIND("aceite", LOWER(Tabla115[[#This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IF(Tabla115[[#This Row],[Cantidad]] &gt; 0,CEILING(( Tabla115[[#This Row],[Cantidad]]*Tabla115[[#This Row],[Precio]]) - IF(ISNUMBER(FIND("x", LOWER(G94))), ( Tabla115[[#This Row],[Cantidad]]* Tabla115[[#This Row],[Precio]] * IF(ISNUMBER(FIND("aceite", LOWER(Tabla115[[#This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IF(Tabla115[[#This Row],[Cantidad]] &gt; 0,CEILING(( Tabla115[[#This Row],[Cantidad]]*Tabla115[[#This Row],[Precio]]) - IF(ISNUMBER(FIND("x", LOWER(G95))), ( Tabla115[[#This Row],[Cantidad]]* Tabla115[[#This Row],[Precio]] * IF(ISNUMBER(FIND("aceite", LOWER(Tabla115[[#This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IF(Tabla115[[#This Row],[Cantidad]] &gt; 0,CEILING(( Tabla115[[#This Row],[Cantidad]]*Tabla115[[#This Row],[Precio]]) - IF(ISNUMBER(FIND("x", LOWER(G96))), ( Tabla115[[#This Row],[Cantidad]]* Tabla115[[#This Row],[Precio]] * IF(ISNUMBER(FIND("aceite", LOWER(Tabla115[[#This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IF(Tabla115[[#This Row],[Cantidad]] &gt; 0,CEILING(( Tabla115[[#This Row],[Cantidad]]*Tabla115[[#This Row],[Precio]]) - IF(ISNUMBER(FIND("x", LOWER(G97))), ( Tabla115[[#This Row],[Cantidad]]* Tabla115[[#This Row],[Precio]] * IF(ISNUMBER(FIND("aceite", LOWER(Tabla115[[#This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IF(Tabla115[[#This Row],[Cantidad]] &gt; 0,CEILING(( Tabla115[[#This Row],[Cantidad]]*Tabla115[[#This Row],[Precio]]) - IF(ISNUMBER(FIND("x", LOWER(G98))), ( Tabla115[[#This Row],[Cantidad]]* Tabla115[[#This Row],[Precio]] * IF(ISNUMBER(FIND("aceite", LOWER(Tabla115[[#This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IF(Tabla115[[#This Row],[Cantidad]] &gt; 0,CEILING(( Tabla115[[#This Row],[Cantidad]]*Tabla115[[#This Row],[Precio]]) - IF(ISNUMBER(FIND("x", LOWER(G99))), ( Tabla115[[#This Row],[Cantidad]]* Tabla115[[#This Row],[Precio]] * IF(ISNUMBER(FIND("aceite", LOWER(Tabla115[[#This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IF(Tabla115[[#This Row],[Cantidad]] &gt; 0,CEILING(( Tabla115[[#This Row],[Cantidad]]*Tabla115[[#This Row],[Precio]]) - IF(ISNUMBER(FIND("x", LOWER(G100))), ( Tabla115[[#This Row],[Cantidad]]* Tabla115[[#This Row],[Precio]] * IF(ISNUMBER(FIND("aceite", LOWER(Tabla115[[#This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IF(Tabla115[[#This Row],[Cantidad]] &gt; 0,CEILING(( Tabla115[[#This Row],[Cantidad]]*Tabla115[[#This Row],[Precio]]) - IF(ISNUMBER(FIND("x", LOWER(G101))), ( Tabla115[[#This Row],[Cantidad]]* Tabla115[[#This Row],[Precio]] * IF(ISNUMBER(FIND("aceite", LOWER(Tabla115[[#This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IF(Tabla115[[#This Row],[Cantidad]] &gt; 0,CEILING(( Tabla115[[#This Row],[Cantidad]]*Tabla115[[#This Row],[Precio]]) - IF(ISNUMBER(FIND("x", LOWER(G102))), ( Tabla115[[#This Row],[Cantidad]]* Tabla115[[#This Row],[Precio]] * IF(ISNUMBER(FIND("aceite", LOWER(Tabla115[[#This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IF(Tabla115[[#This Row],[Cantidad]] &gt; 0,CEILING(( Tabla115[[#This Row],[Cantidad]]*Tabla115[[#This Row],[Precio]]) - IF(ISNUMBER(FIND("x", LOWER(G103))), ( Tabla115[[#This Row],[Cantidad]]* Tabla115[[#This Row],[Precio]] * IF(ISNUMBER(FIND("aceite", LOWER(Tabla115[[#This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3" priority="2">
      <formula>E5&gt;0&amp;ISBLANK(D5)</formula>
    </cfRule>
  </conditionalFormatting>
  <conditionalFormatting sqref="B5:B103">
    <cfRule type="expression" dxfId="2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3:E7"/>
  <sheetViews>
    <sheetView workbookViewId="0">
      <selection activeCell="D7" sqref="D7"/>
    </sheetView>
  </sheetViews>
  <sheetFormatPr baseColWidth="10" defaultRowHeight="15" x14ac:dyDescent="0.25"/>
  <cols>
    <col min="2" max="2" width="80.5703125" customWidth="1"/>
  </cols>
  <sheetData>
    <row r="3" spans="2:5" x14ac:dyDescent="0.25">
      <c r="B3" t="s">
        <v>9</v>
      </c>
      <c r="C3" t="s">
        <v>10</v>
      </c>
      <c r="D3" t="s">
        <v>11</v>
      </c>
    </row>
    <row r="4" spans="2:5" ht="30" x14ac:dyDescent="0.25">
      <c r="B4" s="3" t="s">
        <v>13</v>
      </c>
      <c r="C4" s="1">
        <v>45576</v>
      </c>
      <c r="D4" s="2">
        <v>1.1000000000000001</v>
      </c>
      <c r="E4" s="2"/>
    </row>
    <row r="5" spans="2:5" ht="45" x14ac:dyDescent="0.25">
      <c r="B5" s="6" t="s">
        <v>17</v>
      </c>
      <c r="C5" s="2" t="s">
        <v>14</v>
      </c>
      <c r="D5" s="2">
        <v>1.2</v>
      </c>
      <c r="E5" s="2"/>
    </row>
    <row r="6" spans="2:5" ht="30" x14ac:dyDescent="0.25">
      <c r="B6" s="6" t="s">
        <v>25</v>
      </c>
      <c r="C6" s="1">
        <v>45778</v>
      </c>
      <c r="D6" s="2">
        <v>1.3</v>
      </c>
      <c r="E6" s="2"/>
    </row>
    <row r="7" spans="2:5" ht="90" x14ac:dyDescent="0.25">
      <c r="B7" s="6" t="s">
        <v>33</v>
      </c>
      <c r="C7" s="2" t="s">
        <v>28</v>
      </c>
      <c r="D7" s="2">
        <v>1.4</v>
      </c>
      <c r="E7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Lunes 21-09-26</vt:lpstr>
      <vt:lpstr>Martes 22-09-26</vt:lpstr>
      <vt:lpstr>Miercoles 22-09-26</vt:lpstr>
      <vt:lpstr>JUEVES 24-09-26</vt:lpstr>
      <vt:lpstr>Viernes 25-09-26</vt:lpstr>
      <vt:lpstr>Sabado 26-09-26</vt:lpstr>
      <vt:lpstr>Domingo</vt:lpstr>
      <vt:lpstr>Cambios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2026-09-27T01:07:11Z</dcterms:modified>
</cp:coreProperties>
</file>