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1063F7E-08B8-42A4-B3E0-EF8A80C06076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31-08-26" sheetId="1" r:id="rId1"/>
    <sheet name="Martes 01-09-26" sheetId="2" r:id="rId2"/>
    <sheet name="Miercoles 02-09-26" sheetId="3" r:id="rId3"/>
    <sheet name="Jueves 03-09-26" sheetId="4" r:id="rId4"/>
    <sheet name="Viernes 04-09-26" sheetId="5" r:id="rId5"/>
    <sheet name="Sabado 05-09-26" sheetId="6" r:id="rId6"/>
    <sheet name="Domingo" sheetId="8" r:id="rId7"/>
    <sheet name="Cambios" sheetId="7" r:id="rId8"/>
  </sheets>
  <definedNames>
    <definedName name="_xlnm._FilterDatabase" localSheetId="0" hidden="1">'Lunes 31-08-26'!$B$4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<sst xmlns="http://schemas.openxmlformats.org/spreadsheetml/2006/main" count="354" uniqueCount="161">
  <si>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</si>
  <si>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</si>
  <si>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</si>
  <si>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</si>
  <si>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</si>
  <si>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</si>
  <si>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</si>
  <si>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</si>
  <si>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</si>
  <si>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</si>
  <si>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</si>
  <si>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</si>
  <si>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</si>
  <si>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</si>
  <si>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</si>
  <si>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</si>
  <si>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</si>
  <si>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</si>
  <si>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</si>
  <si>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</si>
  <si>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</si>
  <si>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</si>
  <si>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</si>
  <si>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</si>
  <si>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</si>
  <si>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 xml:space="preserve">PEDIDO OSCAR </t>
  </si>
  <si>
    <t>Lunes 31 DE AGOSTO-26</t>
  </si>
  <si>
    <t>X</t>
  </si>
  <si>
    <t xml:space="preserve">PUÑOS DE FT150 YOG </t>
  </si>
  <si>
    <t>ACEITE MOTUL 7100-20W50</t>
  </si>
  <si>
    <t>CHICOTE DE CLUTCH FT150</t>
  </si>
  <si>
    <t>FILTRO DE ACEITE PULSAR 200NS</t>
  </si>
  <si>
    <t>STIKER</t>
  </si>
  <si>
    <t>CAMARA 3.00.18</t>
  </si>
  <si>
    <t xml:space="preserve">BALATA DE DISCO FT150 </t>
  </si>
  <si>
    <t>TUBO MOVIL DS150</t>
  </si>
  <si>
    <t>FILTRO DE AIRE WS175</t>
  </si>
  <si>
    <t>BANDA 743-20-30</t>
  </si>
  <si>
    <t xml:space="preserve">BALATA DE DISCO VITALIA </t>
  </si>
  <si>
    <t xml:space="preserve">RESORTE DE FRENO UNIVERSAL </t>
  </si>
  <si>
    <t>CHICOTE DE VELOCIMETRO WS150</t>
  </si>
  <si>
    <t>VALVULAS DE DS150</t>
  </si>
  <si>
    <t xml:space="preserve">ACEITE AKRON </t>
  </si>
  <si>
    <t xml:space="preserve">CUENTA DE SEMANA PASADA $ 23516 MENOS $ 240 DE LIQUIDO DE FRENO QUEDA $ 23276 </t>
  </si>
  <si>
    <t>BALATA DE TAMBOR DE DS150</t>
  </si>
  <si>
    <t xml:space="preserve">FOCO H6 </t>
  </si>
  <si>
    <t>Martes 01 DE SEPTIEMBRE-26</t>
  </si>
  <si>
    <t>PIÑON  DE YBR125</t>
  </si>
  <si>
    <t>SEGURO DE PIÑON</t>
  </si>
  <si>
    <t>BALATA DE TAMBOR FT150 WAPEMEX</t>
  </si>
  <si>
    <t xml:space="preserve">PEDIDO WAPEMEX </t>
  </si>
  <si>
    <t>KID DE CILINDRO RT200</t>
  </si>
  <si>
    <t xml:space="preserve">BIRLOS DE FT150 </t>
  </si>
  <si>
    <t xml:space="preserve">BUJES DE PLASTICO UNIVERDAL </t>
  </si>
  <si>
    <t>FOCO H4 LED</t>
  </si>
  <si>
    <t xml:space="preserve">ARNES H4  </t>
  </si>
  <si>
    <t xml:space="preserve">MANGUERAQ DE GASOLINA </t>
  </si>
  <si>
    <t xml:space="preserve">GOOGLES BLANCOS </t>
  </si>
  <si>
    <t>SALPICADERA DLANTERA FT125</t>
  </si>
  <si>
    <t>RODILLOS DE CENTRIFUJO DS150 ALESIA</t>
  </si>
  <si>
    <t>CUENTA DE AYER $ 23276 MENOS $ 3486 DE PEDIDO WAPEMEX QUEDA $ 19790</t>
  </si>
  <si>
    <t>GOMAS DE SPROKET RC200</t>
  </si>
  <si>
    <t>MIRILLA SDE FRENO UNIVERSAL</t>
  </si>
  <si>
    <t>BALATA DE DISCO DS150 ALESIA</t>
  </si>
  <si>
    <t>CADENA 428X 136</t>
  </si>
  <si>
    <t>MANUBRIO DE 3 PIEZAS</t>
  </si>
  <si>
    <t xml:space="preserve">BOMBA DE FRENO TRASERA </t>
  </si>
  <si>
    <t>ACEITE AKRON</t>
  </si>
  <si>
    <t>BUJIA D8</t>
  </si>
  <si>
    <t>FILTRO DE GASOLINA CARTON</t>
  </si>
  <si>
    <t>FILTRO DE AIRE DM200</t>
  </si>
  <si>
    <t>FARO DE FT150 ALESSIA</t>
  </si>
  <si>
    <t>KID DEARRSTRE DE FT150</t>
  </si>
  <si>
    <t>ACEITE REPSOL</t>
  </si>
  <si>
    <t>ESPEJOS DE GTS175</t>
  </si>
  <si>
    <t>MANDO IZQUIERDO 125Z</t>
  </si>
  <si>
    <t xml:space="preserve">FILTRO DE AIRE WS150 </t>
  </si>
  <si>
    <t xml:space="preserve">POPOTE PARA RIND </t>
  </si>
  <si>
    <t>CABLE ROJO</t>
  </si>
  <si>
    <t xml:space="preserve">MANIJA IZQUIERDA FT150 CON BASE </t>
  </si>
  <si>
    <t>BUJIA C7</t>
  </si>
  <si>
    <t>PUÑOS ROJOS UNIVERSAL</t>
  </si>
  <si>
    <t>NOTA 3</t>
  </si>
  <si>
    <t>NOTA 4</t>
  </si>
  <si>
    <t xml:space="preserve">TOTAL </t>
  </si>
  <si>
    <t>CHICOTE DE FRENO DELANTERO WS150</t>
  </si>
  <si>
    <t>CUENTA DE AYER $ 19790 MENOS $ 3776 DE NOTA 3 Y NOTA 4 QUEDA $ 16014</t>
  </si>
  <si>
    <t>Jueves 03 DE SEPTIEMBRE-26</t>
  </si>
  <si>
    <t>Miercoles 02 DE SEPTIEMBRE-26</t>
  </si>
  <si>
    <t>KID DE CILINDRO DS150</t>
  </si>
  <si>
    <t>CABEZA DE CILINDRO DS150</t>
  </si>
  <si>
    <t>GUIAS DE CADENA DS150</t>
  </si>
  <si>
    <t>CADENA DISTRIBUCION DS150</t>
  </si>
  <si>
    <t>ACEITE DIKAL</t>
  </si>
  <si>
    <t>ACEITE MOTUL 7100 10W-40</t>
  </si>
  <si>
    <t xml:space="preserve">FILTRO DE ACEI YMAHA </t>
  </si>
  <si>
    <t xml:space="preserve">BALATA DE TAMBOR CHICO </t>
  </si>
  <si>
    <t>BUJIAS C9</t>
  </si>
  <si>
    <t>Viernes 04 DE SEPTIEMBRE-26</t>
  </si>
  <si>
    <t>P.OSCAR</t>
  </si>
  <si>
    <t>LUNES 31 DE AGOSTO-26</t>
  </si>
  <si>
    <t>P.WAPE</t>
  </si>
  <si>
    <t>MARTES 01 DE SEPTIEMBRE-26</t>
  </si>
  <si>
    <t>NOTA3</t>
  </si>
  <si>
    <t>MIERCOLES 02 DE SEPTIEMBRE-26</t>
  </si>
  <si>
    <t>PAGOYAS</t>
  </si>
  <si>
    <t>VIERNES 04 DE SEPTIEMBRE-26</t>
  </si>
  <si>
    <t>TOTAL DE EGRESO</t>
  </si>
  <si>
    <t>ESPEJOAS DE Z ALESSIA</t>
  </si>
  <si>
    <t xml:space="preserve">DIRECCIONAL UNIVERSAL </t>
  </si>
  <si>
    <t xml:space="preserve">TIRAS LED ROJAS </t>
  </si>
  <si>
    <t>CABLE NEGRO SUELTO</t>
  </si>
  <si>
    <t xml:space="preserve">FILTRO DE GASOLINA CARTON </t>
  </si>
  <si>
    <t xml:space="preserve">JUNTAS DE MOTOR FT180 </t>
  </si>
  <si>
    <t>MANIJA IZQUIERDA FT150</t>
  </si>
  <si>
    <t xml:space="preserve">FILTRO DE GASOLINA PIEDRA </t>
  </si>
  <si>
    <t xml:space="preserve">PUÑOS AZULES </t>
  </si>
  <si>
    <t>ACEITE YAMALUBE</t>
  </si>
  <si>
    <t xml:space="preserve">FABULOSO </t>
  </si>
  <si>
    <t>SEGURO DE CADENA 428</t>
  </si>
  <si>
    <t>PILA WAPEMEX 12N7-3B</t>
  </si>
  <si>
    <t xml:space="preserve">POSAPIE TRASERO 250Z ALESSIA </t>
  </si>
  <si>
    <t xml:space="preserve">POSAPIE DELANTERO 250Z ALESSIA </t>
  </si>
  <si>
    <t>TAZAS DE FT150</t>
  </si>
  <si>
    <t xml:space="preserve">CUENTA DE AYER $16014 MENOS $ 9 DE FABULOSO QUEDA $ 16005 </t>
  </si>
  <si>
    <t>BOMBA DE FRENO DE ATV 150</t>
  </si>
  <si>
    <t>BAYONETA DS150</t>
  </si>
  <si>
    <t xml:space="preserve">SEGURO MEGA </t>
  </si>
  <si>
    <t>EJE DELANTERO FT150</t>
  </si>
  <si>
    <t>BUJE POTENCIALIZADOR UNIVERSAL</t>
  </si>
  <si>
    <t>LLAVE DE GASOLINA DE FT150</t>
  </si>
  <si>
    <t>FOCO H4 HALOGENO</t>
  </si>
  <si>
    <t>REGULADOR DE 250Z WAPEMEX</t>
  </si>
  <si>
    <t>SLAIDER UNIVERSAL</t>
  </si>
  <si>
    <t>TOTAL</t>
  </si>
  <si>
    <t>FABULOSO</t>
  </si>
  <si>
    <t>JUEVES 03 DE SEPTIEMBRE</t>
  </si>
  <si>
    <r>
      <rPr>
        <b/>
        <sz val="14"/>
        <color theme="1"/>
        <rFont val="Calibri"/>
        <family val="2"/>
        <scheme val="minor"/>
      </rPr>
      <t>CORTES DE LA SEMANA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31 DE AGOSTO-26                $ 23516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$ 1357.5         MENOS  $9011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01 DE SEPTIEMBRE-26    $14505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$ 1721.5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02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$ 2715.5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03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$5400.5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04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$ 1194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TOTAL $ 12389
TOTAL EN CAJA $ 26894</t>
    </r>
  </si>
  <si>
    <t>Sabado 05 DE SEPTIEMBRE-26</t>
  </si>
  <si>
    <t xml:space="preserve">ACEITE DE TRASMISION </t>
  </si>
  <si>
    <t>OSCAR</t>
  </si>
  <si>
    <t>FILTRO DE ACEIT R15</t>
  </si>
  <si>
    <t>FILTRO DE ACEI RZ250</t>
  </si>
  <si>
    <t>GOMAS DE IMAPCTO RT200</t>
  </si>
  <si>
    <t>BALATA DE 250Z</t>
  </si>
  <si>
    <t>BUJIAS D8</t>
  </si>
  <si>
    <t xml:space="preserve">ANTICINGELANTE </t>
  </si>
  <si>
    <t>FILTROS DE GASOLINA CARTON</t>
  </si>
  <si>
    <t>BALATA DE DISCO DS150</t>
  </si>
  <si>
    <t>BALATA DE DISCO CROSMAX 250</t>
  </si>
  <si>
    <t>DIRECIONALES UNIVERSALES</t>
  </si>
  <si>
    <t xml:space="preserve">AORCADOR DE CLUTH UNIVERSAL </t>
  </si>
  <si>
    <t xml:space="preserve">RESORTE  ESCAPE </t>
  </si>
  <si>
    <t>BALATA DE TAMBOR DS150</t>
  </si>
  <si>
    <t>LUBRICANTE DE CADENA AXPRO</t>
  </si>
  <si>
    <t>FILTRO DE AIRE DE XR150</t>
  </si>
  <si>
    <t xml:space="preserve">DESENGRASANTE PARA CADENA </t>
  </si>
  <si>
    <t>DIRECCIONALES UNIVERSALES</t>
  </si>
  <si>
    <t>BUJIA C9</t>
  </si>
  <si>
    <t>DEPOSITO DE FRENO</t>
  </si>
  <si>
    <r>
      <t xml:space="preserve">CUENTA DE AYER $26894 MENOS $ 805 DE FOCO H4 QUEDA $26089
CUENTA DE HOY SABADO $ 1971MENOS $ 300 PAGO DE YAS QUEDA $1671 MAS LA CUENTA DE AYER $ 26089 
</t>
    </r>
    <r>
      <rPr>
        <b/>
        <sz val="26"/>
        <color theme="1"/>
        <rFont val="Calibri"/>
        <family val="2"/>
        <scheme val="minor"/>
      </rPr>
      <t xml:space="preserve">TOTAL EN CAJA $ 27760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</si>
</sst>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1357.5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18</v>
      </c>
      <c r="M4" s="23" t="s">
        <v>43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46270.799152314816</v>
      </c>
      <c r="C5">
        <f>IF(ISNUMBER(E5), IF(ISNUMBER(C4), C4+1, 1), "")</f>
        <v>1</v>
      </c>
      <c r="D5" t="s">
        <v>28</v>
      </c>
      <c r="E5">
        <v>1</v>
      </c>
      <c r="F5">
        <v>65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58.5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345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345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 t="shared" si="0"/>
        <v>3</v>
      </c>
      <c r="D7" t="s">
        <v>30</v>
      </c>
      <c r="E7">
        <v>1</v>
      </c>
      <c r="F7">
        <v>35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si="0"/>
        <v>4</v>
      </c>
      <c r="D8" t="s">
        <v>31</v>
      </c>
      <c r="E8">
        <v>1</v>
      </c>
      <c r="F8">
        <v>50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50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0"/>
        <v>5</v>
      </c>
      <c r="D9" t="s">
        <v>32</v>
      </c>
      <c r="E9">
        <v>4</v>
      </c>
      <c r="F9">
        <v>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20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0"/>
        <v>6</v>
      </c>
      <c r="D10" t="s">
        <v>33</v>
      </c>
      <c r="E10">
        <v>1</v>
      </c>
      <c r="F10">
        <v>65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65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0"/>
        <v>7</v>
      </c>
      <c r="D11" t="s">
        <v>34</v>
      </c>
      <c r="E11">
        <v>1</v>
      </c>
      <c r="F11">
        <v>42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0"/>
        <v>8</v>
      </c>
      <c r="D12" t="s">
        <v>35</v>
      </c>
      <c r="E12">
        <v>1</v>
      </c>
      <c r="F12">
        <v>15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0"/>
        <v>9</v>
      </c>
      <c r="D13" t="s">
        <v>36</v>
      </c>
      <c r="E13">
        <v>1</v>
      </c>
      <c r="F13">
        <v>64</v>
      </c>
      <c r="G13" t="s">
        <v>27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0"/>
        <v>10</v>
      </c>
      <c r="D14" t="s">
        <v>37</v>
      </c>
      <c r="E14">
        <v>1</v>
      </c>
      <c r="F14">
        <v>120</v>
      </c>
      <c r="G14" t="s">
        <v>27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108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0"/>
        <v>11</v>
      </c>
      <c r="D15" t="s">
        <v>38</v>
      </c>
      <c r="E15">
        <v>1</v>
      </c>
      <c r="F15">
        <v>70</v>
      </c>
      <c r="G15" t="s">
        <v>27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63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>
        <f t="shared" si="0"/>
        <v>12</v>
      </c>
      <c r="D16" t="s">
        <v>39</v>
      </c>
      <c r="E16">
        <v>1</v>
      </c>
      <c r="F16">
        <v>20</v>
      </c>
      <c r="G16" t="s">
        <v>27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18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>
        <f t="shared" si="0"/>
        <v>13</v>
      </c>
      <c r="D17" t="s">
        <v>40</v>
      </c>
      <c r="E17">
        <v>1</v>
      </c>
      <c r="F17">
        <v>40</v>
      </c>
      <c r="G17" t="s">
        <v>27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36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>
        <f t="shared" si="0"/>
        <v>14</v>
      </c>
      <c r="D18" t="s">
        <v>41</v>
      </c>
      <c r="E18">
        <v>1</v>
      </c>
      <c r="F18">
        <v>93</v>
      </c>
      <c r="G18" t="s">
        <v>27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84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>
        <f t="shared" si="0"/>
        <v>15</v>
      </c>
      <c r="D19" t="s">
        <v>32</v>
      </c>
      <c r="E19">
        <v>1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>
        <f t="shared" si="0"/>
        <v>16</v>
      </c>
      <c r="D20" t="s">
        <v>42</v>
      </c>
      <c r="E20">
        <v>1</v>
      </c>
      <c r="F20">
        <v>130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130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>
        <f t="shared" si="0"/>
        <v>17</v>
      </c>
      <c r="D21" t="s">
        <v>44</v>
      </c>
      <c r="E21">
        <v>1</v>
      </c>
      <c r="F21">
        <v>75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75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>
        <f t="shared" si="0"/>
        <v>18</v>
      </c>
      <c r="D22" t="s">
        <v>45</v>
      </c>
      <c r="E22">
        <v>1</v>
      </c>
      <c r="F22">
        <v>150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150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25</v>
      </c>
      <c r="N27" s="27"/>
      <c r="O27" s="30">
        <v>240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46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1721.5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3" t="s">
        <v>60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46270.799152314816</v>
      </c>
      <c r="C5">
        <f t="shared" ref="C5:C68" si="0">IF(ISNUMBER(E5), IF(ISNUMBER(C4), C4+1, 1), "")</f>
        <v>1</v>
      </c>
      <c r="D5" t="s">
        <v>47</v>
      </c>
      <c r="E5">
        <v>1</v>
      </c>
      <c r="F5">
        <v>34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34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si="0"/>
        <v>2</v>
      </c>
      <c r="D6" t="s">
        <v>48</v>
      </c>
      <c r="E6">
        <v>1</v>
      </c>
      <c r="F6">
        <v>15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 t="shared" si="0"/>
        <v>3</v>
      </c>
      <c r="D7" t="s">
        <v>49</v>
      </c>
      <c r="E7">
        <v>1</v>
      </c>
      <c r="F7">
        <v>70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70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si="0"/>
        <v>4</v>
      </c>
      <c r="D8" t="s">
        <v>51</v>
      </c>
      <c r="E8">
        <v>1</v>
      </c>
      <c r="F8">
        <v>754</v>
      </c>
      <c r="G8" t="s">
        <v>27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679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0"/>
        <v>5</v>
      </c>
      <c r="D9" t="s">
        <v>52</v>
      </c>
      <c r="E9">
        <v>1</v>
      </c>
      <c r="F9">
        <v>28</v>
      </c>
      <c r="G9" t="s">
        <v>27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25.5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0"/>
        <v>6</v>
      </c>
      <c r="D10" t="s">
        <v>53</v>
      </c>
      <c r="E10">
        <v>1</v>
      </c>
      <c r="F10">
        <v>20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18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0"/>
        <v>7</v>
      </c>
      <c r="D11" t="s">
        <v>54</v>
      </c>
      <c r="E11">
        <v>1</v>
      </c>
      <c r="F11">
        <v>150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0"/>
        <v>8</v>
      </c>
      <c r="D12" t="s">
        <v>54</v>
      </c>
      <c r="E12">
        <v>1</v>
      </c>
      <c r="F12">
        <v>150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150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0"/>
        <v>9</v>
      </c>
      <c r="D13" t="s">
        <v>55</v>
      </c>
      <c r="E13">
        <v>2</v>
      </c>
      <c r="F13">
        <v>24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48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0"/>
        <v>10</v>
      </c>
      <c r="D14" t="s">
        <v>56</v>
      </c>
      <c r="E14">
        <v>1</v>
      </c>
      <c r="F14">
        <v>30</v>
      </c>
      <c r="G14" t="s">
        <v>27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27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0"/>
        <v>11</v>
      </c>
      <c r="D15" t="s">
        <v>57</v>
      </c>
      <c r="E15">
        <v>1</v>
      </c>
      <c r="F15">
        <v>190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190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>
        <f t="shared" si="0"/>
        <v>12</v>
      </c>
      <c r="D16" t="s">
        <v>58</v>
      </c>
      <c r="E16">
        <v>1</v>
      </c>
      <c r="F16">
        <v>260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260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>
        <f t="shared" si="0"/>
        <v>13</v>
      </c>
      <c r="D17" t="s">
        <v>59</v>
      </c>
      <c r="E17">
        <v>1</v>
      </c>
      <c r="F17">
        <v>55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50</v>
      </c>
      <c r="N27" s="15">
        <v>3486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C2" sqref="C2:H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88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2715.5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26</v>
      </c>
      <c r="M4" s="23" t="s">
        <v>86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46270.799152314816</v>
      </c>
      <c r="C5">
        <f>IF(ISNUMBER(E5), IF(ISNUMBER(C4), C4+1, 1), "")</f>
        <v>1</v>
      </c>
      <c r="D5" t="s">
        <v>61</v>
      </c>
      <c r="E5">
        <v>1</v>
      </c>
      <c r="F5">
        <v>70</v>
      </c>
      <c r="G5" t="s">
        <v>27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63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ref="C6" si="0">IF(ISNUMBER(E6), IF(ISNUMBER(C5), C5+1, 1), "")</f>
        <v>2</v>
      </c>
      <c r="D6" t="s">
        <v>54</v>
      </c>
      <c r="E6">
        <v>1</v>
      </c>
      <c r="F6">
        <v>150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>IF(ISNUMBER(E7), IF(ISNUMBER(C6), C6+1, 1), "")</f>
        <v>3</v>
      </c>
      <c r="D7" t="s">
        <v>62</v>
      </c>
      <c r="E7">
        <v>1</v>
      </c>
      <c r="F7">
        <v>50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ref="C8:C68" si="1">IF(ISNUMBER(E8), IF(ISNUMBER(C7), C7+1, 1), "")</f>
        <v>4</v>
      </c>
      <c r="D8" t="s">
        <v>63</v>
      </c>
      <c r="E8">
        <v>1</v>
      </c>
      <c r="F8">
        <v>40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1"/>
        <v>5</v>
      </c>
      <c r="D9" t="s">
        <v>64</v>
      </c>
      <c r="E9">
        <v>1</v>
      </c>
      <c r="F9">
        <v>175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157.5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1"/>
        <v>6</v>
      </c>
      <c r="D10" t="s">
        <v>65</v>
      </c>
      <c r="E10">
        <v>1</v>
      </c>
      <c r="F10">
        <v>280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280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1"/>
        <v>7</v>
      </c>
      <c r="D11" t="s">
        <v>66</v>
      </c>
      <c r="E11">
        <v>1</v>
      </c>
      <c r="F11">
        <v>250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225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1"/>
        <v>8</v>
      </c>
      <c r="D12" t="s">
        <v>67</v>
      </c>
      <c r="E12">
        <v>1</v>
      </c>
      <c r="F12">
        <v>130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123.5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1"/>
        <v>9</v>
      </c>
      <c r="D13" t="s">
        <v>68</v>
      </c>
      <c r="E13">
        <v>1</v>
      </c>
      <c r="F13">
        <v>50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1"/>
        <v>10</v>
      </c>
      <c r="D14" t="s">
        <v>69</v>
      </c>
      <c r="E14">
        <v>1</v>
      </c>
      <c r="F14">
        <v>15</v>
      </c>
      <c r="G14" t="s">
        <v>27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13.5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1"/>
        <v>11</v>
      </c>
      <c r="D15" t="s">
        <v>70</v>
      </c>
      <c r="E15">
        <v>1</v>
      </c>
      <c r="F15">
        <v>71</v>
      </c>
      <c r="G15" t="s">
        <v>27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64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>
        <f t="shared" si="1"/>
        <v>12</v>
      </c>
      <c r="D16" t="s">
        <v>71</v>
      </c>
      <c r="E16">
        <v>1</v>
      </c>
      <c r="F16">
        <v>250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225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>
        <f t="shared" si="1"/>
        <v>13</v>
      </c>
      <c r="D17" t="s">
        <v>72</v>
      </c>
      <c r="E17">
        <v>1</v>
      </c>
      <c r="F17">
        <v>321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321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>
        <f t="shared" si="1"/>
        <v>14</v>
      </c>
      <c r="D18" t="s">
        <v>73</v>
      </c>
      <c r="E18">
        <v>1</v>
      </c>
      <c r="F18">
        <v>147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147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>
        <f t="shared" si="1"/>
        <v>15</v>
      </c>
      <c r="D19" t="s">
        <v>74</v>
      </c>
      <c r="E19">
        <v>1</v>
      </c>
      <c r="F19">
        <v>132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132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>
        <f t="shared" si="1"/>
        <v>16</v>
      </c>
      <c r="D20" t="s">
        <v>75</v>
      </c>
      <c r="E20">
        <v>1</v>
      </c>
      <c r="F20">
        <v>96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96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>
        <f t="shared" si="1"/>
        <v>17</v>
      </c>
      <c r="D21" t="s">
        <v>76</v>
      </c>
      <c r="E21">
        <v>1</v>
      </c>
      <c r="F21">
        <v>64</v>
      </c>
      <c r="G21" t="s">
        <v>27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58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>
        <f t="shared" si="1"/>
        <v>18</v>
      </c>
      <c r="D22" t="s">
        <v>77</v>
      </c>
      <c r="E22">
        <v>1</v>
      </c>
      <c r="F22">
        <v>70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70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78</v>
      </c>
      <c r="E23">
        <v>1</v>
      </c>
      <c r="F23">
        <v>14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14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78</v>
      </c>
      <c r="E24">
        <v>2</v>
      </c>
      <c r="F24">
        <v>14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28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>
        <f t="shared" si="1"/>
        <v>21</v>
      </c>
      <c r="D25" t="s">
        <v>79</v>
      </c>
      <c r="E25">
        <v>1</v>
      </c>
      <c r="F25">
        <v>87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87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1"/>
        <v>22</v>
      </c>
      <c r="D26" t="s">
        <v>80</v>
      </c>
      <c r="E26">
        <v>1</v>
      </c>
      <c r="F26">
        <v>50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50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>
        <f t="shared" si="1"/>
        <v>23</v>
      </c>
      <c r="D27" t="s">
        <v>73</v>
      </c>
      <c r="E27">
        <v>1</v>
      </c>
      <c r="F27">
        <v>147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147</v>
      </c>
      <c r="M27" s="13" t="s">
        <v>82</v>
      </c>
      <c r="N27" s="15">
        <v>1906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>
        <f t="shared" si="1"/>
        <v>24</v>
      </c>
      <c r="D28" t="s">
        <v>81</v>
      </c>
      <c r="E28">
        <v>1</v>
      </c>
      <c r="F28">
        <v>85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85</v>
      </c>
      <c r="M28" s="13" t="s">
        <v>83</v>
      </c>
      <c r="N28" s="15">
        <v>1870</v>
      </c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>
        <f t="shared" si="1"/>
        <v>25</v>
      </c>
      <c r="D29" t="s">
        <v>85</v>
      </c>
      <c r="E29">
        <v>1</v>
      </c>
      <c r="F29">
        <v>58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58</v>
      </c>
      <c r="M29" s="13" t="s">
        <v>84</v>
      </c>
      <c r="N29" s="15">
        <v>3776</v>
      </c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>
        <f t="shared" si="1"/>
        <v>26</v>
      </c>
      <c r="D30" t="s">
        <v>32</v>
      </c>
      <c r="E30">
        <v>2</v>
      </c>
      <c r="F30">
        <v>5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10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39" sqref="D3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87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5400.5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34</v>
      </c>
      <c r="M4" s="23" t="s">
        <v>124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46270.799152314816</v>
      </c>
      <c r="C5">
        <f t="shared" ref="C5:C68" si="0">IF(ISNUMBER(E5), IF(ISNUMBER(C4), C4+1, 1), "")</f>
        <v>1</v>
      </c>
      <c r="D5" t="s">
        <v>89</v>
      </c>
      <c r="E5">
        <v>1</v>
      </c>
      <c r="F5">
        <v>480</v>
      </c>
      <c r="G5" t="s">
        <v>27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432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si="0"/>
        <v>2</v>
      </c>
      <c r="D6" t="s">
        <v>90</v>
      </c>
      <c r="E6">
        <v>1</v>
      </c>
      <c r="F6">
        <v>525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472.5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 t="shared" si="0"/>
        <v>3</v>
      </c>
      <c r="D7" t="s">
        <v>91</v>
      </c>
      <c r="E7">
        <v>1</v>
      </c>
      <c r="F7">
        <v>50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si="0"/>
        <v>4</v>
      </c>
      <c r="D8" t="s">
        <v>92</v>
      </c>
      <c r="E8">
        <v>1</v>
      </c>
      <c r="F8">
        <v>75</v>
      </c>
      <c r="G8" t="s">
        <v>27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67.5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0"/>
        <v>5</v>
      </c>
      <c r="D9" t="s">
        <v>93</v>
      </c>
      <c r="E9">
        <v>1</v>
      </c>
      <c r="F9">
        <v>95</v>
      </c>
      <c r="G9" t="s">
        <v>27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90.5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0"/>
        <v>6</v>
      </c>
      <c r="D10" t="s">
        <v>94</v>
      </c>
      <c r="E10">
        <v>4</v>
      </c>
      <c r="F10">
        <v>320</v>
      </c>
      <c r="G10" t="s">
        <v>27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1216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0"/>
        <v>7</v>
      </c>
      <c r="D11" t="s">
        <v>95</v>
      </c>
      <c r="E11">
        <v>1</v>
      </c>
      <c r="F11">
        <v>280</v>
      </c>
      <c r="G11" t="s">
        <v>27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252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0"/>
        <v>8</v>
      </c>
      <c r="D12" t="s">
        <v>96</v>
      </c>
      <c r="E12">
        <v>1</v>
      </c>
      <c r="F12">
        <v>65</v>
      </c>
      <c r="G12" t="s">
        <v>27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58.5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0"/>
        <v>9</v>
      </c>
      <c r="D13" t="s">
        <v>97</v>
      </c>
      <c r="E13">
        <v>4</v>
      </c>
      <c r="F13">
        <v>50</v>
      </c>
      <c r="G13" t="s">
        <v>27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180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0"/>
        <v>10</v>
      </c>
      <c r="D14" t="s">
        <v>108</v>
      </c>
      <c r="E14">
        <v>1</v>
      </c>
      <c r="F14">
        <v>130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130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0"/>
        <v>11</v>
      </c>
      <c r="D15" t="s">
        <v>109</v>
      </c>
      <c r="E15">
        <v>1</v>
      </c>
      <c r="F15">
        <v>100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100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>
        <f t="shared" si="0"/>
        <v>12</v>
      </c>
      <c r="D16" t="s">
        <v>110</v>
      </c>
      <c r="E16">
        <v>2</v>
      </c>
      <c r="F16">
        <v>15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30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>
        <f t="shared" si="0"/>
        <v>13</v>
      </c>
      <c r="D17" t="s">
        <v>111</v>
      </c>
      <c r="E17">
        <v>2</v>
      </c>
      <c r="F17">
        <v>12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24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>
        <f t="shared" si="0"/>
        <v>14</v>
      </c>
      <c r="D18" t="s">
        <v>73</v>
      </c>
      <c r="E18">
        <v>1</v>
      </c>
      <c r="F18">
        <v>147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147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>
        <f t="shared" si="0"/>
        <v>15</v>
      </c>
      <c r="D19" t="s">
        <v>42</v>
      </c>
      <c r="E19">
        <v>1</v>
      </c>
      <c r="F19">
        <v>130</v>
      </c>
      <c r="G19" t="s">
        <v>27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123.5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>
        <f t="shared" si="0"/>
        <v>16</v>
      </c>
      <c r="D20" t="s">
        <v>68</v>
      </c>
      <c r="E20">
        <v>1</v>
      </c>
      <c r="F20">
        <v>50</v>
      </c>
      <c r="G20" t="s">
        <v>27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45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>
        <f t="shared" si="0"/>
        <v>17</v>
      </c>
      <c r="D21" t="s">
        <v>112</v>
      </c>
      <c r="E21">
        <v>1</v>
      </c>
      <c r="F21">
        <v>15</v>
      </c>
      <c r="G21" t="s">
        <v>27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13.5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>
        <f t="shared" si="0"/>
        <v>18</v>
      </c>
      <c r="D22" t="s">
        <v>70</v>
      </c>
      <c r="E22">
        <v>1</v>
      </c>
      <c r="F22">
        <v>71</v>
      </c>
      <c r="G22" t="s">
        <v>27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64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113</v>
      </c>
      <c r="E23">
        <v>1</v>
      </c>
      <c r="F23">
        <v>130</v>
      </c>
      <c r="G23" t="s">
        <v>27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117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93</v>
      </c>
      <c r="E24">
        <v>1</v>
      </c>
      <c r="F24">
        <v>95</v>
      </c>
      <c r="G24" t="s">
        <v>27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90.5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115</v>
      </c>
      <c r="E25">
        <v>1</v>
      </c>
      <c r="F25">
        <v>20</v>
      </c>
      <c r="G25" t="s">
        <v>27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18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36</v>
      </c>
      <c r="E26">
        <v>1</v>
      </c>
      <c r="F26">
        <v>64</v>
      </c>
      <c r="G26" t="s">
        <v>27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58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114</v>
      </c>
      <c r="E27">
        <v>1</v>
      </c>
      <c r="F27">
        <v>87</v>
      </c>
      <c r="G27" t="s">
        <v>27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78.5</v>
      </c>
      <c r="M27" s="13" t="s">
        <v>118</v>
      </c>
      <c r="N27" s="15">
        <v>9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80</v>
      </c>
      <c r="E28">
        <v>1</v>
      </c>
      <c r="F28">
        <v>50</v>
      </c>
      <c r="G28" t="s">
        <v>27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45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123</v>
      </c>
      <c r="E29">
        <v>1</v>
      </c>
      <c r="F29">
        <v>59</v>
      </c>
      <c r="G29" t="s">
        <v>27</v>
      </c>
      <c r="H29" s="5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>53.5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32</v>
      </c>
      <c r="E30">
        <v>2</v>
      </c>
      <c r="F30">
        <v>5</v>
      </c>
      <c r="H30" s="5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>10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32</v>
      </c>
      <c r="E31">
        <v>1</v>
      </c>
      <c r="F31">
        <v>5</v>
      </c>
      <c r="H31" s="5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>5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116</v>
      </c>
      <c r="E32">
        <v>1</v>
      </c>
      <c r="F32">
        <v>85</v>
      </c>
      <c r="H32" s="5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>85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36</v>
      </c>
      <c r="E33">
        <v>1</v>
      </c>
      <c r="F33">
        <v>64</v>
      </c>
      <c r="H33" s="5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>64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117</v>
      </c>
      <c r="E34">
        <v>1</v>
      </c>
      <c r="F34">
        <v>150</v>
      </c>
      <c r="H34" s="5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>150</v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119</v>
      </c>
      <c r="E35">
        <v>1</v>
      </c>
      <c r="F35">
        <v>28</v>
      </c>
      <c r="H35" s="5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>28</v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120</v>
      </c>
      <c r="E36">
        <v>1</v>
      </c>
      <c r="F36">
        <v>460</v>
      </c>
      <c r="H36" s="5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>460</v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121</v>
      </c>
      <c r="E37">
        <v>1</v>
      </c>
      <c r="F37">
        <v>307</v>
      </c>
      <c r="H37" s="5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>307</v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>
        <f t="shared" si="0"/>
        <v>34</v>
      </c>
      <c r="D38" t="s">
        <v>122</v>
      </c>
      <c r="E38">
        <v>1</v>
      </c>
      <c r="F38">
        <v>340</v>
      </c>
      <c r="H38" s="5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>340</v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1194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23" t="s">
        <v>137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46270.799152314816</v>
      </c>
      <c r="C5">
        <f t="shared" ref="C5:C68" si="0">IF(ISNUMBER(E5), IF(ISNUMBER(C4), C4+1, 1), "")</f>
        <v>1</v>
      </c>
      <c r="D5" t="s">
        <v>117</v>
      </c>
      <c r="E5">
        <v>1</v>
      </c>
      <c r="F5">
        <v>150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142.5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si="0"/>
        <v>2</v>
      </c>
      <c r="D6" t="s">
        <v>125</v>
      </c>
      <c r="E6">
        <v>1</v>
      </c>
      <c r="F6">
        <v>400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360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 t="shared" si="0"/>
        <v>3</v>
      </c>
      <c r="D7" t="s">
        <v>126</v>
      </c>
      <c r="E7">
        <v>1</v>
      </c>
      <c r="F7">
        <v>20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si="0"/>
        <v>4</v>
      </c>
      <c r="D8" t="s">
        <v>128</v>
      </c>
      <c r="E8">
        <v>1</v>
      </c>
      <c r="F8">
        <v>30</v>
      </c>
      <c r="G8" t="s">
        <v>27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27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0"/>
        <v>5</v>
      </c>
      <c r="D9" t="s">
        <v>127</v>
      </c>
      <c r="E9">
        <v>1</v>
      </c>
      <c r="F9">
        <v>10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9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0"/>
        <v>6</v>
      </c>
      <c r="D10" t="s">
        <v>129</v>
      </c>
      <c r="E10">
        <v>1</v>
      </c>
      <c r="F10">
        <v>30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30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0"/>
        <v>7</v>
      </c>
      <c r="D11" t="s">
        <v>130</v>
      </c>
      <c r="E11">
        <v>1</v>
      </c>
      <c r="F11">
        <v>80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80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0"/>
        <v>8</v>
      </c>
      <c r="D12" t="s">
        <v>131</v>
      </c>
      <c r="E12">
        <v>1</v>
      </c>
      <c r="F12">
        <v>40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40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0"/>
        <v>9</v>
      </c>
      <c r="D13" t="s">
        <v>80</v>
      </c>
      <c r="E13">
        <v>1</v>
      </c>
      <c r="F13">
        <v>50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0"/>
        <v>10</v>
      </c>
      <c r="D14" t="s">
        <v>132</v>
      </c>
      <c r="E14">
        <v>1</v>
      </c>
      <c r="F14">
        <v>169</v>
      </c>
      <c r="G14" t="s">
        <v>27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152.5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0"/>
        <v>11</v>
      </c>
      <c r="D15" t="s">
        <v>133</v>
      </c>
      <c r="E15">
        <v>1</v>
      </c>
      <c r="F15">
        <v>320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288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99</v>
      </c>
      <c r="N27" s="15">
        <v>240</v>
      </c>
      <c r="O27" s="40" t="s">
        <v>100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101</v>
      </c>
      <c r="N28" s="15">
        <v>3486</v>
      </c>
      <c r="O28" s="40" t="s">
        <v>102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103</v>
      </c>
      <c r="N29" s="15">
        <v>1906</v>
      </c>
      <c r="O29" s="40" t="s">
        <v>104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83</v>
      </c>
      <c r="N30" s="15">
        <v>1870</v>
      </c>
      <c r="O30" s="40" t="s">
        <v>104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135</v>
      </c>
      <c r="N31" s="15">
        <v>9</v>
      </c>
      <c r="O31" s="40" t="s">
        <v>136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105</v>
      </c>
      <c r="N32" s="15">
        <v>1500</v>
      </c>
      <c r="O32" s="40" t="s">
        <v>106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134</v>
      </c>
      <c r="N33" s="15">
        <v>9011</v>
      </c>
      <c r="O33" s="40" t="s">
        <v>107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1" sqref="D3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138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1971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26</v>
      </c>
      <c r="M4" s="23" t="s">
        <v>160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46270.799152314816</v>
      </c>
      <c r="C5">
        <f t="shared" ref="C5:C68" si="0">IF(ISNUMBER(E5), IF(ISNUMBER(C4), C4+1, 1), "")</f>
        <v>1</v>
      </c>
      <c r="D5" t="s">
        <v>139</v>
      </c>
      <c r="E5">
        <v>1</v>
      </c>
      <c r="F5">
        <v>55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55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>
        <f t="shared" si="0"/>
        <v>2</v>
      </c>
      <c r="D6" t="s">
        <v>141</v>
      </c>
      <c r="E6">
        <v>1</v>
      </c>
      <c r="F6">
        <v>90</v>
      </c>
      <c r="G6" t="s">
        <v>27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81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>
        <f t="shared" si="0"/>
        <v>3</v>
      </c>
      <c r="D7" t="s">
        <v>142</v>
      </c>
      <c r="E7">
        <v>1</v>
      </c>
      <c r="F7">
        <v>50</v>
      </c>
      <c r="G7" t="s">
        <v>27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>
        <f t="shared" si="0"/>
        <v>4</v>
      </c>
      <c r="D8" t="s">
        <v>143</v>
      </c>
      <c r="E8">
        <v>1</v>
      </c>
      <c r="F8">
        <v>70</v>
      </c>
      <c r="G8" t="s">
        <v>27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>
        <f t="shared" si="0"/>
        <v>5</v>
      </c>
      <c r="D9" t="s">
        <v>144</v>
      </c>
      <c r="E9">
        <v>1</v>
      </c>
      <c r="F9">
        <v>70</v>
      </c>
      <c r="G9" t="s">
        <v>27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63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>
        <f t="shared" si="0"/>
        <v>6</v>
      </c>
      <c r="D10" t="s">
        <v>67</v>
      </c>
      <c r="E10">
        <v>2</v>
      </c>
      <c r="F10">
        <v>130</v>
      </c>
      <c r="G10" t="s">
        <v>27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247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>
        <f t="shared" si="0"/>
        <v>7</v>
      </c>
      <c r="D11" t="s">
        <v>70</v>
      </c>
      <c r="E11">
        <v>1</v>
      </c>
      <c r="F11">
        <v>71</v>
      </c>
      <c r="G11" t="s">
        <v>27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64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>
        <f t="shared" si="0"/>
        <v>8</v>
      </c>
      <c r="D12" t="s">
        <v>70</v>
      </c>
      <c r="E12">
        <v>1</v>
      </c>
      <c r="F12">
        <v>71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64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>
        <f t="shared" si="0"/>
        <v>9</v>
      </c>
      <c r="D13" t="s">
        <v>145</v>
      </c>
      <c r="E13">
        <v>2</v>
      </c>
      <c r="F13">
        <v>50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>
        <f t="shared" si="0"/>
        <v>10</v>
      </c>
      <c r="D14" t="s">
        <v>146</v>
      </c>
      <c r="E14">
        <v>2</v>
      </c>
      <c r="F14">
        <v>55</v>
      </c>
      <c r="G14" t="s">
        <v>27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99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>
        <f t="shared" si="0"/>
        <v>11</v>
      </c>
      <c r="D15" t="s">
        <v>147</v>
      </c>
      <c r="E15">
        <v>2</v>
      </c>
      <c r="F15">
        <v>15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27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>
        <f t="shared" si="0"/>
        <v>12</v>
      </c>
      <c r="D16" t="s">
        <v>148</v>
      </c>
      <c r="E16">
        <v>1</v>
      </c>
      <c r="F16">
        <v>40</v>
      </c>
      <c r="G16" t="s">
        <v>27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36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>
        <f t="shared" si="0"/>
        <v>13</v>
      </c>
      <c r="D17" t="s">
        <v>149</v>
      </c>
      <c r="E17">
        <v>1</v>
      </c>
      <c r="F17">
        <v>35</v>
      </c>
      <c r="G17" t="s">
        <v>27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31.5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>
        <f t="shared" si="0"/>
        <v>14</v>
      </c>
      <c r="D18" t="s">
        <v>150</v>
      </c>
      <c r="E18">
        <v>1</v>
      </c>
      <c r="F18">
        <v>95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95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>
        <f t="shared" si="0"/>
        <v>15</v>
      </c>
      <c r="D19" t="s">
        <v>151</v>
      </c>
      <c r="E19">
        <v>2</v>
      </c>
      <c r="F19">
        <v>5</v>
      </c>
      <c r="G19" t="s">
        <v>27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9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>
        <f t="shared" si="0"/>
        <v>16</v>
      </c>
      <c r="D20" t="s">
        <v>152</v>
      </c>
      <c r="E20">
        <v>1</v>
      </c>
      <c r="F20">
        <v>10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>
        <f t="shared" si="0"/>
        <v>17</v>
      </c>
      <c r="D21" t="s">
        <v>114</v>
      </c>
      <c r="E21">
        <v>1</v>
      </c>
      <c r="F21">
        <v>45</v>
      </c>
      <c r="G21" t="s">
        <v>27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40.5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>
        <f t="shared" si="0"/>
        <v>18</v>
      </c>
      <c r="D22" t="s">
        <v>153</v>
      </c>
      <c r="E22">
        <v>1</v>
      </c>
      <c r="F22">
        <v>75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75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154</v>
      </c>
      <c r="E23">
        <v>1</v>
      </c>
      <c r="F23">
        <v>125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125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155</v>
      </c>
      <c r="E24">
        <v>1</v>
      </c>
      <c r="F24">
        <v>79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79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156</v>
      </c>
      <c r="E25">
        <v>1</v>
      </c>
      <c r="F25">
        <v>68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68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157</v>
      </c>
      <c r="E26">
        <v>1</v>
      </c>
      <c r="F26">
        <v>95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95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158</v>
      </c>
      <c r="E27">
        <v>1</v>
      </c>
      <c r="F27">
        <v>50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50</v>
      </c>
      <c r="M27" s="13" t="s">
        <v>140</v>
      </c>
      <c r="N27" s="15">
        <v>805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54</v>
      </c>
      <c r="E28">
        <v>1</v>
      </c>
      <c r="F28">
        <v>150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150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159</v>
      </c>
      <c r="E29">
        <v>1</v>
      </c>
      <c r="F29">
        <v>95</v>
      </c>
      <c r="G29" t="s">
        <v>27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85.5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42</v>
      </c>
      <c r="E30">
        <v>1</v>
      </c>
      <c r="F30">
        <v>130</v>
      </c>
      <c r="G30" t="s">
        <v>27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123.5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46270.799152314816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46270.799152314816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46270.799152314816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46270.799152314816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46270.799152314816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46270.799152314816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46270.799152314816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46270.799152314816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46270.799152314816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46270.799152314816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46270.799152314816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46270.799152314816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46270.799152314816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46270.799152314816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46270.799152314816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46270.799152314816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46270.799152314816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31-08-26</vt:lpstr>
      <vt:lpstr>Martes 01-09-26</vt:lpstr>
      <vt:lpstr>Miercoles 02-09-26</vt:lpstr>
      <vt:lpstr>Jueves 03-09-26</vt:lpstr>
      <vt:lpstr>Viernes 04-09-26</vt:lpstr>
      <vt:lpstr>Sabado 05-09-26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2026-09-06T01:17:20Z</dcterms:modified>
</cp:coreProperties>
</file>