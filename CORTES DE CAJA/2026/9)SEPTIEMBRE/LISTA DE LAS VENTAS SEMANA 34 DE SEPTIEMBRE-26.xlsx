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13EBA0C-345F-4945-8A52-C935D7F3470E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4-09-26 " sheetId="1" r:id="rId1"/>
    <sheet name="Martes 15-09-26" sheetId="2" r:id="rId2"/>
    <sheet name="Miercoles" sheetId="3" r:id="rId3"/>
    <sheet name="Jueves 17-09-26" sheetId="4" r:id="rId4"/>
    <sheet name="VIERNES 18 -09-26" sheetId="5" r:id="rId5"/>
    <sheet name="Sabado 19-09-26" sheetId="6" r:id="rId6"/>
    <sheet name="Domingo" sheetId="8" r:id="rId7"/>
    <sheet name="Cambios" sheetId="7" r:id="rId8"/>
  </sheets>
  <definedNames>
    <definedName name="_xlnm._FilterDatabase" localSheetId="0" hidden="1">'Lunes 14-09-26 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1" i="2"/>
  <c r="C22" i="2" s="1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9" i="1"/>
  <c r="K3" i="1"/>
  <c r="B10" i="2" l="1"/>
  <c r="C11" i="1"/>
  <c r="B10" i="1"/>
  <c r="B10" i="6"/>
  <c r="B10" i="8"/>
  <c r="B10" i="5"/>
  <c r="B10" i="3"/>
  <c r="B10" i="4"/>
  <c r="B11" i="2" l="1"/>
  <c r="C12" i="1"/>
  <c r="B11" i="3"/>
  <c r="B11" i="4"/>
  <c r="B11" i="5"/>
  <c r="B11" i="1"/>
  <c r="B11" i="6"/>
  <c r="B11" i="8"/>
  <c r="B12" i="2" l="1"/>
  <c r="C13" i="1"/>
  <c r="B12" i="6"/>
  <c r="B12" i="1"/>
  <c r="B12" i="3"/>
  <c r="B12" i="8"/>
  <c r="B12" i="4"/>
  <c r="B12" i="5"/>
  <c r="B13" i="2" l="1"/>
  <c r="C14" i="1"/>
  <c r="B13" i="1"/>
  <c r="B13" i="3"/>
  <c r="B13" i="6"/>
  <c r="B13" i="5"/>
  <c r="B13" i="4"/>
  <c r="B13" i="8"/>
  <c r="B14" i="2" l="1"/>
  <c r="B14" i="3"/>
  <c r="B14" i="6"/>
  <c r="B14" i="1"/>
  <c r="B14" i="4"/>
  <c r="B14" i="5"/>
  <c r="B14" i="8"/>
  <c r="K4" i="1"/>
</calcChain>
</file>

<file path=xl/sharedStrings.xml><?xml version="1.0" encoding="utf-8"?>
<sst xmlns="http://schemas.openxmlformats.org/spreadsheetml/2006/main" count="326" uniqueCount="147">
  <si>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</si>
  <si>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</si>
  <si>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</si>
  <si>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</si>
  <si>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</si>
  <si>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</si>
  <si>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</si>
  <si>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</si>
  <si>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Miercoles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</si>
  <si>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</si>
  <si>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</si>
  <si>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</si>
  <si>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</si>
  <si>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</si>
  <si>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</si>
  <si>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</si>
  <si>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</si>
  <si>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</si>
  <si>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</si>
  <si>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</si>
  <si>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</si>
  <si>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</si>
  <si>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</si>
  <si>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</si>
  <si>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</si>
  <si>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</si>
  <si>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14 DE SEMPTIEMBRE-26</t>
  </si>
  <si>
    <t>LLANTA 3.00.18</t>
  </si>
  <si>
    <t>X</t>
  </si>
  <si>
    <t>CAMARA 3.00.18</t>
  </si>
  <si>
    <t>RED DE CASCO AZUL</t>
  </si>
  <si>
    <t>DISCO DE FRENO DE ATV150 ITALIKA</t>
  </si>
  <si>
    <t>LUNA PARADOR FT125</t>
  </si>
  <si>
    <t>POSAPIE ROJO CON NEGRO</t>
  </si>
  <si>
    <t xml:space="preserve">TORNILLO </t>
  </si>
  <si>
    <t>BIRLOS DE MASA FT125 WINMEX</t>
  </si>
  <si>
    <t xml:space="preserve">JUNTA DE FT150 </t>
  </si>
  <si>
    <t>JABON Y FABULOSO</t>
  </si>
  <si>
    <t>STIKER</t>
  </si>
  <si>
    <t>DISCO TRASERO 250Z</t>
  </si>
  <si>
    <t>KIT DE ARRASSTRE 200Z</t>
  </si>
  <si>
    <t xml:space="preserve">TERMINAL DE BACTERIA </t>
  </si>
  <si>
    <t>BUJIA C7</t>
  </si>
  <si>
    <t xml:space="preserve">ACEITE AKRON </t>
  </si>
  <si>
    <t>TAPON DE DSW150</t>
  </si>
  <si>
    <t>VALVULA DE FZ16</t>
  </si>
  <si>
    <t>FILTRO DE ACEITE YAMAHA</t>
  </si>
  <si>
    <t xml:space="preserve">TOTAL </t>
  </si>
  <si>
    <t xml:space="preserve">CUENTA DE SEMANA PASADA $ 30680 MENOS $ 1266 DE JABON Y FABULOSO Y ACEITE AKRON QUEDA $ 29414 </t>
  </si>
  <si>
    <t>ACEITE DIKA SEMISINTETICO</t>
  </si>
  <si>
    <t>RED DE ACIENFTO DSXL</t>
  </si>
  <si>
    <t>PUÑOS NEGROS UNIVERSAL</t>
  </si>
  <si>
    <t>Martes 15 DE SEPTIEMBRE-26</t>
  </si>
  <si>
    <t>ALESSIA</t>
  </si>
  <si>
    <t>x</t>
  </si>
  <si>
    <t>BUJIA D8</t>
  </si>
  <si>
    <t>BALAAT DE DS150 TAMBOR</t>
  </si>
  <si>
    <t>TERMINAL DE BACTERIA</t>
  </si>
  <si>
    <t>JUNTAS DE FZ16</t>
  </si>
  <si>
    <t>BALATA DE DISCO ATV150</t>
  </si>
  <si>
    <t>BUJIA C9</t>
  </si>
  <si>
    <t>FILTRO DE ACEIT GNS125</t>
  </si>
  <si>
    <t>FILTRO DE AIRE DE ZUZUKI GISEER</t>
  </si>
  <si>
    <t xml:space="preserve">ESPEJOS DE MOTONETA </t>
  </si>
  <si>
    <t>ACEITE MOTUL 710010W-40</t>
  </si>
  <si>
    <t>SEGURO DE PIÑON</t>
  </si>
  <si>
    <t xml:space="preserve">POSAPIE UNIVERSAL </t>
  </si>
  <si>
    <t>P.NASAKI</t>
  </si>
  <si>
    <t>ESPEJO DE 250Z</t>
  </si>
  <si>
    <t>ACEITE AKRON</t>
  </si>
  <si>
    <t xml:space="preserve">FILTRO DE GASOLINA CARTON </t>
  </si>
  <si>
    <t>TOTAL</t>
  </si>
  <si>
    <t>CUENTA DE SEMANA PASADA $29414 MENOS $ 9509 DE PEDIDOD DE ALESSIA Y NASAKI QUEDA $ 19905</t>
  </si>
  <si>
    <t>Jueves 17 DE AGOSTO-26</t>
  </si>
  <si>
    <t>Viernes 18 DE SEPTIEMBRE -26</t>
  </si>
  <si>
    <t xml:space="preserve">PILA 12N73B  ALESSIA </t>
  </si>
  <si>
    <t>CAPUCHON DE BUJIA DS150</t>
  </si>
  <si>
    <t xml:space="preserve">PILA 6.5 DE YOG </t>
  </si>
  <si>
    <t>POPOTE DE RING AMARILLO</t>
  </si>
  <si>
    <t>BALATA DE DISCO DS150</t>
  </si>
  <si>
    <t>BALERO 6004</t>
  </si>
  <si>
    <t>RETEN DE MOTRO DS150</t>
  </si>
  <si>
    <t>LLANTA 130-60-13</t>
  </si>
  <si>
    <t>JABON</t>
  </si>
  <si>
    <t>LUNES 14 DE SEPTIEMBRE-26</t>
  </si>
  <si>
    <t>AKRON</t>
  </si>
  <si>
    <t>MARTES 15 DE SEPTIEMBRE-26</t>
  </si>
  <si>
    <t xml:space="preserve">RENTA </t>
  </si>
  <si>
    <t>JUEVES 17 DE SEPTIEMBRE-26</t>
  </si>
  <si>
    <t>VIERNES 18 DE SEPTIEMBRE-26</t>
  </si>
  <si>
    <t>DIKAL</t>
  </si>
  <si>
    <t xml:space="preserve">SWUITH UNIVERSAL </t>
  </si>
  <si>
    <t xml:space="preserve">FUSIBLE </t>
  </si>
  <si>
    <t>BALERO 6202</t>
  </si>
  <si>
    <t>GOMAS DE IMPACTO FT150</t>
  </si>
  <si>
    <t>PORTA FUSIBLE</t>
  </si>
  <si>
    <t>CABLE SUELTO</t>
  </si>
  <si>
    <t xml:space="preserve">FILTRO DE GASOLINA PIEDRA </t>
  </si>
  <si>
    <t>SELLOS DE ESCAPE DS150</t>
  </si>
  <si>
    <t>BIRLOS DE FT150</t>
  </si>
  <si>
    <t>BUJES DE SPROYK</t>
  </si>
  <si>
    <t>SELLO DE ESCAPE ASBESTO</t>
  </si>
  <si>
    <t>FOCO H4 LED</t>
  </si>
  <si>
    <t xml:space="preserve">HARNES H4 </t>
  </si>
  <si>
    <t xml:space="preserve">FOCO DE STOP </t>
  </si>
  <si>
    <t>RENTA</t>
  </si>
  <si>
    <t xml:space="preserve">CUENTA DEL MARTES $19905 MENOS $ 3505 DE PEDIDO DIKAL Y RENTA Y INTERNET QUEDA $ 16400 </t>
  </si>
  <si>
    <t xml:space="preserve">CABEZA DE CILINDRO </t>
  </si>
  <si>
    <t>GUIAS DE CADENA DS150</t>
  </si>
  <si>
    <t>CADENA DE BOMBA DE DS150</t>
  </si>
  <si>
    <t>CADENA DE DISTRIBUCION DS150</t>
  </si>
  <si>
    <t>ANILLOS DE DS150</t>
  </si>
  <si>
    <t>VIERNES 18 DE SEPTIEMBRE -26</t>
  </si>
  <si>
    <t>BALATA DE DISCO FT150 ITALIKA</t>
  </si>
  <si>
    <t>GOMAS DE IMPACTO FT150 ITALIKA</t>
  </si>
  <si>
    <t>PGOYAS</t>
  </si>
  <si>
    <t xml:space="preserve">PINTURA </t>
  </si>
  <si>
    <t xml:space="preserve">TOTAL DE EGRESOS </t>
  </si>
  <si>
    <t>ALBAÑIL</t>
  </si>
  <si>
    <t>CHICOTE DE ACELERADOR WS150</t>
  </si>
  <si>
    <t>JUNTA DE CARTEL DS150</t>
  </si>
  <si>
    <t xml:space="preserve">TAPON DE INSPECION </t>
  </si>
  <si>
    <t xml:space="preserve">ACEITE DIKAL </t>
  </si>
  <si>
    <t xml:space="preserve">CORTDOR DE CADENA </t>
  </si>
  <si>
    <t>GOMA DE PARADOR WS150</t>
  </si>
  <si>
    <t>SELLO D EESCAPE FT150</t>
  </si>
  <si>
    <t>BUJE SEPARADOR DM200</t>
  </si>
  <si>
    <r>
      <rPr>
        <b/>
        <sz val="14"/>
        <color theme="1"/>
        <rFont val="Calibri"/>
        <family val="2"/>
        <scheme val="minor"/>
      </rPr>
      <t xml:space="preserve">CORTES DE LA SEMANA  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14 DE SEPTIEMBRE-26           $30680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VENTA$ 3244.5             MENOS $22480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15 DE SE[TIEMBRE-26        $8200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$ 3458.5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16 DE SEPTIEMBRE-26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$ 000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17 DE SEPTIEMBRE-26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$873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18 DE SEPTIEMBRE 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$1347.5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 xml:space="preserve">TOTAL $ 8923.5 
TOTAL EN CAJA $17123.5 </t>
    </r>
  </si>
  <si>
    <t>Sabado 19 DE SEPTIEMBRE-26</t>
  </si>
  <si>
    <t>BIRLOS DE ESCAPE DS150</t>
  </si>
  <si>
    <t>CARBURADOE DE DS150</t>
  </si>
  <si>
    <t>MANIJA IZQUIERDAQ WS150 SPORT</t>
  </si>
  <si>
    <t>MANDO DERECHO 125Z</t>
  </si>
  <si>
    <t>BALERO 6302</t>
  </si>
  <si>
    <t>PUÑOS DE FT150 YOG</t>
  </si>
  <si>
    <t>BIOTOB DE ENCENDIDO D125</t>
  </si>
  <si>
    <t>RELEVADOR DS150</t>
  </si>
  <si>
    <t xml:space="preserve">OSCAR </t>
  </si>
  <si>
    <t>WAPEMEX</t>
  </si>
  <si>
    <t>CINTA DE ASBETO</t>
  </si>
  <si>
    <t>FILTRO DE AIRE YBR125</t>
  </si>
  <si>
    <t>ACEITE YAMALUBE</t>
  </si>
  <si>
    <t>DIRECCIONALES UNIVERSALES</t>
  </si>
  <si>
    <t>ESCAPE  FUE PARA UN AMIGO DE DANIEL</t>
  </si>
  <si>
    <t>EJE TRASERO DE LA BOXER</t>
  </si>
  <si>
    <t>CAMARA 2.75-17</t>
  </si>
  <si>
    <r>
      <t xml:space="preserve">CUENTA DE AYER $17123.5 MENOS $3612 DE PEDIDO DE WAPEMEX Y PEDIDO DE OSCAR QUEDA $ 13511.5 
CUENTA DE HOY SABADO $ 2350 MENOS $ 300 DE PAGO DE YAS QUEDA $ 2050 MAS LO DE CAJA $ 13511.5 
</t>
    </r>
    <r>
      <rPr>
        <b/>
        <sz val="18"/>
        <color theme="1"/>
        <rFont val="Calibri"/>
        <family val="2"/>
        <scheme val="minor"/>
      </rPr>
      <t>TOTAL EN CAJA $ 15561.5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</si>
</sst>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18</v>
      </c>
      <c r="K3" s="6">
        <f>SUM(Tabla1[Importa])</f>
        <v>3244.5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19</v>
      </c>
      <c r="K4" s="10">
        <f>COUNTIF(C5:C103,"&gt;0")</f>
        <v>21</v>
      </c>
      <c r="M4" s="23" t="s">
        <v>48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46284.793650694446</v>
      </c>
      <c r="C5">
        <f>IF(ISNUMBER(E5), IF(ISNUMBER(C4), C4+1, 1), "")</f>
        <v>1</v>
      </c>
      <c r="D5" t="s">
        <v>27</v>
      </c>
      <c r="E5">
        <v>1</v>
      </c>
      <c r="F5">
        <v>423</v>
      </c>
      <c r="G5" t="s">
        <v>28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381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46284.793650694446</v>
      </c>
      <c r="C6">
        <f t="shared" ref="C6:C36" si="0">IF(ISNUMBER(E6), IF(ISNUMBER(C5), C5+1, 1), "")</f>
        <v>2</v>
      </c>
      <c r="D6" t="s">
        <v>29</v>
      </c>
      <c r="E6">
        <v>1</v>
      </c>
      <c r="F6">
        <v>65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65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46284.793650694446</v>
      </c>
      <c r="C7">
        <f t="shared" si="0"/>
        <v>3</v>
      </c>
      <c r="D7" t="s">
        <v>35</v>
      </c>
      <c r="E7">
        <v>1</v>
      </c>
      <c r="F7">
        <v>24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24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46284.793650694446</v>
      </c>
      <c r="C8">
        <f t="shared" si="0"/>
        <v>4</v>
      </c>
      <c r="D8" t="s">
        <v>30</v>
      </c>
      <c r="E8">
        <v>1</v>
      </c>
      <c r="F8">
        <v>70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70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46284.793650694446</v>
      </c>
      <c r="C9">
        <f t="shared" si="0"/>
        <v>5</v>
      </c>
      <c r="D9" t="s">
        <v>31</v>
      </c>
      <c r="E9">
        <v>1</v>
      </c>
      <c r="F9">
        <v>540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540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46284.793650694446</v>
      </c>
      <c r="C10">
        <f t="shared" si="0"/>
        <v>6</v>
      </c>
      <c r="D10" t="s">
        <v>32</v>
      </c>
      <c r="E10">
        <v>1</v>
      </c>
      <c r="F10">
        <v>30</v>
      </c>
      <c r="G10" t="s">
        <v>28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27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46284.793650694446</v>
      </c>
      <c r="C11">
        <f t="shared" si="0"/>
        <v>7</v>
      </c>
      <c r="D11" t="s">
        <v>36</v>
      </c>
      <c r="E11">
        <v>1</v>
      </c>
      <c r="F11">
        <v>25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25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46284.793650694446</v>
      </c>
      <c r="C12">
        <f t="shared" si="0"/>
        <v>8</v>
      </c>
      <c r="D12" t="s">
        <v>33</v>
      </c>
      <c r="E12">
        <v>1</v>
      </c>
      <c r="F12">
        <v>100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100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46284.793650694446</v>
      </c>
      <c r="C13">
        <f t="shared" si="0"/>
        <v>9</v>
      </c>
      <c r="D13" t="s">
        <v>34</v>
      </c>
      <c r="E13">
        <v>1</v>
      </c>
      <c r="F13">
        <v>5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46284.793650694446</v>
      </c>
      <c r="C14">
        <f t="shared" si="0"/>
        <v>10</v>
      </c>
      <c r="D14" t="s">
        <v>38</v>
      </c>
      <c r="E14">
        <v>4</v>
      </c>
      <c r="F14">
        <v>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20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46284.793650694446</v>
      </c>
      <c r="C15">
        <f t="shared" si="0"/>
        <v>11</v>
      </c>
      <c r="D15" t="s">
        <v>39</v>
      </c>
      <c r="E15">
        <v>1</v>
      </c>
      <c r="F15">
        <v>305</v>
      </c>
      <c r="G15" t="s">
        <v>28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274.5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46284.793650694446</v>
      </c>
      <c r="C16">
        <f t="shared" si="0"/>
        <v>12</v>
      </c>
      <c r="D16" t="s">
        <v>40</v>
      </c>
      <c r="E16">
        <v>1</v>
      </c>
      <c r="F16">
        <v>445</v>
      </c>
      <c r="G16" t="s">
        <v>28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400.5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46284.793650694446</v>
      </c>
      <c r="C17">
        <f t="shared" si="0"/>
        <v>13</v>
      </c>
      <c r="D17" t="s">
        <v>41</v>
      </c>
      <c r="E17">
        <v>2</v>
      </c>
      <c r="F17">
        <v>4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8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46284.793650694446</v>
      </c>
      <c r="C18">
        <f t="shared" si="0"/>
        <v>14</v>
      </c>
      <c r="D18" t="s">
        <v>42</v>
      </c>
      <c r="E18">
        <v>2</v>
      </c>
      <c r="F18">
        <v>50</v>
      </c>
      <c r="G18" t="s">
        <v>28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90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46284.793650694446</v>
      </c>
      <c r="C19">
        <f t="shared" si="0"/>
        <v>15</v>
      </c>
      <c r="D19" t="s">
        <v>44</v>
      </c>
      <c r="E19">
        <v>1</v>
      </c>
      <c r="F19">
        <v>30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30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46284.793650694446</v>
      </c>
      <c r="C20">
        <f t="shared" si="0"/>
        <v>16</v>
      </c>
      <c r="D20" t="s">
        <v>42</v>
      </c>
      <c r="E20">
        <v>1</v>
      </c>
      <c r="F20">
        <v>50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50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46284.793650694446</v>
      </c>
      <c r="C21">
        <f t="shared" si="0"/>
        <v>17</v>
      </c>
      <c r="D21" t="s">
        <v>45</v>
      </c>
      <c r="E21">
        <v>1</v>
      </c>
      <c r="F21">
        <v>123</v>
      </c>
      <c r="G21" t="s">
        <v>28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111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46284.793650694446</v>
      </c>
      <c r="C22">
        <f t="shared" si="0"/>
        <v>18</v>
      </c>
      <c r="D22" t="s">
        <v>46</v>
      </c>
      <c r="E22">
        <v>1</v>
      </c>
      <c r="F22">
        <v>280</v>
      </c>
      <c r="G22" t="s">
        <v>28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266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46284.793650694446</v>
      </c>
      <c r="C23">
        <f t="shared" si="0"/>
        <v>19</v>
      </c>
      <c r="D23" t="s">
        <v>49</v>
      </c>
      <c r="E23">
        <v>3</v>
      </c>
      <c r="F23">
        <v>195</v>
      </c>
      <c r="G23" t="s">
        <v>28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556</v>
      </c>
    </row>
    <row r="24" spans="2:18" ht="15" customHeight="1" x14ac:dyDescent="0.25">
      <c r="B24" s="18">
        <f ca="1">IF(Tabla1[[#This Row],['#]]&lt;&gt;"", NOW(), "")</f>
        <v>46284.793650694446</v>
      </c>
      <c r="C24">
        <f t="shared" si="0"/>
        <v>20</v>
      </c>
      <c r="D24" t="s">
        <v>50</v>
      </c>
      <c r="E24">
        <v>1</v>
      </c>
      <c r="F24">
        <v>125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125</v>
      </c>
      <c r="M24" s="19" t="s">
        <v>20</v>
      </c>
      <c r="N24" s="19"/>
      <c r="O24" s="19"/>
      <c r="P24" s="19"/>
      <c r="Q24" s="19"/>
      <c r="R24" s="19"/>
    </row>
    <row r="25" spans="2:18" x14ac:dyDescent="0.25">
      <c r="B25" s="18">
        <f ca="1">IF(Tabla1[[#This Row],['#]]&lt;&gt;"", NOW(), "")</f>
        <v>46284.793650694446</v>
      </c>
      <c r="C25">
        <f t="shared" si="0"/>
        <v>21</v>
      </c>
      <c r="D25" t="s">
        <v>51</v>
      </c>
      <c r="E25">
        <v>1</v>
      </c>
      <c r="F25">
        <v>85</v>
      </c>
      <c r="G25" t="s">
        <v>28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76.5</v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21</v>
      </c>
      <c r="N26" s="38"/>
      <c r="O26" s="14" t="s">
        <v>22</v>
      </c>
      <c r="P26" s="38" t="s">
        <v>23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 t="s">
        <v>37</v>
      </c>
      <c r="N27" s="27"/>
      <c r="O27" s="30">
        <v>18</v>
      </c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 t="s">
        <v>43</v>
      </c>
      <c r="N29" s="27"/>
      <c r="O29" s="30">
        <v>1248</v>
      </c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 t="s">
        <v>47</v>
      </c>
      <c r="N31" s="27"/>
      <c r="O31" s="30">
        <v>1266</v>
      </c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31" sqref="D3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52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18</v>
      </c>
      <c r="K3" s="6">
        <f>SUM(Tabla110[Importa])</f>
        <v>3458.5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26</v>
      </c>
      <c r="M4" s="23" t="s">
        <v>72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46284.793650694446</v>
      </c>
      <c r="C5">
        <f t="shared" ref="C5:C68" si="0">IF(ISNUMBER(E5), IF(ISNUMBER(C4), C4+1, 1), "")</f>
        <v>1</v>
      </c>
      <c r="D5" t="s">
        <v>38</v>
      </c>
      <c r="E5">
        <v>2</v>
      </c>
      <c r="F5">
        <v>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10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46284.793650694446</v>
      </c>
      <c r="C6">
        <f t="shared" si="0"/>
        <v>2</v>
      </c>
      <c r="D6" t="s">
        <v>55</v>
      </c>
      <c r="E6">
        <v>2</v>
      </c>
      <c r="F6">
        <v>50</v>
      </c>
      <c r="G6" t="s">
        <v>54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90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46284.793650694446</v>
      </c>
      <c r="C7">
        <f t="shared" si="0"/>
        <v>3</v>
      </c>
      <c r="D7" t="s">
        <v>56</v>
      </c>
      <c r="E7">
        <v>1</v>
      </c>
      <c r="F7">
        <v>90</v>
      </c>
      <c r="G7" t="s">
        <v>28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81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46284.793650694446</v>
      </c>
      <c r="C8">
        <f t="shared" si="0"/>
        <v>4</v>
      </c>
      <c r="D8" t="s">
        <v>57</v>
      </c>
      <c r="E8">
        <v>2</v>
      </c>
      <c r="F8">
        <v>4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8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46284.793650694446</v>
      </c>
      <c r="C9">
        <f t="shared" si="0"/>
        <v>5</v>
      </c>
      <c r="D9" t="s">
        <v>58</v>
      </c>
      <c r="E9">
        <v>1</v>
      </c>
      <c r="F9">
        <v>75</v>
      </c>
      <c r="G9" t="s">
        <v>28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67.5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46284.793650694446</v>
      </c>
      <c r="C10">
        <f t="shared" si="0"/>
        <v>6</v>
      </c>
      <c r="D10" t="s">
        <v>59</v>
      </c>
      <c r="E10">
        <v>2</v>
      </c>
      <c r="F10">
        <v>42</v>
      </c>
      <c r="G10" t="s">
        <v>28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76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46284.793650694446</v>
      </c>
      <c r="C11">
        <f t="shared" si="0"/>
        <v>7</v>
      </c>
      <c r="D11" t="s">
        <v>60</v>
      </c>
      <c r="E11">
        <v>1</v>
      </c>
      <c r="F11">
        <v>50</v>
      </c>
      <c r="G11" t="s">
        <v>28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45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46284.793650694446</v>
      </c>
      <c r="C12">
        <f t="shared" si="0"/>
        <v>8</v>
      </c>
      <c r="D12" t="s">
        <v>61</v>
      </c>
      <c r="E12">
        <v>1</v>
      </c>
      <c r="F12">
        <v>25</v>
      </c>
      <c r="G12" t="s">
        <v>28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22.5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46284.793650694446</v>
      </c>
      <c r="C13">
        <f t="shared" si="0"/>
        <v>9</v>
      </c>
      <c r="D13" t="s">
        <v>62</v>
      </c>
      <c r="E13">
        <v>1</v>
      </c>
      <c r="F13">
        <v>180</v>
      </c>
      <c r="G13" t="s">
        <v>28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162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46284.793650694446</v>
      </c>
      <c r="C14">
        <f t="shared" si="0"/>
        <v>10</v>
      </c>
      <c r="D14" t="s">
        <v>63</v>
      </c>
      <c r="E14">
        <v>1</v>
      </c>
      <c r="F14">
        <v>150</v>
      </c>
      <c r="G14" t="s">
        <v>28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135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46284.793650694446</v>
      </c>
      <c r="C15">
        <f t="shared" si="0"/>
        <v>11</v>
      </c>
      <c r="D15" t="s">
        <v>64</v>
      </c>
      <c r="E15">
        <v>1</v>
      </c>
      <c r="F15">
        <v>320</v>
      </c>
      <c r="G15" t="s">
        <v>28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304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46284.793650694446</v>
      </c>
      <c r="C16">
        <f t="shared" si="0"/>
        <v>12</v>
      </c>
      <c r="D16" t="s">
        <v>65</v>
      </c>
      <c r="E16">
        <v>1</v>
      </c>
      <c r="F16">
        <v>10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46284.793650694446</v>
      </c>
      <c r="C17">
        <f t="shared" si="0"/>
        <v>13</v>
      </c>
      <c r="D17" t="s">
        <v>66</v>
      </c>
      <c r="E17">
        <v>2</v>
      </c>
      <c r="F17">
        <v>100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200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46284.793650694446</v>
      </c>
      <c r="C18">
        <f t="shared" si="0"/>
        <v>14</v>
      </c>
      <c r="D18" t="s">
        <v>68</v>
      </c>
      <c r="E18">
        <v>1</v>
      </c>
      <c r="F18">
        <v>130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130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46284.793650694446</v>
      </c>
      <c r="C19">
        <f t="shared" si="0"/>
        <v>15</v>
      </c>
      <c r="D19" t="s">
        <v>55</v>
      </c>
      <c r="E19">
        <v>1</v>
      </c>
      <c r="F19">
        <v>50</v>
      </c>
      <c r="G19" t="s">
        <v>28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45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46284.793650694446</v>
      </c>
      <c r="C20">
        <f t="shared" si="0"/>
        <v>16</v>
      </c>
      <c r="D20" t="s">
        <v>69</v>
      </c>
      <c r="E20">
        <v>1</v>
      </c>
      <c r="F20">
        <v>130</v>
      </c>
      <c r="G20" t="s">
        <v>28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123.5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46284.793650694446</v>
      </c>
      <c r="C21">
        <f t="shared" si="0"/>
        <v>17</v>
      </c>
      <c r="D21" t="s">
        <v>70</v>
      </c>
      <c r="E21">
        <v>1</v>
      </c>
      <c r="F21">
        <v>15</v>
      </c>
      <c r="G21" t="s">
        <v>28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13.5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46284.793650694446</v>
      </c>
      <c r="C22">
        <f t="shared" si="0"/>
        <v>18</v>
      </c>
      <c r="D22" t="s">
        <v>75</v>
      </c>
      <c r="E22">
        <v>1</v>
      </c>
      <c r="F22">
        <v>500</v>
      </c>
      <c r="G22" t="s">
        <v>28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450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46284.793650694446</v>
      </c>
      <c r="C23">
        <f t="shared" si="0"/>
        <v>19</v>
      </c>
      <c r="D23" t="s">
        <v>76</v>
      </c>
      <c r="E23">
        <v>1</v>
      </c>
      <c r="F23">
        <v>20</v>
      </c>
      <c r="G23" t="s">
        <v>28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18</v>
      </c>
    </row>
    <row r="24" spans="2:18" ht="15" customHeight="1" x14ac:dyDescent="0.25">
      <c r="B24" s="18">
        <f ca="1">IF(Tabla1[[#This Row],['#]]&lt;&gt;"", NOW(), "")</f>
        <v>46284.793650694446</v>
      </c>
      <c r="C24">
        <f t="shared" si="0"/>
        <v>20</v>
      </c>
      <c r="D24" t="s">
        <v>38</v>
      </c>
      <c r="E24">
        <v>2</v>
      </c>
      <c r="F24">
        <v>5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10</v>
      </c>
      <c r="M24" s="19" t="s">
        <v>20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46284.793650694446</v>
      </c>
      <c r="C25">
        <f t="shared" si="0"/>
        <v>21</v>
      </c>
      <c r="D25" t="s">
        <v>77</v>
      </c>
      <c r="E25">
        <v>1</v>
      </c>
      <c r="F25">
        <v>550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550</v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>
        <f t="shared" si="0"/>
        <v>22</v>
      </c>
      <c r="D26" t="s">
        <v>78</v>
      </c>
      <c r="E26">
        <v>1</v>
      </c>
      <c r="F26">
        <v>85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85</v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>
        <f t="shared" si="0"/>
        <v>23</v>
      </c>
      <c r="D27" t="s">
        <v>79</v>
      </c>
      <c r="E27">
        <v>1</v>
      </c>
      <c r="F27">
        <v>36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36</v>
      </c>
      <c r="M27" s="13" t="s">
        <v>53</v>
      </c>
      <c r="N27" s="15">
        <v>6255</v>
      </c>
      <c r="O27" s="40"/>
      <c r="P27" s="41"/>
      <c r="Q27" s="41"/>
      <c r="R27" s="42"/>
    </row>
    <row r="28" spans="2:18" ht="30" x14ac:dyDescent="0.25">
      <c r="B28" s="18" t="str">
        <f ca="1">IF(Tabla1[[#This Row],['#]]&lt;&gt;"", NOW(), "")</f>
        <v/>
      </c>
      <c r="C28">
        <f t="shared" si="0"/>
        <v>24</v>
      </c>
      <c r="D28" t="s">
        <v>80</v>
      </c>
      <c r="E28">
        <v>1</v>
      </c>
      <c r="F28">
        <v>35</v>
      </c>
      <c r="G28" t="s">
        <v>28</v>
      </c>
      <c r="H28" s="5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>31.5</v>
      </c>
      <c r="M28" s="13" t="s">
        <v>67</v>
      </c>
      <c r="N28" s="15">
        <v>3254</v>
      </c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>
        <f t="shared" si="0"/>
        <v>25</v>
      </c>
      <c r="D29" t="s">
        <v>81</v>
      </c>
      <c r="E29">
        <v>1</v>
      </c>
      <c r="F29">
        <v>65</v>
      </c>
      <c r="H29" s="5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>65</v>
      </c>
      <c r="M29" s="13" t="s">
        <v>71</v>
      </c>
      <c r="N29" s="15">
        <v>9509</v>
      </c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>
        <f t="shared" si="0"/>
        <v>26</v>
      </c>
      <c r="D30" t="s">
        <v>82</v>
      </c>
      <c r="E30">
        <v>1</v>
      </c>
      <c r="F30">
        <v>690</v>
      </c>
      <c r="H30" s="5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>690</v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18</v>
      </c>
      <c r="K3" s="6">
        <f>SUM(Tabla111[Importa])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IF(Tabla111[[#This Row],['#]]&lt;&gt;"", NOW(), "")</f>
        <v/>
      </c>
      <c r="C5" t="str">
        <f>IF(ISNUMBER(E5), IF(ISNUMBER(C4), C4+1, 1), "")</f>
        <v/>
      </c>
      <c r="H5" s="5" t="str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/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46284.793650694446</v>
      </c>
      <c r="C6" t="str">
        <f t="shared" ref="C6" si="0">IF(ISNUMBER(E6), IF(ISNUMBER(C5), C5+1, 1), "")</f>
        <v/>
      </c>
      <c r="H6" s="5" t="str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46284.793650694446</v>
      </c>
      <c r="C7" t="str">
        <f>IF(ISNUMBER(E7), IF(ISNUMBER(C6), C6+1, 1), "")</f>
        <v/>
      </c>
      <c r="H7" s="5" t="str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46284.793650694446</v>
      </c>
      <c r="C8" t="str">
        <f t="shared" ref="C8:C68" si="1">IF(ISNUMBER(E8), IF(ISNUMBER(C7), C7+1, 1), "")</f>
        <v/>
      </c>
      <c r="H8" s="5" t="str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46284.793650694446</v>
      </c>
      <c r="C9" t="str">
        <f t="shared" si="1"/>
        <v/>
      </c>
      <c r="H9" s="5" t="str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46284.793650694446</v>
      </c>
      <c r="C10" t="str">
        <f t="shared" si="1"/>
        <v/>
      </c>
      <c r="H10" s="5" t="str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46284.793650694446</v>
      </c>
      <c r="C11" t="str">
        <f t="shared" si="1"/>
        <v/>
      </c>
      <c r="H11" s="5" t="str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46284.793650694446</v>
      </c>
      <c r="C12" t="str">
        <f t="shared" si="1"/>
        <v/>
      </c>
      <c r="H12" s="5" t="str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46284.793650694446</v>
      </c>
      <c r="C13" t="str">
        <f t="shared" si="1"/>
        <v/>
      </c>
      <c r="H13" s="5" t="str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46284.793650694446</v>
      </c>
      <c r="C14" t="str">
        <f t="shared" si="1"/>
        <v/>
      </c>
      <c r="H14" s="5" t="str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46284.793650694446</v>
      </c>
      <c r="C15" t="str">
        <f t="shared" si="1"/>
        <v/>
      </c>
      <c r="H15" s="5" t="str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46284.793650694446</v>
      </c>
      <c r="C16" t="str">
        <f t="shared" si="1"/>
        <v/>
      </c>
      <c r="H16" s="5" t="str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46284.793650694446</v>
      </c>
      <c r="C17" t="str">
        <f t="shared" si="1"/>
        <v/>
      </c>
      <c r="H17" s="5" t="str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46284.793650694446</v>
      </c>
      <c r="C18" t="str">
        <f t="shared" si="1"/>
        <v/>
      </c>
      <c r="H18" s="5" t="str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46284.793650694446</v>
      </c>
      <c r="C19" t="str">
        <f t="shared" si="1"/>
        <v/>
      </c>
      <c r="H19" s="5" t="str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46284.793650694446</v>
      </c>
      <c r="C20" t="str">
        <f t="shared" si="1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46284.793650694446</v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46284.793650694446</v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46284.793650694446</v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46284.793650694446</v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19" t="s">
        <v>20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46284.793650694446</v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topLeftCell="A2"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73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18</v>
      </c>
      <c r="K3" s="6">
        <f>SUM(Tabla112[Importa])</f>
        <v>873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18</v>
      </c>
      <c r="M4" s="23" t="s">
        <v>106</v>
      </c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46284.793650694446</v>
      </c>
      <c r="C5">
        <f t="shared" ref="C5:C68" si="0">IF(ISNUMBER(E5), IF(ISNUMBER(C4), C4+1, 1), "")</f>
        <v>1</v>
      </c>
      <c r="D5" t="s">
        <v>38</v>
      </c>
      <c r="E5">
        <v>1</v>
      </c>
      <c r="F5">
        <v>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5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46284.793650694446</v>
      </c>
      <c r="C6">
        <f t="shared" si="0"/>
        <v>2</v>
      </c>
      <c r="D6" t="s">
        <v>55</v>
      </c>
      <c r="E6">
        <v>1</v>
      </c>
      <c r="F6">
        <v>50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50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46284.793650694446</v>
      </c>
      <c r="C7">
        <f t="shared" si="0"/>
        <v>3</v>
      </c>
      <c r="D7" t="s">
        <v>91</v>
      </c>
      <c r="E7">
        <v>1</v>
      </c>
      <c r="F7">
        <v>65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65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46284.793650694446</v>
      </c>
      <c r="C8">
        <f t="shared" si="0"/>
        <v>4</v>
      </c>
      <c r="D8" t="s">
        <v>92</v>
      </c>
      <c r="E8">
        <v>1</v>
      </c>
      <c r="F8">
        <v>3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3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46284.793650694446</v>
      </c>
      <c r="C9">
        <f t="shared" si="0"/>
        <v>5</v>
      </c>
      <c r="D9" t="s">
        <v>93</v>
      </c>
      <c r="E9">
        <v>2</v>
      </c>
      <c r="F9">
        <v>30</v>
      </c>
      <c r="G9" t="s">
        <v>28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54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46284.793650694446</v>
      </c>
      <c r="C10">
        <f t="shared" si="0"/>
        <v>6</v>
      </c>
      <c r="D10" t="s">
        <v>94</v>
      </c>
      <c r="E10">
        <v>1</v>
      </c>
      <c r="F10">
        <v>35</v>
      </c>
      <c r="G10" t="s">
        <v>28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31.5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46284.793650694446</v>
      </c>
      <c r="C11">
        <f t="shared" si="0"/>
        <v>7</v>
      </c>
      <c r="D11" t="s">
        <v>43</v>
      </c>
      <c r="E11">
        <v>1</v>
      </c>
      <c r="F11">
        <v>130</v>
      </c>
      <c r="G11" t="s">
        <v>28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123.5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46284.793650694446</v>
      </c>
      <c r="C12">
        <f t="shared" si="0"/>
        <v>8</v>
      </c>
      <c r="D12" t="s">
        <v>95</v>
      </c>
      <c r="E12">
        <v>1</v>
      </c>
      <c r="F12">
        <v>15</v>
      </c>
      <c r="G12" t="s">
        <v>28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13.5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46284.793650694446</v>
      </c>
      <c r="C13">
        <f t="shared" si="0"/>
        <v>9</v>
      </c>
      <c r="D13" t="s">
        <v>96</v>
      </c>
      <c r="E13">
        <v>2</v>
      </c>
      <c r="F13">
        <v>14</v>
      </c>
      <c r="G13" t="s">
        <v>28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25.5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46284.793650694446</v>
      </c>
      <c r="C14">
        <f t="shared" si="0"/>
        <v>10</v>
      </c>
      <c r="D14" t="s">
        <v>97</v>
      </c>
      <c r="E14">
        <v>1</v>
      </c>
      <c r="F14">
        <v>20</v>
      </c>
      <c r="G14" t="s">
        <v>28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46284.793650694446</v>
      </c>
      <c r="C15">
        <f t="shared" si="0"/>
        <v>11</v>
      </c>
      <c r="D15" t="s">
        <v>98</v>
      </c>
      <c r="E15">
        <v>2</v>
      </c>
      <c r="F15">
        <v>10</v>
      </c>
      <c r="G15" t="s">
        <v>28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18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46284.793650694446</v>
      </c>
      <c r="C16">
        <f t="shared" si="0"/>
        <v>12</v>
      </c>
      <c r="D16" t="s">
        <v>99</v>
      </c>
      <c r="E16">
        <v>1</v>
      </c>
      <c r="F16">
        <v>28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28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46284.793650694446</v>
      </c>
      <c r="C17">
        <f t="shared" si="0"/>
        <v>13</v>
      </c>
      <c r="D17" t="s">
        <v>100</v>
      </c>
      <c r="E17">
        <v>1</v>
      </c>
      <c r="F17">
        <v>45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45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46284.793650694446</v>
      </c>
      <c r="C18">
        <f t="shared" si="0"/>
        <v>14</v>
      </c>
      <c r="D18" t="s">
        <v>101</v>
      </c>
      <c r="E18">
        <v>2</v>
      </c>
      <c r="F18">
        <v>100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200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46284.793650694446</v>
      </c>
      <c r="C19">
        <f t="shared" si="0"/>
        <v>15</v>
      </c>
      <c r="D19" t="s">
        <v>102</v>
      </c>
      <c r="E19">
        <v>1</v>
      </c>
      <c r="F19">
        <v>150</v>
      </c>
      <c r="G19" t="s">
        <v>28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135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46284.793650694446</v>
      </c>
      <c r="C20">
        <f t="shared" si="0"/>
        <v>16</v>
      </c>
      <c r="D20" t="s">
        <v>103</v>
      </c>
      <c r="E20">
        <v>1</v>
      </c>
      <c r="F20">
        <v>22</v>
      </c>
      <c r="G20" t="s">
        <v>28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20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46284.793650694446</v>
      </c>
      <c r="C21">
        <f t="shared" si="0"/>
        <v>17</v>
      </c>
      <c r="D21" t="s">
        <v>104</v>
      </c>
      <c r="E21">
        <v>1</v>
      </c>
      <c r="F21">
        <v>20</v>
      </c>
      <c r="G21" t="s">
        <v>28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18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46284.793650694446</v>
      </c>
      <c r="C22">
        <f t="shared" si="0"/>
        <v>18</v>
      </c>
      <c r="D22" t="s">
        <v>38</v>
      </c>
      <c r="E22">
        <v>4</v>
      </c>
      <c r="F22">
        <v>5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20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46284.793650694446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46284.793650694446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20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46284.793650694446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90</v>
      </c>
      <c r="N27" s="15">
        <v>1755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 t="s">
        <v>105</v>
      </c>
      <c r="N28" s="15">
        <v>1750</v>
      </c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 t="s">
        <v>47</v>
      </c>
      <c r="N29" s="15">
        <v>3505</v>
      </c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1" t="s">
        <v>74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18</v>
      </c>
      <c r="K3" s="6">
        <f>SUM(Tabla113[Importa])</f>
        <v>1347.5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19</v>
      </c>
      <c r="M4" s="23" t="s">
        <v>127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46284.793650694446</v>
      </c>
      <c r="C5">
        <f t="shared" ref="C5:C68" si="0">IF(ISNUMBER(E5), IF(ISNUMBER(C4), C4+1, 1), "")</f>
        <v>1</v>
      </c>
      <c r="D5" t="s">
        <v>107</v>
      </c>
      <c r="E5">
        <v>1</v>
      </c>
      <c r="F5">
        <v>525</v>
      </c>
      <c r="G5" t="s">
        <v>28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472.5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46284.793650694446</v>
      </c>
      <c r="C6">
        <f t="shared" si="0"/>
        <v>2</v>
      </c>
      <c r="D6" t="s">
        <v>108</v>
      </c>
      <c r="E6">
        <v>1</v>
      </c>
      <c r="F6">
        <v>50</v>
      </c>
      <c r="G6" t="s">
        <v>28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45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46284.793650694446</v>
      </c>
      <c r="C7">
        <f t="shared" si="0"/>
        <v>3</v>
      </c>
      <c r="D7" t="s">
        <v>109</v>
      </c>
      <c r="E7">
        <v>1</v>
      </c>
      <c r="F7">
        <v>55</v>
      </c>
      <c r="G7" t="s">
        <v>28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49.5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46284.793650694446</v>
      </c>
      <c r="C8">
        <f t="shared" si="0"/>
        <v>4</v>
      </c>
      <c r="D8" t="s">
        <v>110</v>
      </c>
      <c r="E8">
        <v>1</v>
      </c>
      <c r="F8">
        <v>75</v>
      </c>
      <c r="G8" t="s">
        <v>28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67.5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46284.793650694446</v>
      </c>
      <c r="C9">
        <f t="shared" si="0"/>
        <v>5</v>
      </c>
      <c r="D9" t="s">
        <v>111</v>
      </c>
      <c r="E9">
        <v>1</v>
      </c>
      <c r="F9">
        <v>60</v>
      </c>
      <c r="G9" t="s">
        <v>28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54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46284.793650694446</v>
      </c>
      <c r="C10">
        <f t="shared" si="0"/>
        <v>6</v>
      </c>
      <c r="D10" t="s">
        <v>113</v>
      </c>
      <c r="E10">
        <v>1</v>
      </c>
      <c r="F10">
        <v>42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42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46284.793650694446</v>
      </c>
      <c r="C11">
        <f t="shared" si="0"/>
        <v>7</v>
      </c>
      <c r="D11" t="s">
        <v>114</v>
      </c>
      <c r="E11">
        <v>1</v>
      </c>
      <c r="F11">
        <v>70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70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46284.793650694446</v>
      </c>
      <c r="C12">
        <f t="shared" si="0"/>
        <v>8</v>
      </c>
      <c r="D12" t="s">
        <v>38</v>
      </c>
      <c r="E12">
        <v>1</v>
      </c>
      <c r="F12">
        <v>5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46284.793650694446</v>
      </c>
      <c r="C13">
        <f t="shared" si="0"/>
        <v>9</v>
      </c>
      <c r="D13" t="s">
        <v>119</v>
      </c>
      <c r="E13">
        <v>1</v>
      </c>
      <c r="F13">
        <v>54</v>
      </c>
      <c r="G13" t="s">
        <v>28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49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46284.793650694446</v>
      </c>
      <c r="C14">
        <f t="shared" si="0"/>
        <v>10</v>
      </c>
      <c r="D14" t="s">
        <v>120</v>
      </c>
      <c r="E14">
        <v>1</v>
      </c>
      <c r="F14">
        <v>34</v>
      </c>
      <c r="G14" t="s">
        <v>28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31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46284.793650694446</v>
      </c>
      <c r="C15">
        <f t="shared" si="0"/>
        <v>11</v>
      </c>
      <c r="D15" t="s">
        <v>121</v>
      </c>
      <c r="E15">
        <v>1</v>
      </c>
      <c r="F15">
        <v>35</v>
      </c>
      <c r="G15" t="s">
        <v>28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31.5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46284.793650694446</v>
      </c>
      <c r="C16">
        <f t="shared" si="0"/>
        <v>12</v>
      </c>
      <c r="D16" t="s">
        <v>122</v>
      </c>
      <c r="E16">
        <v>1</v>
      </c>
      <c r="F16">
        <v>95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95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46284.793650694446</v>
      </c>
      <c r="C17">
        <f t="shared" si="0"/>
        <v>13</v>
      </c>
      <c r="D17" t="s">
        <v>38</v>
      </c>
      <c r="E17">
        <v>1</v>
      </c>
      <c r="F17">
        <v>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46284.793650694446</v>
      </c>
      <c r="C18">
        <f t="shared" si="0"/>
        <v>14</v>
      </c>
      <c r="D18" t="s">
        <v>55</v>
      </c>
      <c r="E18">
        <v>1</v>
      </c>
      <c r="F18">
        <v>50</v>
      </c>
      <c r="G18" t="s">
        <v>28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45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46284.793650694446</v>
      </c>
      <c r="C19">
        <f t="shared" si="0"/>
        <v>15</v>
      </c>
      <c r="D19" t="s">
        <v>38</v>
      </c>
      <c r="E19">
        <v>4</v>
      </c>
      <c r="F19">
        <v>5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20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46284.793650694446</v>
      </c>
      <c r="C20">
        <f t="shared" si="0"/>
        <v>16</v>
      </c>
      <c r="D20" t="s">
        <v>123</v>
      </c>
      <c r="E20">
        <v>1</v>
      </c>
      <c r="F20">
        <v>195</v>
      </c>
      <c r="G20" t="s">
        <v>28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175.5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46284.793650694446</v>
      </c>
      <c r="C21">
        <f t="shared" si="0"/>
        <v>17</v>
      </c>
      <c r="D21" t="s">
        <v>124</v>
      </c>
      <c r="E21">
        <v>1</v>
      </c>
      <c r="F21">
        <v>20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20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46284.793650694446</v>
      </c>
      <c r="C22">
        <f t="shared" si="0"/>
        <v>18</v>
      </c>
      <c r="D22" t="s">
        <v>125</v>
      </c>
      <c r="E22">
        <v>1</v>
      </c>
      <c r="F22">
        <v>10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10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46284.793650694446</v>
      </c>
      <c r="C23">
        <f t="shared" si="0"/>
        <v>19</v>
      </c>
      <c r="D23" t="s">
        <v>126</v>
      </c>
      <c r="E23">
        <v>2</v>
      </c>
      <c r="F23">
        <v>30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60</v>
      </c>
    </row>
    <row r="24" spans="2:18" ht="15" customHeight="1" x14ac:dyDescent="0.25">
      <c r="B24" s="18">
        <f ca="1">IF(Tabla1[[#This Row],['#]]&lt;&gt;"", NOW(), "")</f>
        <v>46284.793650694446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19" t="s">
        <v>20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46284.793650694446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83</v>
      </c>
      <c r="N27" s="15">
        <v>18</v>
      </c>
      <c r="O27" s="40" t="s">
        <v>84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85</v>
      </c>
      <c r="N28" s="15">
        <v>1248</v>
      </c>
      <c r="O28" s="40" t="s">
        <v>84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53</v>
      </c>
      <c r="N29" s="15">
        <v>6255</v>
      </c>
      <c r="O29" s="40" t="s">
        <v>86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67</v>
      </c>
      <c r="N30" s="15">
        <v>3254</v>
      </c>
      <c r="O30" s="40" t="s">
        <v>86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87</v>
      </c>
      <c r="N31" s="15">
        <v>1750</v>
      </c>
      <c r="O31" s="40" t="s">
        <v>88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90</v>
      </c>
      <c r="N32" s="15">
        <v>1755</v>
      </c>
      <c r="O32" s="40" t="s">
        <v>88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118</v>
      </c>
      <c r="N33" s="15">
        <v>5000</v>
      </c>
      <c r="O33" s="40" t="s">
        <v>89</v>
      </c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116</v>
      </c>
      <c r="N34" s="15">
        <v>2000</v>
      </c>
      <c r="O34" s="40" t="s">
        <v>112</v>
      </c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 t="s">
        <v>115</v>
      </c>
      <c r="N35" s="15">
        <v>1200</v>
      </c>
      <c r="O35" s="40" t="s">
        <v>89</v>
      </c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 t="s">
        <v>71</v>
      </c>
      <c r="N36" s="15">
        <v>22480</v>
      </c>
      <c r="O36" s="40" t="s">
        <v>117</v>
      </c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128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18</v>
      </c>
      <c r="K3" s="6">
        <f>SUM(Tabla114[Importa])</f>
        <v>2350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21</v>
      </c>
      <c r="M4" s="23" t="s">
        <v>146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46284.793650694446</v>
      </c>
      <c r="C5">
        <f t="shared" ref="C5:C68" si="0">IF(ISNUMBER(E5), IF(ISNUMBER(C4), C4+1, 1), "")</f>
        <v>1</v>
      </c>
      <c r="D5" t="s">
        <v>129</v>
      </c>
      <c r="E5">
        <v>4</v>
      </c>
      <c r="F5">
        <v>5</v>
      </c>
      <c r="G5" t="s">
        <v>28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18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46284.793650694446</v>
      </c>
      <c r="C6">
        <f t="shared" si="0"/>
        <v>2</v>
      </c>
      <c r="D6" t="s">
        <v>130</v>
      </c>
      <c r="E6">
        <v>1</v>
      </c>
      <c r="F6">
        <v>490</v>
      </c>
      <c r="G6" t="s">
        <v>28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441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46284.793650694446</v>
      </c>
      <c r="C7">
        <f t="shared" si="0"/>
        <v>3</v>
      </c>
      <c r="D7" t="s">
        <v>131</v>
      </c>
      <c r="E7">
        <v>1</v>
      </c>
      <c r="F7">
        <v>105</v>
      </c>
      <c r="G7" t="s">
        <v>28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94.5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46284.793650694446</v>
      </c>
      <c r="C8">
        <f t="shared" si="0"/>
        <v>4</v>
      </c>
      <c r="D8" t="s">
        <v>132</v>
      </c>
      <c r="E8">
        <v>1</v>
      </c>
      <c r="F8">
        <v>95</v>
      </c>
      <c r="G8" t="s">
        <v>28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85.5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46284.793650694446</v>
      </c>
      <c r="C9">
        <f t="shared" si="0"/>
        <v>5</v>
      </c>
      <c r="D9" t="s">
        <v>133</v>
      </c>
      <c r="E9">
        <v>2</v>
      </c>
      <c r="F9">
        <v>28</v>
      </c>
      <c r="G9" t="s">
        <v>28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50.5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46284.793650694446</v>
      </c>
      <c r="C10">
        <f t="shared" si="0"/>
        <v>6</v>
      </c>
      <c r="D10" t="s">
        <v>134</v>
      </c>
      <c r="E10">
        <v>1</v>
      </c>
      <c r="F10">
        <v>65</v>
      </c>
      <c r="G10" t="s">
        <v>28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58.5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46284.793650694446</v>
      </c>
      <c r="C11">
        <f t="shared" si="0"/>
        <v>7</v>
      </c>
      <c r="D11" t="s">
        <v>136</v>
      </c>
      <c r="E11">
        <v>1</v>
      </c>
      <c r="F11">
        <v>30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30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46284.793650694446</v>
      </c>
      <c r="C12">
        <f t="shared" si="0"/>
        <v>8</v>
      </c>
      <c r="D12" t="s">
        <v>135</v>
      </c>
      <c r="E12">
        <v>1</v>
      </c>
      <c r="F12">
        <v>20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20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46284.793650694446</v>
      </c>
      <c r="C13">
        <f t="shared" si="0"/>
        <v>9</v>
      </c>
      <c r="D13" t="s">
        <v>38</v>
      </c>
      <c r="E13">
        <v>2</v>
      </c>
      <c r="F13">
        <v>5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10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46284.793650694446</v>
      </c>
      <c r="C14">
        <f t="shared" si="0"/>
        <v>10</v>
      </c>
      <c r="D14" t="s">
        <v>55</v>
      </c>
      <c r="E14">
        <v>1</v>
      </c>
      <c r="F14">
        <v>50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50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46284.793650694446</v>
      </c>
      <c r="C15">
        <f t="shared" si="0"/>
        <v>11</v>
      </c>
      <c r="D15" t="s">
        <v>139</v>
      </c>
      <c r="E15">
        <v>1</v>
      </c>
      <c r="F15">
        <v>150</v>
      </c>
      <c r="G15" t="s">
        <v>28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135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46284.793650694446</v>
      </c>
      <c r="C16">
        <f t="shared" si="0"/>
        <v>12</v>
      </c>
      <c r="D16" t="s">
        <v>38</v>
      </c>
      <c r="E16">
        <v>2</v>
      </c>
      <c r="F16">
        <v>5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46284.793650694446</v>
      </c>
      <c r="C17">
        <f t="shared" si="0"/>
        <v>13</v>
      </c>
      <c r="D17" t="s">
        <v>140</v>
      </c>
      <c r="E17">
        <v>1</v>
      </c>
      <c r="F17">
        <v>78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78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46284.793650694446</v>
      </c>
      <c r="C18">
        <f t="shared" si="0"/>
        <v>14</v>
      </c>
      <c r="D18" t="s">
        <v>141</v>
      </c>
      <c r="E18">
        <v>1</v>
      </c>
      <c r="F18">
        <v>150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150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46284.793650694446</v>
      </c>
      <c r="C19">
        <f t="shared" si="0"/>
        <v>15</v>
      </c>
      <c r="D19" t="s">
        <v>70</v>
      </c>
      <c r="E19">
        <v>1</v>
      </c>
      <c r="F19">
        <v>15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46284.793650694446</v>
      </c>
      <c r="C20">
        <f t="shared" si="0"/>
        <v>16</v>
      </c>
      <c r="D20" t="s">
        <v>142</v>
      </c>
      <c r="E20">
        <v>1</v>
      </c>
      <c r="F20">
        <v>132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132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46284.793650694446</v>
      </c>
      <c r="C21">
        <f t="shared" si="0"/>
        <v>17</v>
      </c>
      <c r="D21" t="s">
        <v>143</v>
      </c>
      <c r="E21">
        <v>1</v>
      </c>
      <c r="F21">
        <v>650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650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46284.793650694446</v>
      </c>
      <c r="C22">
        <f t="shared" si="0"/>
        <v>18</v>
      </c>
      <c r="D22" t="s">
        <v>144</v>
      </c>
      <c r="E22">
        <v>1</v>
      </c>
      <c r="F22">
        <v>50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50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46284.793650694446</v>
      </c>
      <c r="C23">
        <f t="shared" si="0"/>
        <v>19</v>
      </c>
      <c r="D23" t="s">
        <v>141</v>
      </c>
      <c r="E23">
        <v>1</v>
      </c>
      <c r="F23">
        <v>150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150</v>
      </c>
    </row>
    <row r="24" spans="2:18" ht="15" customHeight="1" x14ac:dyDescent="0.25">
      <c r="B24" s="18">
        <f ca="1">IF(Tabla1[[#This Row],['#]]&lt;&gt;"", NOW(), "")</f>
        <v>46284.793650694446</v>
      </c>
      <c r="C24">
        <f t="shared" si="0"/>
        <v>20</v>
      </c>
      <c r="D24" t="s">
        <v>55</v>
      </c>
      <c r="E24">
        <v>1</v>
      </c>
      <c r="F24">
        <v>50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50</v>
      </c>
      <c r="M24" s="19" t="s">
        <v>20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46284.793650694446</v>
      </c>
      <c r="C25">
        <f t="shared" si="0"/>
        <v>21</v>
      </c>
      <c r="D25" t="s">
        <v>145</v>
      </c>
      <c r="E25">
        <v>1</v>
      </c>
      <c r="F25">
        <v>72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72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137</v>
      </c>
      <c r="N27" s="15">
        <v>890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 t="s">
        <v>138</v>
      </c>
      <c r="N28" s="15">
        <v>2722</v>
      </c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 t="s">
        <v>47</v>
      </c>
      <c r="N29" s="15">
        <v>3612</v>
      </c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18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46284.793650694446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46284.793650694446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46284.793650694446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46284.793650694446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46284.793650694446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46284.793650694446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46284.793650694446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46284.793650694446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46284.793650694446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46284.793650694446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46284.793650694446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46284.793650694446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46284.793650694446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46284.793650694446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46284.793650694446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46284.793650694446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46284.793650694446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46284.793650694446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46284.793650694446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20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46284.793650694446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9</v>
      </c>
      <c r="C3" t="s">
        <v>10</v>
      </c>
      <c r="D3" t="s">
        <v>11</v>
      </c>
    </row>
    <row r="4" spans="2:5" ht="30" x14ac:dyDescent="0.25">
      <c r="B4" s="4" t="s">
        <v>13</v>
      </c>
      <c r="C4" s="2">
        <v>45576</v>
      </c>
      <c r="D4" s="3">
        <v>1.1000000000000001</v>
      </c>
      <c r="E4" s="3"/>
    </row>
    <row r="5" spans="2:5" ht="45" x14ac:dyDescent="0.25">
      <c r="B5" s="7" t="s">
        <v>17</v>
      </c>
      <c r="C5" s="3" t="s">
        <v>14</v>
      </c>
      <c r="D5" s="3">
        <v>1.2</v>
      </c>
      <c r="E5" s="3"/>
    </row>
    <row r="6" spans="2:5" ht="30" x14ac:dyDescent="0.25">
      <c r="B6" s="7" t="s">
        <v>25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14-09-26 </vt:lpstr>
      <vt:lpstr>Martes 15-09-26</vt:lpstr>
      <vt:lpstr>Miercoles</vt:lpstr>
      <vt:lpstr>Jueves 17-09-26</vt:lpstr>
      <vt:lpstr>VIERNES 18 -09-26</vt:lpstr>
      <vt:lpstr>Sabado 19-09-26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2026-09-20T01:04:58Z</dcterms:modified>
</cp:coreProperties>
</file>