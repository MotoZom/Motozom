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C804A2D5-D54F-4600-A0E4-8E4B10E2585D}" xr6:coauthVersionLast="47" xr6:coauthVersionMax="47" xr10:uidLastSave="{00000000-0000-0000-0000-000000000000}"/>
  <bookViews>
    <workbookView xWindow="-120" yWindow="-120" windowWidth="29040" windowHeight="17640" activeTab="5" xr2:uid="{00000000-000D-0000-FFFF-FFFF00000000}"/>
  </bookViews>
  <sheets>
    <sheet name="Lunes 28-09-26" sheetId="1" r:id="rId1"/>
    <sheet name="Martes 29-09-26" sheetId="2" r:id="rId2"/>
    <sheet name="Miercoles" sheetId="3" r:id="rId3"/>
    <sheet name="Jueves 01-10-26" sheetId="4" r:id="rId4"/>
    <sheet name="VIERNES 02 -10-26" sheetId="5" r:id="rId5"/>
    <sheet name="Sabado03 DE OCTUBRE-26" sheetId="6" r:id="rId6"/>
    <sheet name="Domingo" sheetId="8" r:id="rId7"/>
    <sheet name="Cambios" sheetId="7" r:id="rId8"/>
  </sheets>
  <definedNames>
    <definedName name="_xlnm._FilterDatabase" localSheetId="0" hidden="1">'Lunes 28-09-26'!$B$4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8" l="1"/>
  <c r="K20" i="8" s="1"/>
  <c r="K18" i="6"/>
  <c r="K20" i="6" s="1"/>
  <c r="K18" i="5"/>
  <c r="K20" i="5" s="1"/>
  <c r="K18" i="4"/>
  <c r="K20" i="4" s="1"/>
  <c r="K18" i="3"/>
  <c r="K20" i="3" s="1"/>
  <c r="K18" i="2"/>
  <c r="K20" i="2" s="1"/>
  <c r="K18" i="1" l="1"/>
  <c r="K20" i="1" s="1"/>
  <c r="C5" i="3" l="1"/>
  <c r="H5" i="2"/>
  <c r="H7" i="1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5" i="1"/>
  <c r="H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C5" i="1" l="1"/>
  <c r="C5" i="2"/>
  <c r="C6" i="2"/>
  <c r="C6" i="3"/>
  <c r="C7" i="3"/>
  <c r="C5" i="4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K3" i="8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K3" i="5"/>
  <c r="C5" i="5"/>
  <c r="C6" i="5" s="1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1"/>
  <c r="C7" i="1"/>
  <c r="C8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K4" i="8" l="1"/>
  <c r="K4" i="4"/>
  <c r="C9" i="1"/>
  <c r="K3" i="2"/>
  <c r="K4" i="2"/>
  <c r="K3" i="6"/>
  <c r="K4" i="5"/>
  <c r="K3" i="4"/>
  <c r="K3" i="3"/>
  <c r="K4" i="3"/>
  <c r="K4" i="6"/>
  <c r="K12" i="2" l="1"/>
  <c r="K10" i="2"/>
  <c r="K12" i="6"/>
  <c r="K10" i="6"/>
  <c r="K10" i="5"/>
  <c r="K12" i="5"/>
  <c r="K12" i="4"/>
  <c r="K10" i="4"/>
  <c r="K12" i="3"/>
  <c r="K10" i="3"/>
  <c r="K12" i="8"/>
  <c r="K10" i="8"/>
  <c r="C10" i="1"/>
  <c r="K3" i="1"/>
  <c r="K4" i="1" l="1"/>
  <c r="K10" i="1" l="1"/>
  <c r="K12" i="1"/>
</calcChain>
</file>

<file path=xl/sharedStrings.xml><?xml version="1.0" encoding="utf-8"?>
<sst xmlns="http://schemas.openxmlformats.org/spreadsheetml/2006/main" count="318" uniqueCount="126">
  <si>
    <t>Producto</t>
  </si>
  <si>
    <t>Cantidad</t>
  </si>
  <si>
    <t>Precio</t>
  </si>
  <si>
    <t>Descuento</t>
  </si>
  <si>
    <t>Importa</t>
  </si>
  <si>
    <t>Notas del dia</t>
  </si>
  <si>
    <t>Para dar un salto de linea presionar alt. + enter</t>
  </si>
  <si>
    <t>Colocar x si descuento</t>
  </si>
  <si>
    <t>Miercoles 01-02-03</t>
  </si>
  <si>
    <t>Cambio</t>
  </si>
  <si>
    <t>Fecha</t>
  </si>
  <si>
    <t>version</t>
  </si>
  <si>
    <r>
      <t>Nota:</t>
    </r>
    <r>
      <rPr>
        <sz val="11"/>
        <color rgb="FFFF0000"/>
        <rFont val="Calibri"/>
        <family val="2"/>
        <scheme val="minor"/>
      </rPr>
      <t xml:space="preserve"> Si hay descuento es </t>
    </r>
    <r>
      <rPr>
        <b/>
        <sz val="11"/>
        <color rgb="FFFF0000"/>
        <rFont val="Calibri"/>
        <family val="2"/>
        <scheme val="minor"/>
      </rPr>
      <t>importante escribir</t>
    </r>
    <r>
      <rPr>
        <sz val="11"/>
        <color rgb="FFFF0000"/>
        <rFont val="Calibri"/>
        <family val="2"/>
        <scheme val="minor"/>
      </rPr>
      <t xml:space="preserve"> si el articulo </t>
    </r>
    <r>
      <rPr>
        <b/>
        <sz val="11"/>
        <color rgb="FFFF0000"/>
        <rFont val="Calibri"/>
        <family val="2"/>
        <scheme val="minor"/>
      </rPr>
      <t>es aceite</t>
    </r>
    <r>
      <rPr>
        <sz val="11"/>
        <color rgb="FFFF0000"/>
        <rFont val="Calibri"/>
        <family val="2"/>
        <scheme val="minor"/>
      </rPr>
      <t xml:space="preserve">, para aplicar un descuento de </t>
    </r>
    <r>
      <rPr>
        <b/>
        <sz val="11"/>
        <color rgb="FFFF0000"/>
        <rFont val="Calibri"/>
        <family val="2"/>
        <scheme val="minor"/>
      </rPr>
      <t>solo el 5%</t>
    </r>
  </si>
  <si>
    <t>Cambio en la formula de descuento para solo dar el 5% de descuento cuando se trata de aceites</t>
  </si>
  <si>
    <t>16/11/2024</t>
  </si>
  <si>
    <t>Domingo 01-02-03</t>
  </si>
  <si>
    <t>#</t>
  </si>
  <si>
    <t>• Se aplicaron funciones de redondeo
• Corrección de formatos para la venta total en todas las pestañas
• Se agrego una nueva columna para el numero de articulos</t>
  </si>
  <si>
    <t>Venta Total:</t>
  </si>
  <si>
    <t>Num. 
Productos:</t>
  </si>
  <si>
    <t>Egresos</t>
  </si>
  <si>
    <t>Egreso</t>
  </si>
  <si>
    <t>Costo</t>
  </si>
  <si>
    <t>Comentarios</t>
  </si>
  <si>
    <t>Hora</t>
  </si>
  <si>
    <t>• Se agrego una nueva tabla para los egresos
• Nueva columna automatica para la colocar la hora de la venta</t>
  </si>
  <si>
    <t>Total en 
caja:</t>
  </si>
  <si>
    <t xml:space="preserve">Total de 
egresos: </t>
  </si>
  <si>
    <t>16/09/2026</t>
  </si>
  <si>
    <t>Resta en 
caja:</t>
  </si>
  <si>
    <r>
      <t>Nota:</t>
    </r>
    <r>
      <rPr>
        <sz val="11"/>
        <color rgb="FFFF0000"/>
        <rFont val="Calibri"/>
        <family val="2"/>
        <scheme val="minor"/>
      </rPr>
      <t xml:space="preserve"> Si hay descuento es </t>
    </r>
    <r>
      <rPr>
        <b/>
        <sz val="11"/>
        <color rgb="FFFF0000"/>
        <rFont val="Calibri"/>
        <family val="2"/>
        <scheme val="minor"/>
      </rPr>
      <t>importante escribir</t>
    </r>
    <r>
      <rPr>
        <sz val="11"/>
        <color rgb="FFFF0000"/>
        <rFont val="Calibri"/>
        <family val="2"/>
        <scheme val="minor"/>
      </rPr>
      <t xml:space="preserve"> si el articulo </t>
    </r>
    <r>
      <rPr>
        <b/>
        <sz val="11"/>
        <color rgb="FFFF0000"/>
        <rFont val="Calibri"/>
        <family val="2"/>
        <scheme val="minor"/>
      </rPr>
      <t xml:space="preserve">es </t>
    </r>
    <r>
      <rPr>
        <b/>
        <u/>
        <sz val="11"/>
        <color rgb="FFFF0000"/>
        <rFont val="Calibri"/>
        <family val="2"/>
        <scheme val="minor"/>
      </rPr>
      <t>aceite</t>
    </r>
    <r>
      <rPr>
        <sz val="11"/>
        <color rgb="FFFF0000"/>
        <rFont val="Calibri"/>
        <family val="2"/>
        <scheme val="minor"/>
      </rPr>
      <t xml:space="preserve">, para aplicar un descuento de </t>
    </r>
    <r>
      <rPr>
        <b/>
        <sz val="11"/>
        <color rgb="FFFF0000"/>
        <rFont val="Calibri"/>
        <family val="2"/>
        <scheme val="minor"/>
      </rPr>
      <t>solo el 5%</t>
    </r>
  </si>
  <si>
    <r>
      <rPr>
        <b/>
        <sz val="11"/>
        <color theme="1"/>
        <rFont val="Calibri"/>
        <family val="2"/>
        <scheme val="minor"/>
      </rPr>
      <t>%</t>
    </r>
    <r>
      <rPr>
        <sz val="11"/>
        <color theme="1"/>
        <rFont val="Calibri"/>
        <family val="2"/>
        <scheme val="minor"/>
      </rPr>
      <t xml:space="preserve"> de venta a
mecanicos</t>
    </r>
  </si>
  <si>
    <r>
      <rPr>
        <b/>
        <sz val="11"/>
        <color theme="1"/>
        <rFont val="Calibri"/>
        <family val="2"/>
        <scheme val="minor"/>
      </rPr>
      <t>%</t>
    </r>
    <r>
      <rPr>
        <sz val="11"/>
        <color theme="1"/>
        <rFont val="Calibri"/>
        <family val="2"/>
        <scheme val="minor"/>
      </rPr>
      <t xml:space="preserve"> de venta
normal</t>
    </r>
  </si>
  <si>
    <t>• Se agrego:
    ○ Celdas con los porcentajes de venta publico normal y mecanicos
    ○ Calculo para restar los egresos del dia del todal de caja.
• Se corrigio:
    ○ El error en la hora de la venta.
    ○ Tabla de egresos, ahora es uniforme en todas las hojas (estetico)</t>
  </si>
  <si>
    <t xml:space="preserve">PORTA FUSIBLE </t>
  </si>
  <si>
    <t xml:space="preserve">CHICOTE DE CLUTH UNIVERSAL </t>
  </si>
  <si>
    <t xml:space="preserve">NOTA 1 </t>
  </si>
  <si>
    <t xml:space="preserve">ESPEJOS DE MOTONETA </t>
  </si>
  <si>
    <t>X</t>
  </si>
  <si>
    <t>CHICOTED DE ACELERADOR DM200</t>
  </si>
  <si>
    <t>PIPETA DE DS150</t>
  </si>
  <si>
    <t>CDI FT150</t>
  </si>
  <si>
    <t xml:space="preserve">TAPON DE MOTONETA </t>
  </si>
  <si>
    <t xml:space="preserve">GRAPAS Y PIJAS </t>
  </si>
  <si>
    <t>BALATA DE DISCO DE 170Z</t>
  </si>
  <si>
    <t>Lunes 28 DE SEPTIEMBRE-26</t>
  </si>
  <si>
    <t>SWUITCH DE FT150</t>
  </si>
  <si>
    <t>FABULOSO</t>
  </si>
  <si>
    <t>MANIJA IZQUIERDA FT150</t>
  </si>
  <si>
    <t xml:space="preserve">ACEITE AKRON </t>
  </si>
  <si>
    <t>RED DE ACIENTO FT125</t>
  </si>
  <si>
    <t>CAMARA 3.00.17</t>
  </si>
  <si>
    <t>ESTRATOR DE MAGNETO DS150</t>
  </si>
  <si>
    <t>TAPON DE ACEITE FT150</t>
  </si>
  <si>
    <t xml:space="preserve">PEDIDO ALESSIA </t>
  </si>
  <si>
    <t>PUÑOS UNIVERSALES ROJO</t>
  </si>
  <si>
    <t>FOCO PELLIZCO ROJO</t>
  </si>
  <si>
    <t>STIKER</t>
  </si>
  <si>
    <t>GOMA DE PARADOR CENTRAL DS150</t>
  </si>
  <si>
    <t xml:space="preserve">ARNES DE 5 PINES </t>
  </si>
  <si>
    <t xml:space="preserve">ACEITE REPSOL </t>
  </si>
  <si>
    <t>Martes 29 DE SEPTIEMBRE-26</t>
  </si>
  <si>
    <t>TIRA LED ROJA</t>
  </si>
  <si>
    <t>GOMA DE PARADOR DS150</t>
  </si>
  <si>
    <t xml:space="preserve">SELLO DE ACEITE </t>
  </si>
  <si>
    <t xml:space="preserve">BUJE ESPACIADOR </t>
  </si>
  <si>
    <t>BOTON DE ENCENDIDO D125</t>
  </si>
  <si>
    <t>REREE DE ENCENDIDO DS150</t>
  </si>
  <si>
    <t>BUJIA C7</t>
  </si>
  <si>
    <t xml:space="preserve">PEDIDO NASAKI </t>
  </si>
  <si>
    <t>RETEN DE MOTOR DS150</t>
  </si>
  <si>
    <t xml:space="preserve">MANGUERA DE GASOLINA </t>
  </si>
  <si>
    <t>RED DE CASCO NEGRO</t>
  </si>
  <si>
    <t>EJE SELECTOIR DE CAMBIOS FT150</t>
  </si>
  <si>
    <t>CAMARA 3.50.18</t>
  </si>
  <si>
    <t>Jueves 01 DE OCTUBRE-26</t>
  </si>
  <si>
    <t>Viernes 02 DE OCTUBRE-26</t>
  </si>
  <si>
    <t xml:space="preserve">SE PAGO LA LUZ </t>
  </si>
  <si>
    <t>LUNES 28 DE SEPTIEMBRE-26</t>
  </si>
  <si>
    <t xml:space="preserve">FABULOSO </t>
  </si>
  <si>
    <t>MARTES 29 DE SEPTIEMBRE-26</t>
  </si>
  <si>
    <t xml:space="preserve">PAGO DE LUZ </t>
  </si>
  <si>
    <t>JUEVES 01 DE OCTUBRE-26</t>
  </si>
  <si>
    <t>BOBINA DE ARRANQUE FT150 ITALIKA</t>
  </si>
  <si>
    <t>KID DE PISTON FT150</t>
  </si>
  <si>
    <t>CAPUCHON BUJIA DS150</t>
  </si>
  <si>
    <t>TIRAS LED ROJA</t>
  </si>
  <si>
    <t xml:space="preserve">TIRA LED BLANCA </t>
  </si>
  <si>
    <t xml:space="preserve">CABLE SUELTO ROJO </t>
  </si>
  <si>
    <t>BALATA DE DISCO VENTO ROKEMANT</t>
  </si>
  <si>
    <t xml:space="preserve">FARO AUXILIARES </t>
  </si>
  <si>
    <t>CAMARA 3.00.21</t>
  </si>
  <si>
    <t xml:space="preserve">FUSIBLES </t>
  </si>
  <si>
    <t xml:space="preserve">AORCADOR UNIVERSAL </t>
  </si>
  <si>
    <t>TORNILLO</t>
  </si>
  <si>
    <t>TUERCA</t>
  </si>
  <si>
    <t>PILA 12N7 3B WAPEMEX</t>
  </si>
  <si>
    <t>BUJE DE PLASTICO</t>
  </si>
  <si>
    <t xml:space="preserve">FOCO DE VENTILADOR </t>
  </si>
  <si>
    <t>PAGO DE YAS</t>
  </si>
  <si>
    <t>VIERNES 02 DE OCTUBRE-26</t>
  </si>
  <si>
    <t xml:space="preserve">BUJIA C7 </t>
  </si>
  <si>
    <t xml:space="preserve">FILTRO DE GASOLINA CARTON </t>
  </si>
  <si>
    <t xml:space="preserve">FILTRO  DE AIRE WS150 </t>
  </si>
  <si>
    <t xml:space="preserve">BALATA DE VENTO REPTIL </t>
  </si>
  <si>
    <t>SELLOS DE ESCAPE DS150</t>
  </si>
  <si>
    <t>SWUITH DE WS150 WAPEMEX</t>
  </si>
  <si>
    <t>STRELLA DE FT125</t>
  </si>
  <si>
    <t>ARNES DE FOCO H4</t>
  </si>
  <si>
    <t xml:space="preserve">FOCO H4 LED ALESSIA </t>
  </si>
  <si>
    <t xml:space="preserve">ABRAZADERA DE MOFLE </t>
  </si>
  <si>
    <t>BOTON DE INTERMITENTE DS150</t>
  </si>
  <si>
    <t>Sabado 03 DE OCTUBRE-26</t>
  </si>
  <si>
    <t>LEVA DE FRENO FT150</t>
  </si>
  <si>
    <r>
      <rPr>
        <b/>
        <sz val="14"/>
        <color theme="1"/>
        <rFont val="Calibri"/>
        <family val="2"/>
        <scheme val="minor"/>
      </rPr>
      <t xml:space="preserve">CORTES DE LA SEMANA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LUNES 28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$ 1344.5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MARTES 29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$937.5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MIERCOLES 30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$ 000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JUEVES 01 DE OCTUBRE-26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$ 1569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VIERNES 02 DE SEPTIEMBRE-26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$ 1442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8"/>
        <color theme="1"/>
        <rFont val="Calibri"/>
        <family val="2"/>
        <scheme val="minor"/>
      </rPr>
      <t>TOTAL$ 5293</t>
    </r>
  </si>
  <si>
    <t>CDI DE MOTONETA WAPEMEX</t>
  </si>
  <si>
    <t>JUNTA DE BENDIX DS150</t>
  </si>
  <si>
    <t>RETEND E MOTRO FT150</t>
  </si>
  <si>
    <t>JUNTAS DE MOTRO FT150</t>
  </si>
  <si>
    <t>PASTAS DE CLUTH FT150</t>
  </si>
  <si>
    <t>BUJIA D8</t>
  </si>
  <si>
    <t>ACEITE DIKAL</t>
  </si>
  <si>
    <t>FILTRO DE AIRE DM200</t>
  </si>
  <si>
    <t>balero 6201</t>
  </si>
  <si>
    <t>PILA 12N7 3A ALESSIA</t>
  </si>
  <si>
    <t xml:space="preserve">PAGO DE YAS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</si>
</sst>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[$-409]h:mm\ AM/PM;@"/>
    <numFmt numFmtId="168" formatCode="_-[$$-80A]* #,##0.0_-;\-[$$-80A]* #,##0.0_-;_-[$$-80A]* &quot;-&quot;??_-;_-@_-"/>
  </numFmts>
  <fonts count="17" x14ac:knownFonts="1">
    <font>
      <sz val="11"/>
      <color theme="1"/>
      <name val="Calibri"/>
      <family val="2"/>
      <scheme val="minor"/>
    </font>
    <font>
      <sz val="22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7" fillId="0" borderId="0" applyFont="0" applyFill="0" applyBorder="0" applyAlignment="0" applyProtection="0"/>
    <xf numFmtId="0" fontId="7" fillId="5" borderId="0" applyNumberFormat="0" applyBorder="0" applyAlignment="0" applyProtection="0"/>
    <xf numFmtId="9" fontId="7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165" fontId="0" fillId="0" borderId="0" xfId="0" applyNumberFormat="1"/>
    <xf numFmtId="166" fontId="3" fillId="0" borderId="0" xfId="0" applyNumberFormat="1" applyFont="1"/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/>
    <xf numFmtId="0" fontId="0" fillId="2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167" fontId="0" fillId="0" borderId="0" xfId="0" applyNumberFormat="1"/>
    <xf numFmtId="167" fontId="8" fillId="6" borderId="1" xfId="0" applyNumberFormat="1" applyFont="1" applyFill="1" applyBorder="1"/>
    <xf numFmtId="167" fontId="7" fillId="5" borderId="1" xfId="2" applyNumberFormat="1" applyBorder="1"/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left" vertical="top" wrapText="1"/>
    </xf>
    <xf numFmtId="0" fontId="0" fillId="3" borderId="0" xfId="0" applyFill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68" fontId="10" fillId="0" borderId="11" xfId="1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/>
    </xf>
    <xf numFmtId="168" fontId="10" fillId="0" borderId="0" xfId="3" applyNumberFormat="1" applyFont="1" applyAlignment="1">
      <alignment horizontal="center" vertical="center"/>
    </xf>
    <xf numFmtId="0" fontId="0" fillId="8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168" fontId="11" fillId="0" borderId="0" xfId="3" applyNumberFormat="1" applyFont="1" applyAlignment="1">
      <alignment horizontal="center"/>
    </xf>
    <xf numFmtId="0" fontId="0" fillId="0" borderId="0" xfId="0" applyAlignment="1">
      <alignment horizontal="center" vertical="top" wrapText="1"/>
    </xf>
    <xf numFmtId="0" fontId="12" fillId="6" borderId="2" xfId="0" applyFont="1" applyFill="1" applyBorder="1" applyAlignment="1">
      <alignment horizontal="center" wrapText="1"/>
    </xf>
    <xf numFmtId="0" fontId="8" fillId="6" borderId="2" xfId="0" applyFont="1" applyFill="1" applyBorder="1" applyAlignment="1">
      <alignment horizontal="center"/>
    </xf>
    <xf numFmtId="9" fontId="14" fillId="0" borderId="2" xfId="3" applyFont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4" borderId="2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top" wrapText="1"/>
    </xf>
    <xf numFmtId="0" fontId="0" fillId="4" borderId="8" xfId="0" applyFill="1" applyBorder="1" applyAlignment="1">
      <alignment horizontal="center" vertical="top" wrapText="1"/>
    </xf>
    <xf numFmtId="0" fontId="0" fillId="4" borderId="9" xfId="0" applyFill="1" applyBorder="1" applyAlignment="1">
      <alignment horizontal="center" vertical="top" wrapText="1"/>
    </xf>
    <xf numFmtId="0" fontId="0" fillId="4" borderId="10" xfId="0" applyFill="1" applyBorder="1" applyAlignment="1">
      <alignment horizontal="center" vertical="top" wrapText="1"/>
    </xf>
  </cellXfs>
  <cellStyles count="4">
    <cellStyle name="20% - Énfasis1" xfId="2" builtinId="30"/>
    <cellStyle name="Moneda" xfId="1" builtinId="4"/>
    <cellStyle name="Normal" xfId="0" builtinId="0"/>
    <cellStyle name="Porcentaje" xfId="3" builtinId="5"/>
  </cellStyles>
  <dxfs count="28"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291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4:H103" totalsRowShown="0">
  <autoFilter ref="C4:H103" xr:uid="{00000000-0009-0000-0100-000001000000}"/>
  <tableColumns count="6">
    <tableColumn id="1" xr3:uid="{00000000-0010-0000-0000-000001000000}" name="#" dataDxfId="25">
      <calculatedColumnFormula>IF(ISNUMBER(E5), IF(ISNUMBER(C4), C4+1, 1), "")</calculatedColumnFormula>
    </tableColumn>
    <tableColumn id="6" xr3:uid="{00000000-0010-0000-0000-000006000000}" name="Producto"/>
    <tableColumn id="2" xr3:uid="{00000000-0010-0000-0000-000002000000}" name="Cantidad"/>
    <tableColumn id="3" xr3:uid="{00000000-0010-0000-0000-000003000000}" name="Precio"/>
    <tableColumn id="4" xr3:uid="{00000000-0010-0000-0000-000004000000}" name="Descuento"/>
    <tableColumn id="5" xr3:uid="{00000000-0010-0000-0000-000005000000}" name="Importa" dataDxfId="24">
      <calculatedColumnFormula>IF(Tabla1[[#This Row],[Cantidad]] &gt; 0,CEILING(( Tabla1[[#This Row],[Cantidad]]*Tabla1[[#This Row],[Precio]]) - IF(ISNUMBER(FIND("x", LOWER(G5))), ( Tabla1[[#This Row],[Cantidad]]* Tabla1[[#This Row],[Precio]] * IF(ISNUMBER(FIND("aceite", LOWER(Tabla1[[#This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a110" displayName="Tabla110" ref="C4:H103" totalsRowShown="0">
  <autoFilter ref="C4:H103" xr:uid="{00000000-0009-0000-0100-000009000000}"/>
  <tableColumns count="6">
    <tableColumn id="1" xr3:uid="{00000000-0010-0000-0100-000001000000}" name="#" dataDxfId="21">
      <calculatedColumnFormula>IF(ISNUMBER(E5), IF(ISNUMBER(C4), C4+1, 1), "")</calculatedColumnFormula>
    </tableColumn>
    <tableColumn id="6" xr3:uid="{00000000-0010-0000-0100-000006000000}" name="Producto"/>
    <tableColumn id="2" xr3:uid="{00000000-0010-0000-0100-000002000000}" name="Cantidad"/>
    <tableColumn id="3" xr3:uid="{00000000-0010-0000-0100-000003000000}" name="Precio"/>
    <tableColumn id="4" xr3:uid="{00000000-0010-0000-0100-000004000000}" name="Descuento"/>
    <tableColumn id="5" xr3:uid="{00000000-0010-0000-0100-000005000000}" name="Importa" dataDxfId="20">
      <calculatedColumnFormula>IF(Tabla110[[#This Row],[Cantidad]] &gt; 0,CEILING(( Tabla110[[#This Row],[Cantidad]]*Tabla110[[#This Row],[Precio]]) - IF(ISNUMBER(FIND("x", LOWER(G5))), ( Tabla110[[#This Row],[Cantidad]]* Tabla110[[#This Row],[Precio]] * IF(ISNUMBER(FIND("aceite", LOWER(Tabla110[[#This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la111" displayName="Tabla111" ref="C4:H103" totalsRowShown="0">
  <autoFilter ref="C4:H103" xr:uid="{00000000-0009-0000-0100-00000A000000}"/>
  <tableColumns count="6">
    <tableColumn id="1" xr3:uid="{00000000-0010-0000-0200-000001000000}" name="#" dataDxfId="17">
      <calculatedColumnFormula>IF(ISNUMBER(E5), IF(ISNUMBER(C4), C4+1, 1), "")</calculatedColumnFormula>
    </tableColumn>
    <tableColumn id="6" xr3:uid="{00000000-0010-0000-0200-000006000000}" name="Producto"/>
    <tableColumn id="2" xr3:uid="{00000000-0010-0000-0200-000002000000}" name="Cantidad"/>
    <tableColumn id="3" xr3:uid="{00000000-0010-0000-0200-000003000000}" name="Precio"/>
    <tableColumn id="4" xr3:uid="{00000000-0010-0000-0200-000004000000}" name="Descuento"/>
    <tableColumn id="5" xr3:uid="{00000000-0010-0000-0200-000005000000}" name="Importa" dataDxfId="16">
      <calculatedColumnFormula>IF(Tabla111[[#This Row],[Cantidad]] &gt; 0,CEILING(( Tabla111[[#This Row],[Cantidad]]*Tabla111[[#This Row],[Precio]]) - IF(ISNUMBER(FIND("x", LOWER(G5))), ( Tabla111[[#This Row],[Cantidad]]* Tabla111[[#This Row],[Precio]] * IF(ISNUMBER(FIND("aceite", LOWER(Tabla111[[#This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2" displayName="Tabla112" ref="C4:H103" totalsRowShown="0">
  <autoFilter ref="C4:H103" xr:uid="{00000000-0009-0000-0100-00000B000000}"/>
  <tableColumns count="6">
    <tableColumn id="1" xr3:uid="{00000000-0010-0000-0300-000001000000}" name="#" dataDxfId="13">
      <calculatedColumnFormula>IF(ISNUMBER(E5), IF(ISNUMBER(C4), C4+1, 1), "")</calculatedColumnFormula>
    </tableColumn>
    <tableColumn id="6" xr3:uid="{00000000-0010-0000-0300-000006000000}" name="Producto"/>
    <tableColumn id="2" xr3:uid="{00000000-0010-0000-0300-000002000000}" name="Cantidad"/>
    <tableColumn id="3" xr3:uid="{00000000-0010-0000-0300-000003000000}" name="Precio"/>
    <tableColumn id="4" xr3:uid="{00000000-0010-0000-0300-000004000000}" name="Descuento"/>
    <tableColumn id="5" xr3:uid="{00000000-0010-0000-0300-000005000000}" name="Importa" dataDxfId="12">
      <calculatedColumnFormula>IF(Tabla112[[#This Row],[Cantidad]] &gt; 0,CEILING(( Tabla112[[#This Row],[Cantidad]]*Tabla112[[#This Row],[Precio]]) - IF(ISNUMBER(FIND("x", LOWER(G5))), ( Tabla112[[#This Row],[Cantidad]]* Tabla112[[#This Row],[Precio]] * IF(ISNUMBER(FIND("aceite", LOWER(Tabla112[[#This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Tabla113" displayName="Tabla113" ref="C4:H103" totalsRowShown="0">
  <autoFilter ref="C4:H103" xr:uid="{00000000-0009-0000-0100-00000C000000}"/>
  <tableColumns count="6">
    <tableColumn id="1" xr3:uid="{00000000-0010-0000-0400-000001000000}" name="#" dataDxfId="9">
      <calculatedColumnFormula>IF(ISNUMBER(E5), IF(ISNUMBER(C4), C4+1, 1), "")</calculatedColumnFormula>
    </tableColumn>
    <tableColumn id="6" xr3:uid="{00000000-0010-0000-0400-000006000000}" name="Producto"/>
    <tableColumn id="2" xr3:uid="{00000000-0010-0000-0400-000002000000}" name="Cantidad"/>
    <tableColumn id="3" xr3:uid="{00000000-0010-0000-0400-000003000000}" name="Precio"/>
    <tableColumn id="4" xr3:uid="{00000000-0010-0000-0400-000004000000}" name="Descuento"/>
    <tableColumn id="5" xr3:uid="{00000000-0010-0000-0400-000005000000}" name="Importa" dataDxfId="8">
      <calculatedColumnFormula>IF(Tabla113[[#This Row],[Cantidad]] &gt; 0,CEILING(( Tabla113[[#This Row],[Cantidad]]*Tabla113[[#This Row],[Precio]]) - IF(ISNUMBER(FIND("x", LOWER(G5))), ( Tabla113[[#This Row],[Cantidad]]* Tabla113[[#This Row],[Precio]] * IF(ISNUMBER(FIND("aceite", LOWER(Tabla113[[#This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Tabla114" displayName="Tabla114" ref="C4:H103" totalsRowShown="0">
  <autoFilter ref="C4:H103" xr:uid="{00000000-0009-0000-0100-00000D000000}"/>
  <tableColumns count="6">
    <tableColumn id="1" xr3:uid="{00000000-0010-0000-0500-000001000000}" name="#" dataDxfId="5">
      <calculatedColumnFormula>IF(ISNUMBER(E5), IF(ISNUMBER(C4), C4+1, 1), "")</calculatedColumnFormula>
    </tableColumn>
    <tableColumn id="6" xr3:uid="{00000000-0010-0000-0500-000006000000}" name="Producto"/>
    <tableColumn id="2" xr3:uid="{00000000-0010-0000-0500-000002000000}" name="Cantidad"/>
    <tableColumn id="3" xr3:uid="{00000000-0010-0000-0500-000003000000}" name="Precio"/>
    <tableColumn id="4" xr3:uid="{00000000-0010-0000-0500-000004000000}" name="Descuento"/>
    <tableColumn id="5" xr3:uid="{00000000-0010-0000-0500-000005000000}" name="Importa" dataDxfId="4">
      <calculatedColumnFormula>IF(Tabla114[[#This Row],[Cantidad]] &gt; 0,CEILING(( Tabla114[[#This Row],[Cantidad]]*Tabla114[[#This Row],[Precio]]) - IF(ISNUMBER(FIND("x", LOWER(G5))), ( Tabla114[[#This Row],[Cantidad]]* Tabla114[[#This Row],[Precio]] * IF(ISNUMBER(FIND("aceite", LOWER(Tabla114[[#This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Tabla115" displayName="Tabla115" ref="C4:H103" totalsRowShown="0">
  <autoFilter ref="C4:H103" xr:uid="{00000000-0009-0000-0100-00000E000000}"/>
  <tableColumns count="6">
    <tableColumn id="1" xr3:uid="{00000000-0010-0000-0600-000001000000}" name="#" dataDxfId="1">
      <calculatedColumnFormula>IF(ISNUMBER(E5), IF(ISNUMBER(C4), C4+1, 1), "")</calculatedColumnFormula>
    </tableColumn>
    <tableColumn id="6" xr3:uid="{00000000-0010-0000-0600-000006000000}" name="Producto"/>
    <tableColumn id="2" xr3:uid="{00000000-0010-0000-0600-000002000000}" name="Cantidad"/>
    <tableColumn id="3" xr3:uid="{00000000-0010-0000-0600-000003000000}" name="Precio"/>
    <tableColumn id="4" xr3:uid="{00000000-0010-0000-0600-000004000000}" name="Descuento"/>
    <tableColumn id="5" xr3:uid="{00000000-0010-0000-0600-000005000000}" name="Importa" dataDxfId="0">
      <calculatedColumnFormula>IF(Tabla115[[#This Row],[Cantidad]] &gt; 0,CEILING(( Tabla115[[#This Row],[Cantidad]]*Tabla115[[#This Row],[Precio]]) - IF(ISNUMBER(FIND("x", LOWER(G5))), ( Tabla115[[#This Row],[Cantidad]]* Tabla115[[#This Row],[Precio]] * IF(ISNUMBER(FIND("aceite", LOWER(Tabla115[[#This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B3:D22" totalsRowShown="0">
  <autoFilter ref="B3:D22" xr:uid="{00000000-0009-0000-0100-000007000000}"/>
  <tableColumns count="3">
    <tableColumn id="1" xr3:uid="{00000000-0010-0000-0700-000001000000}" name="Cambio"/>
    <tableColumn id="2" xr3:uid="{00000000-0010-0000-0700-000002000000}" name="Fecha"/>
    <tableColumn id="3" xr3:uid="{00000000-0010-0000-0700-000003000000}" name="version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R103"/>
  <sheetViews>
    <sheetView zoomScale="85" zoomScaleNormal="85" workbookViewId="0">
      <selection activeCell="V44" sqref="V44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  <col min="13" max="13" width="9.140625" customWidth="1"/>
    <col min="18" max="18" width="9.140625" customWidth="1"/>
  </cols>
  <sheetData>
    <row r="2" spans="2:18" ht="28.5" x14ac:dyDescent="0.45">
      <c r="C2" s="16" t="s">
        <v>45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SUM(Tabla1[Importa])</f>
        <v>1344.5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22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>
        <f>IF(ISNUMBER(E5), IF(ISNUMBER(C4), C4+1, 1), "")</f>
        <v>1</v>
      </c>
      <c r="D5" t="s">
        <v>34</v>
      </c>
      <c r="E5">
        <v>1</v>
      </c>
      <c r="F5">
        <v>15</v>
      </c>
      <c r="H5" s="4">
        <f>IF(Tabla1[[#This Row],[Cantidad]] &gt; 0,CEILING(( Tabla1[[#This Row],[Cantidad]]*Tabla1[[#This Row],[Precio]]) - IF(ISNUMBER(FIND("x", LOWER(G5))), ( Tabla1[[#This Row],[Cantidad]]* Tabla1[[#This Row],[Precio]] * IF(ISNUMBER(FIND("aceite", LOWER(Tabla1[[#This Row],[Producto]]))), 0.05, 0.1)), 0), 0.5), "")</f>
        <v>15</v>
      </c>
      <c r="J5" s="29" t="s">
        <v>30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>
        <f t="shared" ref="C6:C36" si="0">IF(ISNUMBER(E6), IF(ISNUMBER(C5), C5+1, 1), "")</f>
        <v>2</v>
      </c>
      <c r="D6" t="s">
        <v>35</v>
      </c>
      <c r="E6">
        <v>1</v>
      </c>
      <c r="F6">
        <v>15</v>
      </c>
      <c r="H6" s="4">
        <f>IF(Tabla1[[#This Row],[Cantidad]] &gt; 0,CEILING(( Tabla1[[#This Row],[Cantidad]]*Tabla1[[#This Row],[Precio]]) - IF(ISNUMBER(FIND("x", LOWER(G6))), ( Tabla1[[#This Row],[Cantidad]]* Tabla1[[#This Row],[Precio]] * IF(ISNUMBER(FIND("aceite", LOWER(Tabla1[[#This Row],[Producto]]))), 0.05, 0.1)), 0), 0.5), "")</f>
        <v>15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>
        <f t="shared" si="0"/>
        <v>3</v>
      </c>
      <c r="D7" t="s">
        <v>37</v>
      </c>
      <c r="E7">
        <v>1</v>
      </c>
      <c r="F7">
        <v>151</v>
      </c>
      <c r="G7" t="s">
        <v>38</v>
      </c>
      <c r="H7" s="4">
        <f>IF(Tabla1[[#This Row],[Cantidad]] &gt; 0,CEILING(( Tabla1[[#This Row],[Cantidad]]*Tabla1[[#This Row],[Precio]]) - IF(ISNUMBER(FIND("x", LOWER(G7))), ( Tabla1[[#This Row],[Cantidad]]* Tabla1[[#This Row],[Precio]] * IF(ISNUMBER(FIND("aceite", LOWER(Tabla1[[#This Row],[Producto]]))), 0.05, 0.1)), 0), 0.5), "")</f>
        <v>136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>
        <f t="shared" si="0"/>
        <v>4</v>
      </c>
      <c r="D8" t="s">
        <v>39</v>
      </c>
      <c r="E8">
        <v>1</v>
      </c>
      <c r="F8">
        <v>65</v>
      </c>
      <c r="G8" t="s">
        <v>38</v>
      </c>
      <c r="H8" s="4">
        <f>IF(Tabla1[[#This Row],[Cantidad]] &gt; 0,CEILING(( Tabla1[[#This Row],[Cantidad]]*Tabla1[[#This Row],[Precio]]) - IF(ISNUMBER(FIND("x", LOWER(G8))), ( Tabla1[[#This Row],[Cantidad]]* Tabla1[[#This Row],[Precio]] * IF(ISNUMBER(FIND("aceite", LOWER(Tabla1[[#This Row],[Producto]]))), 0.05, 0.1)), 0), 0.5), "")</f>
        <v>58.5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>
        <f t="shared" si="0"/>
        <v>5</v>
      </c>
      <c r="D9" t="s">
        <v>34</v>
      </c>
      <c r="E9">
        <v>1</v>
      </c>
      <c r="F9">
        <v>15</v>
      </c>
      <c r="G9" t="s">
        <v>38</v>
      </c>
      <c r="H9" s="4">
        <f>IF(Tabla1[[#This Row],[Cantidad]] &gt; 0,CEILING(( Tabla1[[#This Row],[Cantidad]]*Tabla1[[#This Row],[Precio]]) - IF(ISNUMBER(FIND("x", LOWER(G9))), ( Tabla1[[#This Row],[Cantidad]]* Tabla1[[#This Row],[Precio]] * IF(ISNUMBER(FIND("aceite", LOWER(Tabla1[[#This Row],[Producto]]))), 0.05, 0.1)), 0), 0.5), "")</f>
        <v>13.5</v>
      </c>
      <c r="J9" s="15"/>
      <c r="K9" s="15"/>
      <c r="M9" s="18"/>
      <c r="N9" s="18"/>
      <c r="O9" s="18"/>
      <c r="P9" s="18"/>
      <c r="Q9" s="18"/>
      <c r="R9" s="18"/>
    </row>
    <row r="10" spans="2:18" ht="15" customHeight="1" x14ac:dyDescent="0.25">
      <c r="B10" s="13"/>
      <c r="C10">
        <f t="shared" si="0"/>
        <v>6</v>
      </c>
      <c r="D10" t="s">
        <v>40</v>
      </c>
      <c r="E10">
        <v>1</v>
      </c>
      <c r="F10">
        <v>57</v>
      </c>
      <c r="G10" t="s">
        <v>38</v>
      </c>
      <c r="H10" s="4">
        <f>IF(Tabla1[[#This Row],[Cantidad]] &gt; 0,CEILING(( Tabla1[[#This Row],[Cantidad]]*Tabla1[[#This Row],[Precio]]) - IF(ISNUMBER(FIND("x", LOWER(G10))), ( Tabla1[[#This Row],[Cantidad]]* Tabla1[[#This Row],[Precio]] * IF(ISNUMBER(FIND("aceite", LOWER(Tabla1[[#This Row],[Producto]]))), 0.05, 0.1)), 0), 0.5), "")</f>
        <v>51.5</v>
      </c>
      <c r="J10" s="30" t="s">
        <v>31</v>
      </c>
      <c r="K10" s="32">
        <f>IF(K4&lt;&gt;0,COUNTIF(G5:G103, "x")/K4, "")</f>
        <v>0.36363636363636365</v>
      </c>
      <c r="M10" s="18"/>
      <c r="N10" s="18"/>
      <c r="O10" s="18"/>
      <c r="P10" s="18"/>
      <c r="Q10" s="18"/>
      <c r="R10" s="18"/>
    </row>
    <row r="11" spans="2:18" ht="15" customHeight="1" x14ac:dyDescent="0.25">
      <c r="B11" s="13"/>
      <c r="C11">
        <f t="shared" si="0"/>
        <v>7</v>
      </c>
      <c r="D11" t="s">
        <v>41</v>
      </c>
      <c r="E11">
        <v>1</v>
      </c>
      <c r="F11">
        <v>80</v>
      </c>
      <c r="H11" s="4">
        <f>IF(Tabla1[[#This Row],[Cantidad]] &gt; 0,CEILING(( Tabla1[[#This Row],[Cantidad]]*Tabla1[[#This Row],[Precio]]) - IF(ISNUMBER(FIND("x", LOWER(G11))), ( Tabla1[[#This Row],[Cantidad]]* Tabla1[[#This Row],[Precio]] * IF(ISNUMBER(FIND("aceite", LOWER(Tabla1[[#This Row],[Producto]]))), 0.05, 0.1)), 0), 0.5), "")</f>
        <v>80</v>
      </c>
      <c r="J11" s="30"/>
      <c r="K11" s="32"/>
      <c r="M11" s="18"/>
      <c r="N11" s="18"/>
      <c r="O11" s="18"/>
      <c r="P11" s="18"/>
      <c r="Q11" s="18"/>
      <c r="R11" s="18"/>
    </row>
    <row r="12" spans="2:18" ht="15" customHeight="1" x14ac:dyDescent="0.25">
      <c r="B12" s="13"/>
      <c r="C12">
        <f t="shared" si="0"/>
        <v>8</v>
      </c>
      <c r="D12" t="s">
        <v>42</v>
      </c>
      <c r="E12">
        <v>1</v>
      </c>
      <c r="F12">
        <v>30</v>
      </c>
      <c r="G12" t="s">
        <v>38</v>
      </c>
      <c r="H12" s="4">
        <f>IF(Tabla1[[#This Row],[Cantidad]] &gt; 0,CEILING(( Tabla1[[#This Row],[Cantidad]]*Tabla1[[#This Row],[Precio]]) - IF(ISNUMBER(FIND("x", LOWER(G12))), ( Tabla1[[#This Row],[Cantidad]]* Tabla1[[#This Row],[Precio]] * IF(ISNUMBER(FIND("aceite", LOWER(Tabla1[[#This Row],[Producto]]))), 0.05, 0.1)), 0), 0.5), "")</f>
        <v>27</v>
      </c>
      <c r="J12" s="30" t="s">
        <v>32</v>
      </c>
      <c r="K12" s="32">
        <f>IF(K4&lt;&gt;0,(K4-COUNTIF(G5:G103,"x"))/K4,"")</f>
        <v>0.63636363636363635</v>
      </c>
      <c r="M12" s="18"/>
      <c r="N12" s="18"/>
      <c r="O12" s="18"/>
      <c r="P12" s="18"/>
      <c r="Q12" s="18"/>
      <c r="R12" s="18"/>
    </row>
    <row r="13" spans="2:18" ht="15" customHeight="1" x14ac:dyDescent="0.25">
      <c r="B13" s="13"/>
      <c r="C13">
        <f t="shared" si="0"/>
        <v>9</v>
      </c>
      <c r="D13" t="s">
        <v>43</v>
      </c>
      <c r="E13">
        <v>1</v>
      </c>
      <c r="F13">
        <v>20</v>
      </c>
      <c r="G13" t="s">
        <v>38</v>
      </c>
      <c r="H13" s="4">
        <f>IF(Tabla1[[#This Row],[Cantidad]] &gt; 0,CEILING(( Tabla1[[#This Row],[Cantidad]]*Tabla1[[#This Row],[Precio]]) - IF(ISNUMBER(FIND("x", LOWER(G13))), ( Tabla1[[#This Row],[Cantidad]]* Tabla1[[#This Row],[Precio]] * IF(ISNUMBER(FIND("aceite", LOWER(Tabla1[[#This Row],[Producto]]))), 0.05, 0.1)), 0), 0.5), "")</f>
        <v>18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>
        <f t="shared" si="0"/>
        <v>10</v>
      </c>
      <c r="D14" t="s">
        <v>44</v>
      </c>
      <c r="E14">
        <v>1</v>
      </c>
      <c r="F14">
        <v>70</v>
      </c>
      <c r="G14" t="s">
        <v>38</v>
      </c>
      <c r="H14" s="4">
        <f>IF(Tabla1[[#This Row],[Cantidad]] &gt; 0,CEILING(( Tabla1[[#This Row],[Cantidad]]*Tabla1[[#This Row],[Precio]]) - IF(ISNUMBER(FIND("x", LOWER(G14))), ( Tabla1[[#This Row],[Cantidad]]* Tabla1[[#This Row],[Precio]] * IF(ISNUMBER(FIND("aceite", LOWER(Tabla1[[#This Row],[Producto]]))), 0.05, 0.1)), 0), 0.5), "")</f>
        <v>63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>
        <f t="shared" si="0"/>
        <v>11</v>
      </c>
      <c r="D15" t="s">
        <v>46</v>
      </c>
      <c r="E15">
        <v>1</v>
      </c>
      <c r="F15">
        <v>170</v>
      </c>
      <c r="H15" s="4">
        <f>IF(Tabla1[[#This Row],[Cantidad]] &gt; 0,CEILING(( Tabla1[[#This Row],[Cantidad]]*Tabla1[[#This Row],[Precio]]) - IF(ISNUMBER(FIND("x", LOWER(G15))), ( Tabla1[[#This Row],[Cantidad]]* Tabla1[[#This Row],[Precio]] * IF(ISNUMBER(FIND("aceite", LOWER(Tabla1[[#This Row],[Producto]]))), 0.05, 0.1)), 0), 0.5), "")</f>
        <v>170</v>
      </c>
      <c r="M15" s="18"/>
      <c r="N15" s="18"/>
      <c r="O15" s="18"/>
      <c r="P15" s="18"/>
      <c r="Q15" s="18"/>
      <c r="R15" s="18"/>
    </row>
    <row r="16" spans="2:18" x14ac:dyDescent="0.25">
      <c r="B16" s="13"/>
      <c r="C16">
        <f t="shared" si="0"/>
        <v>12</v>
      </c>
      <c r="D16" t="s">
        <v>48</v>
      </c>
      <c r="E16">
        <v>1</v>
      </c>
      <c r="F16">
        <v>87</v>
      </c>
      <c r="H16" s="4">
        <f>IF(Tabla1[[#This Row],[Cantidad]] &gt; 0,CEILING(( Tabla1[[#This Row],[Cantidad]]*Tabla1[[#This Row],[Precio]]) - IF(ISNUMBER(FIND("x", LOWER(G16))), ( Tabla1[[#This Row],[Cantidad]]* Tabla1[[#This Row],[Precio]] * IF(ISNUMBER(FIND("aceite", LOWER(Tabla1[[#This Row],[Producto]]))), 0.05, 0.1)), 0), 0.5), "")</f>
        <v>87</v>
      </c>
      <c r="J16" s="20" t="s">
        <v>26</v>
      </c>
      <c r="K16" s="22">
        <v>18010</v>
      </c>
      <c r="M16" s="18"/>
      <c r="N16" s="18"/>
      <c r="O16" s="18"/>
      <c r="P16" s="18"/>
      <c r="Q16" s="18"/>
      <c r="R16" s="18"/>
    </row>
    <row r="17" spans="2:18" x14ac:dyDescent="0.25">
      <c r="B17" s="13"/>
      <c r="C17">
        <f t="shared" si="0"/>
        <v>13</v>
      </c>
      <c r="D17" t="s">
        <v>50</v>
      </c>
      <c r="E17">
        <v>1</v>
      </c>
      <c r="F17">
        <v>90</v>
      </c>
      <c r="H17" s="4">
        <f>IF(Tabla1[[#This Row],[Cantidad]] &gt; 0,CEILING(( Tabla1[[#This Row],[Cantidad]]*Tabla1[[#This Row],[Precio]]) - IF(ISNUMBER(FIND("x", LOWER(G17))), ( Tabla1[[#This Row],[Cantidad]]* Tabla1[[#This Row],[Precio]] * IF(ISNUMBER(FIND("aceite", LOWER(Tabla1[[#This Row],[Producto]]))), 0.05, 0.1)), 0), 0.5), "")</f>
        <v>90</v>
      </c>
      <c r="J17" s="21"/>
      <c r="K17" s="22"/>
      <c r="M17" s="18"/>
      <c r="N17" s="18"/>
      <c r="O17" s="18"/>
      <c r="P17" s="18"/>
      <c r="Q17" s="18"/>
      <c r="R17" s="18"/>
    </row>
    <row r="18" spans="2:18" x14ac:dyDescent="0.25">
      <c r="B18" s="13"/>
      <c r="C18">
        <f t="shared" si="0"/>
        <v>14</v>
      </c>
      <c r="D18" t="s">
        <v>51</v>
      </c>
      <c r="E18">
        <v>1</v>
      </c>
      <c r="F18">
        <v>65</v>
      </c>
      <c r="H18" s="4">
        <f>IF(Tabla1[[#This Row],[Cantidad]] &gt; 0,CEILING(( Tabla1[[#This Row],[Cantidad]]*Tabla1[[#This Row],[Precio]]) - IF(ISNUMBER(FIND("x", LOWER(G18))), ( Tabla1[[#This Row],[Cantidad]]* Tabla1[[#This Row],[Precio]] * IF(ISNUMBER(FIND("aceite", LOWER(Tabla1[[#This Row],[Producto]]))), 0.05, 0.1)), 0), 0.5), "")</f>
        <v>65</v>
      </c>
      <c r="J18" s="23" t="s">
        <v>27</v>
      </c>
      <c r="K18" s="25">
        <f>SUM(O27:O52)</f>
        <v>9687</v>
      </c>
      <c r="M18" s="18"/>
      <c r="N18" s="18"/>
      <c r="O18" s="18"/>
      <c r="P18" s="18"/>
      <c r="Q18" s="18"/>
      <c r="R18" s="18"/>
    </row>
    <row r="19" spans="2:18" x14ac:dyDescent="0.25">
      <c r="B19" s="13"/>
      <c r="C19">
        <f t="shared" si="0"/>
        <v>15</v>
      </c>
      <c r="D19" t="s">
        <v>52</v>
      </c>
      <c r="E19">
        <v>1</v>
      </c>
      <c r="F19">
        <v>120</v>
      </c>
      <c r="H19" s="4">
        <f>IF(Tabla1[[#This Row],[Cantidad]] &gt; 0,CEILING(( Tabla1[[#This Row],[Cantidad]]*Tabla1[[#This Row],[Precio]]) - IF(ISNUMBER(FIND("x", LOWER(G19))), ( Tabla1[[#This Row],[Cantidad]]* Tabla1[[#This Row],[Precio]] * IF(ISNUMBER(FIND("aceite", LOWER(Tabla1[[#This Row],[Producto]]))), 0.05, 0.1)), 0), 0.5), "")</f>
        <v>120</v>
      </c>
      <c r="J19" s="24"/>
      <c r="K19" s="25"/>
      <c r="M19" s="18"/>
      <c r="N19" s="18"/>
      <c r="O19" s="18"/>
      <c r="P19" s="18"/>
      <c r="Q19" s="18"/>
      <c r="R19" s="18"/>
    </row>
    <row r="20" spans="2:18" x14ac:dyDescent="0.25">
      <c r="B20" s="13"/>
      <c r="C20">
        <f t="shared" si="0"/>
        <v>16</v>
      </c>
      <c r="D20" t="s">
        <v>53</v>
      </c>
      <c r="E20">
        <v>1</v>
      </c>
      <c r="F20">
        <v>25</v>
      </c>
      <c r="H20" s="4">
        <f>IF(Tabla1[[#This Row],[Cantidad]] &gt; 0,CEILING(( Tabla1[[#This Row],[Cantidad]]*Tabla1[[#This Row],[Precio]]) - IF(ISNUMBER(FIND("x", LOWER(G20))), ( Tabla1[[#This Row],[Cantidad]]* Tabla1[[#This Row],[Precio]] * IF(ISNUMBER(FIND("aceite", LOWER(Tabla1[[#This Row],[Producto]]))), 0.05, 0.1)), 0), 0.5), "")</f>
        <v>25</v>
      </c>
      <c r="J20" s="26" t="s">
        <v>29</v>
      </c>
      <c r="K20" s="28">
        <f>K16-K18</f>
        <v>8323</v>
      </c>
      <c r="M20" s="18"/>
      <c r="N20" s="18"/>
      <c r="O20" s="18"/>
      <c r="P20" s="18"/>
      <c r="Q20" s="18"/>
      <c r="R20" s="18"/>
    </row>
    <row r="21" spans="2:18" x14ac:dyDescent="0.25">
      <c r="B21" s="13"/>
      <c r="C21">
        <f t="shared" si="0"/>
        <v>17</v>
      </c>
      <c r="D21" t="s">
        <v>55</v>
      </c>
      <c r="E21">
        <v>1</v>
      </c>
      <c r="F21">
        <v>85</v>
      </c>
      <c r="H21" s="4">
        <f>IF(Tabla1[[#This Row],[Cantidad]] &gt; 0,CEILING(( Tabla1[[#This Row],[Cantidad]]*Tabla1[[#This Row],[Precio]]) - IF(ISNUMBER(FIND("x", LOWER(G21))), ( Tabla1[[#This Row],[Cantidad]]* Tabla1[[#This Row],[Precio]] * IF(ISNUMBER(FIND("aceite", LOWER(Tabla1[[#This Row],[Producto]]))), 0.05, 0.1)), 0), 0.5), "")</f>
        <v>85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>
        <f t="shared" si="0"/>
        <v>18</v>
      </c>
      <c r="D22" t="s">
        <v>56</v>
      </c>
      <c r="E22">
        <v>1</v>
      </c>
      <c r="F22">
        <v>15</v>
      </c>
      <c r="H22" s="4">
        <f>IF(Tabla1[[#This Row],[Cantidad]] &gt; 0,CEILING(( Tabla1[[#This Row],[Cantidad]]*Tabla1[[#This Row],[Precio]]) - IF(ISNUMBER(FIND("x", LOWER(G22))), ( Tabla1[[#This Row],[Cantidad]]* Tabla1[[#This Row],[Precio]] * IF(ISNUMBER(FIND("aceite", LOWER(Tabla1[[#This Row],[Producto]]))), 0.05, 0.1)), 0), 0.5), "")</f>
        <v>15</v>
      </c>
      <c r="M22" s="18"/>
      <c r="N22" s="18"/>
      <c r="O22" s="18"/>
      <c r="P22" s="18"/>
      <c r="Q22" s="18"/>
      <c r="R22" s="18"/>
    </row>
    <row r="23" spans="2:18" x14ac:dyDescent="0.25">
      <c r="B23" s="13"/>
      <c r="C23">
        <f t="shared" si="0"/>
        <v>19</v>
      </c>
      <c r="D23" t="s">
        <v>57</v>
      </c>
      <c r="E23">
        <v>1</v>
      </c>
      <c r="F23">
        <v>5</v>
      </c>
      <c r="H23" s="4">
        <f>IF(Tabla1[[#This Row],[Cantidad]] &gt; 0,CEILING(( Tabla1[[#This Row],[Cantidad]]*Tabla1[[#This Row],[Precio]]) - IF(ISNUMBER(FIND("x", LOWER(G23))), ( Tabla1[[#This Row],[Cantidad]]* Tabla1[[#This Row],[Precio]] * IF(ISNUMBER(FIND("aceite", LOWER(Tabla1[[#This Row],[Producto]]))), 0.05, 0.1)), 0), 0.5), "")</f>
        <v>5</v>
      </c>
    </row>
    <row r="24" spans="2:18" ht="15" customHeight="1" x14ac:dyDescent="0.25">
      <c r="B24" s="13"/>
      <c r="C24">
        <f t="shared" si="0"/>
        <v>20</v>
      </c>
      <c r="D24" t="s">
        <v>58</v>
      </c>
      <c r="E24">
        <v>1</v>
      </c>
      <c r="F24">
        <v>20</v>
      </c>
      <c r="G24" t="s">
        <v>38</v>
      </c>
      <c r="H24" s="4">
        <f>IF(Tabla1[[#This Row],[Cantidad]] &gt; 0,CEILING(( Tabla1[[#This Row],[Cantidad]]*Tabla1[[#This Row],[Precio]]) - IF(ISNUMBER(FIND("x", LOWER(G24))), ( Tabla1[[#This Row],[Cantidad]]* Tabla1[[#This Row],[Precio]] * IF(ISNUMBER(FIND("aceite", LOWER(Tabla1[[#This Row],[Producto]]))), 0.05, 0.1)), 0), 0.5), "")</f>
        <v>18</v>
      </c>
      <c r="M24" s="41" t="s">
        <v>20</v>
      </c>
      <c r="N24" s="41"/>
      <c r="O24" s="41"/>
      <c r="P24" s="41"/>
      <c r="Q24" s="41"/>
      <c r="R24" s="41"/>
    </row>
    <row r="25" spans="2:18" x14ac:dyDescent="0.25">
      <c r="B25" s="13"/>
      <c r="C25">
        <f t="shared" si="0"/>
        <v>21</v>
      </c>
      <c r="D25" t="s">
        <v>59</v>
      </c>
      <c r="E25">
        <v>1</v>
      </c>
      <c r="F25">
        <v>40</v>
      </c>
      <c r="H25" s="4">
        <f>IF(Tabla1[[#This Row],[Cantidad]] &gt; 0,CEILING(( Tabla1[[#This Row],[Cantidad]]*Tabla1[[#This Row],[Precio]]) - IF(ISNUMBER(FIND("x", LOWER(G25))), ( Tabla1[[#This Row],[Cantidad]]* Tabla1[[#This Row],[Precio]] * IF(ISNUMBER(FIND("aceite", LOWER(Tabla1[[#This Row],[Producto]]))), 0.05, 0.1)), 0), 0.5), "")</f>
        <v>40</v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>
        <f t="shared" si="0"/>
        <v>22</v>
      </c>
      <c r="D26" t="s">
        <v>60</v>
      </c>
      <c r="E26">
        <v>1</v>
      </c>
      <c r="F26">
        <v>147</v>
      </c>
      <c r="H26" s="4">
        <f>IF(Tabla1[[#This Row],[Cantidad]] &gt; 0,CEILING(( Tabla1[[#This Row],[Cantidad]]*Tabla1[[#This Row],[Precio]]) - IF(ISNUMBER(FIND("x", LOWER(G26))), ( Tabla1[[#This Row],[Cantidad]]* Tabla1[[#This Row],[Precio]] * IF(ISNUMBER(FIND("aceite", LOWER(Tabla1[[#This Row],[Producto]]))), 0.05, 0.1)), 0), 0.5), "")</f>
        <v>147</v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x14ac:dyDescent="0.25">
      <c r="B27" s="13"/>
      <c r="C27" t="str">
        <f t="shared" si="0"/>
        <v/>
      </c>
      <c r="H27" s="4" t="str">
        <f>IF(Tabla1[[#This Row],[Cantidad]] &gt; 0,CEILING(( Tabla1[[#This Row],[Cantidad]]*Tabla1[[#This Row],[Precio]]) - IF(ISNUMBER(FIND("x", LOWER(G27))), ( Tabla1[[#This Row],[Cantidad]]* Tabla1[[#This Row],[Precio]] * IF(ISNUMBER(FIND("aceite", LOWER(Tabla1[[#This Row],[Producto]]))), 0.05, 0.1)), 0), 0.5), "")</f>
        <v/>
      </c>
      <c r="M27" s="44" t="s">
        <v>36</v>
      </c>
      <c r="N27" s="45"/>
      <c r="O27" s="33">
        <v>3270</v>
      </c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IF(Tabla1[[#This Row],[Cantidad]] &gt; 0,CEILING(( Tabla1[[#This Row],[Cantidad]]*Tabla1[[#This Row],[Precio]]) - IF(ISNUMBER(FIND("x", LOWER(G28))), ( Tabla1[[#This Row],[Cantidad]]* Tabla1[[#This Row],[Precio]] * IF(ISNUMBER(FIND("aceite", LOWER(Tabla1[[#This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IF(Tabla1[[#This Row],[Cantidad]] &gt; 0,CEILING(( Tabla1[[#This Row],[Cantidad]]*Tabla1[[#This Row],[Precio]]) - IF(ISNUMBER(FIND("x", LOWER(G29))), ( Tabla1[[#This Row],[Cantidad]]* Tabla1[[#This Row],[Precio]] * IF(ISNUMBER(FIND("aceite", LOWER(Tabla1[[#This Row],[Producto]]))), 0.05, 0.1)), 0), 0.5), "")</f>
        <v/>
      </c>
      <c r="M29" s="44" t="s">
        <v>47</v>
      </c>
      <c r="N29" s="45"/>
      <c r="O29" s="33">
        <v>9</v>
      </c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IF(Tabla1[[#This Row],[Cantidad]] &gt; 0,CEILING(( Tabla1[[#This Row],[Cantidad]]*Tabla1[[#This Row],[Precio]]) - IF(ISNUMBER(FIND("x", LOWER(G30))), ( Tabla1[[#This Row],[Cantidad]]* Tabla1[[#This Row],[Precio]] * IF(ISNUMBER(FIND("aceite", LOWER(Tabla1[[#This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IF(Tabla1[[#This Row],[Cantidad]] &gt; 0,CEILING(( Tabla1[[#This Row],[Cantidad]]*Tabla1[[#This Row],[Precio]]) - IF(ISNUMBER(FIND("x", LOWER(G31))), ( Tabla1[[#This Row],[Cantidad]]* Tabla1[[#This Row],[Precio]] * IF(ISNUMBER(FIND("aceite", LOWER(Tabla1[[#This Row],[Producto]]))), 0.05, 0.1)), 0), 0.5), "")</f>
        <v/>
      </c>
      <c r="M31" s="44" t="s">
        <v>49</v>
      </c>
      <c r="N31" s="45"/>
      <c r="O31" s="33">
        <v>1247</v>
      </c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IF(Tabla1[[#This Row],[Cantidad]] &gt; 0,CEILING(( Tabla1[[#This Row],[Cantidad]]*Tabla1[[#This Row],[Precio]]) - IF(ISNUMBER(FIND("x", LOWER(G32))), ( Tabla1[[#This Row],[Cantidad]]* Tabla1[[#This Row],[Precio]] * IF(ISNUMBER(FIND("aceite", LOWER(Tabla1[[#This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IF(Tabla1[[#This Row],[Cantidad]] &gt; 0,CEILING(( Tabla1[[#This Row],[Cantidad]]*Tabla1[[#This Row],[Precio]]) - IF(ISNUMBER(FIND("x", LOWER(G33))), ( Tabla1[[#This Row],[Cantidad]]* Tabla1[[#This Row],[Precio]] * IF(ISNUMBER(FIND("aceite", LOWER(Tabla1[[#This Row],[Producto]]))), 0.05, 0.1)), 0), 0.5), "")</f>
        <v/>
      </c>
      <c r="M33" s="44" t="s">
        <v>54</v>
      </c>
      <c r="N33" s="45"/>
      <c r="O33" s="33">
        <v>5161</v>
      </c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IF(Tabla1[[#This Row],[Cantidad]] &gt; 0,CEILING(( Tabla1[[#This Row],[Cantidad]]*Tabla1[[#This Row],[Precio]]) - IF(ISNUMBER(FIND("x", LOWER(G34))), ( Tabla1[[#This Row],[Cantidad]]* Tabla1[[#This Row],[Precio]] * IF(ISNUMBER(FIND("aceite", LOWER(Tabla1[[#This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IF(Tabla1[[#This Row],[Cantidad]] &gt; 0,CEILING(( Tabla1[[#This Row],[Cantidad]]*Tabla1[[#This Row],[Precio]]) - IF(ISNUMBER(FIND("x", LOWER(G35))), ( Tabla1[[#This Row],[Cantidad]]* Tabla1[[#This Row],[Precio]] * IF(ISNUMBER(FIND("aceite", LOWER(Tabla1[[#This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IF(Tabla1[[#This Row],[Cantidad]] &gt; 0,CEILING(( Tabla1[[#This Row],[Cantidad]]*Tabla1[[#This Row],[Precio]]) - IF(ISNUMBER(FIND("x", LOWER(G36))), ( Tabla1[[#This Row],[Cantidad]]* Tabla1[[#This Row],[Precio]] * IF(ISNUMBER(FIND("aceite", LOWER(Tabla1[[#This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ref="C37:C68" si="1">IF(ISNUMBER(E37), IF(ISNUMBER(C36), C36+1, 1), "")</f>
        <v/>
      </c>
      <c r="H37" s="4" t="str">
        <f>IF(Tabla1[[#This Row],[Cantidad]] &gt; 0,CEILING(( Tabla1[[#This Row],[Cantidad]]*Tabla1[[#This Row],[Precio]]) - IF(ISNUMBER(FIND("x", LOWER(G37))), ( Tabla1[[#This Row],[Cantidad]]* Tabla1[[#This Row],[Precio]] * IF(ISNUMBER(FIND("aceite", LOWER(Tabla1[[#This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1"/>
        <v/>
      </c>
      <c r="H38" s="4" t="str">
        <f>IF(Tabla1[[#This Row],[Cantidad]] &gt; 0,CEILING(( Tabla1[[#This Row],[Cantidad]]*Tabla1[[#This Row],[Precio]]) - IF(ISNUMBER(FIND("x", LOWER(G38))), ( Tabla1[[#This Row],[Cantidad]]* Tabla1[[#This Row],[Precio]] * IF(ISNUMBER(FIND("aceite", LOWER(Tabla1[[#This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1"/>
        <v/>
      </c>
      <c r="H39" s="4" t="str">
        <f>IF(Tabla1[[#This Row],[Cantidad]] &gt; 0,CEILING(( Tabla1[[#This Row],[Cantidad]]*Tabla1[[#This Row],[Precio]]) - IF(ISNUMBER(FIND("x", LOWER(G39))), ( Tabla1[[#This Row],[Cantidad]]* Tabla1[[#This Row],[Precio]] * IF(ISNUMBER(FIND("aceite", LOWER(Tabla1[[#This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1"/>
        <v/>
      </c>
      <c r="H40" s="4" t="str">
        <f>IF(Tabla1[[#This Row],[Cantidad]] &gt; 0,CEILING(( Tabla1[[#This Row],[Cantidad]]*Tabla1[[#This Row],[Precio]]) - IF(ISNUMBER(FIND("x", LOWER(G40))), ( Tabla1[[#This Row],[Cantidad]]* Tabla1[[#This Row],[Precio]] * IF(ISNUMBER(FIND("aceite", LOWER(Tabla1[[#This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1"/>
        <v/>
      </c>
      <c r="H41" s="4" t="str">
        <f>IF(Tabla1[[#This Row],[Cantidad]] &gt; 0,CEILING(( Tabla1[[#This Row],[Cantidad]]*Tabla1[[#This Row],[Precio]]) - IF(ISNUMBER(FIND("x", LOWER(G41))), ( Tabla1[[#This Row],[Cantidad]]* Tabla1[[#This Row],[Precio]] * IF(ISNUMBER(FIND("aceite", LOWER(Tabla1[[#This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1"/>
        <v/>
      </c>
      <c r="H42" s="4" t="str">
        <f>IF(Tabla1[[#This Row],[Cantidad]] &gt; 0,CEILING(( Tabla1[[#This Row],[Cantidad]]*Tabla1[[#This Row],[Precio]]) - IF(ISNUMBER(FIND("x", LOWER(G42))), ( Tabla1[[#This Row],[Cantidad]]* Tabla1[[#This Row],[Precio]] * IF(ISNUMBER(FIND("aceite", LOWER(Tabla1[[#This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1"/>
        <v/>
      </c>
      <c r="H43" s="4" t="str">
        <f>IF(Tabla1[[#This Row],[Cantidad]] &gt; 0,CEILING(( Tabla1[[#This Row],[Cantidad]]*Tabla1[[#This Row],[Precio]]) - IF(ISNUMBER(FIND("x", LOWER(G43))), ( Tabla1[[#This Row],[Cantidad]]* Tabla1[[#This Row],[Precio]] * IF(ISNUMBER(FIND("aceite", LOWER(Tabla1[[#This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1"/>
        <v/>
      </c>
      <c r="H44" s="4" t="str">
        <f>IF(Tabla1[[#This Row],[Cantidad]] &gt; 0,CEILING(( Tabla1[[#This Row],[Cantidad]]*Tabla1[[#This Row],[Precio]]) - IF(ISNUMBER(FIND("x", LOWER(G44))), ( Tabla1[[#This Row],[Cantidad]]* Tabla1[[#This Row],[Precio]] * IF(ISNUMBER(FIND("aceite", LOWER(Tabla1[[#This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1"/>
        <v/>
      </c>
      <c r="H45" s="4" t="str">
        <f>IF(Tabla1[[#This Row],[Cantidad]] &gt; 0,CEILING(( Tabla1[[#This Row],[Cantidad]]*Tabla1[[#This Row],[Precio]]) - IF(ISNUMBER(FIND("x", LOWER(G45))), ( Tabla1[[#This Row],[Cantidad]]* Tabla1[[#This Row],[Precio]] * IF(ISNUMBER(FIND("aceite", LOWER(Tabla1[[#This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1"/>
        <v/>
      </c>
      <c r="H46" s="4" t="str">
        <f>IF(Tabla1[[#This Row],[Cantidad]] &gt; 0,CEILING(( Tabla1[[#This Row],[Cantidad]]*Tabla1[[#This Row],[Precio]]) - IF(ISNUMBER(FIND("x", LOWER(G46))), ( Tabla1[[#This Row],[Cantidad]]* Tabla1[[#This Row],[Precio]] * IF(ISNUMBER(FIND("aceite", LOWER(Tabla1[[#This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1"/>
        <v/>
      </c>
      <c r="H47" s="4" t="str">
        <f>IF(Tabla1[[#This Row],[Cantidad]] &gt; 0,CEILING(( Tabla1[[#This Row],[Cantidad]]*Tabla1[[#This Row],[Precio]]) - IF(ISNUMBER(FIND("x", LOWER(G47))), ( Tabla1[[#This Row],[Cantidad]]* Tabla1[[#This Row],[Precio]] * IF(ISNUMBER(FIND("aceite", LOWER(Tabla1[[#This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1"/>
        <v/>
      </c>
      <c r="H48" s="4" t="str">
        <f>IF(Tabla1[[#This Row],[Cantidad]] &gt; 0,CEILING(( Tabla1[[#This Row],[Cantidad]]*Tabla1[[#This Row],[Precio]]) - IF(ISNUMBER(FIND("x", LOWER(G48))), ( Tabla1[[#This Row],[Cantidad]]* Tabla1[[#This Row],[Precio]] * IF(ISNUMBER(FIND("aceite", LOWER(Tabla1[[#This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1"/>
        <v/>
      </c>
      <c r="H49" s="4" t="str">
        <f>IF(Tabla1[[#This Row],[Cantidad]] &gt; 0,CEILING(( Tabla1[[#This Row],[Cantidad]]*Tabla1[[#This Row],[Precio]]) - IF(ISNUMBER(FIND("x", LOWER(G49))), ( Tabla1[[#This Row],[Cantidad]]* Tabla1[[#This Row],[Precio]] * IF(ISNUMBER(FIND("aceite", LOWER(Tabla1[[#This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1"/>
        <v/>
      </c>
      <c r="H50" s="4" t="str">
        <f>IF(Tabla1[[#This Row],[Cantidad]] &gt; 0,CEILING(( Tabla1[[#This Row],[Cantidad]]*Tabla1[[#This Row],[Precio]]) - IF(ISNUMBER(FIND("x", LOWER(G50))), ( Tabla1[[#This Row],[Cantidad]]* Tabla1[[#This Row],[Precio]] * IF(ISNUMBER(FIND("aceite", LOWER(Tabla1[[#This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1"/>
        <v/>
      </c>
      <c r="H51" s="4" t="str">
        <f>IF(Tabla1[[#This Row],[Cantidad]] &gt; 0,CEILING(( Tabla1[[#This Row],[Cantidad]]*Tabla1[[#This Row],[Precio]]) - IF(ISNUMBER(FIND("x", LOWER(G51))), ( Tabla1[[#This Row],[Cantidad]]* Tabla1[[#This Row],[Precio]] * IF(ISNUMBER(FIND("aceite", LOWER(Tabla1[[#This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1"/>
        <v/>
      </c>
      <c r="H52" s="4" t="str">
        <f>IF(Tabla1[[#This Row],[Cantidad]] &gt; 0,CEILING(( Tabla1[[#This Row],[Cantidad]]*Tabla1[[#This Row],[Precio]]) - IF(ISNUMBER(FIND("x", LOWER(G52))), ( Tabla1[[#This Row],[Cantidad]]* Tabla1[[#This Row],[Precio]] * IF(ISNUMBER(FIND("aceite", LOWER(Tabla1[[#This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1"/>
        <v/>
      </c>
      <c r="H53" s="4" t="str">
        <f>IF(Tabla1[[#This Row],[Cantidad]] &gt; 0,CEILING(( Tabla1[[#This Row],[Cantidad]]*Tabla1[[#This Row],[Precio]]) - IF(ISNUMBER(FIND("x", LOWER(G53))), ( Tabla1[[#This Row],[Cantidad]]* Tabla1[[#This Row],[Precio]] * IF(ISNUMBER(FIND("aceite", LOWER(Tabla1[[#This Row],[Producto]]))), 0.05, 0.1)), 0), 0.5), "")</f>
        <v/>
      </c>
    </row>
    <row r="54" spans="2:18" x14ac:dyDescent="0.25">
      <c r="B54" s="13"/>
      <c r="C54" t="str">
        <f t="shared" si="1"/>
        <v/>
      </c>
      <c r="H54" s="4" t="str">
        <f>IF(Tabla1[[#This Row],[Cantidad]] &gt; 0,CEILING(( Tabla1[[#This Row],[Cantidad]]*Tabla1[[#This Row],[Precio]]) - IF(ISNUMBER(FIND("x", LOWER(G54))), ( Tabla1[[#This Row],[Cantidad]]* Tabla1[[#This Row],[Precio]] * IF(ISNUMBER(FIND("aceite", LOWER(Tabla1[[#This Row],[Producto]]))), 0.05, 0.1)), 0), 0.5), "")</f>
        <v/>
      </c>
    </row>
    <row r="55" spans="2:18" x14ac:dyDescent="0.25">
      <c r="B55" s="13"/>
      <c r="C55" t="str">
        <f t="shared" si="1"/>
        <v/>
      </c>
      <c r="H55" s="4" t="str">
        <f>IF(Tabla1[[#This Row],[Cantidad]] &gt; 0,CEILING(( Tabla1[[#This Row],[Cantidad]]*Tabla1[[#This Row],[Precio]]) - IF(ISNUMBER(FIND("x", LOWER(G55))), ( Tabla1[[#This Row],[Cantidad]]* Tabla1[[#This Row],[Precio]] * IF(ISNUMBER(FIND("aceite", LOWER(Tabla1[[#This Row],[Producto]]))), 0.05, 0.1)), 0), 0.5), "")</f>
        <v/>
      </c>
    </row>
    <row r="56" spans="2:18" x14ac:dyDescent="0.25">
      <c r="B56" s="13"/>
      <c r="C56" t="str">
        <f t="shared" si="1"/>
        <v/>
      </c>
      <c r="H56" s="4" t="str">
        <f>IF(Tabla1[[#This Row],[Cantidad]] &gt; 0,CEILING(( Tabla1[[#This Row],[Cantidad]]*Tabla1[[#This Row],[Precio]]) - IF(ISNUMBER(FIND("x", LOWER(G56))), ( Tabla1[[#This Row],[Cantidad]]* Tabla1[[#This Row],[Precio]] * IF(ISNUMBER(FIND("aceite", LOWER(Tabla1[[#This Row],[Producto]]))), 0.05, 0.1)), 0), 0.5), "")</f>
        <v/>
      </c>
    </row>
    <row r="57" spans="2:18" x14ac:dyDescent="0.25">
      <c r="B57" s="13"/>
      <c r="C57" t="str">
        <f t="shared" si="1"/>
        <v/>
      </c>
      <c r="H57" s="4" t="str">
        <f>IF(Tabla1[[#This Row],[Cantidad]] &gt; 0,CEILING(( Tabla1[[#This Row],[Cantidad]]*Tabla1[[#This Row],[Precio]]) - IF(ISNUMBER(FIND("x", LOWER(G57))), ( Tabla1[[#This Row],[Cantidad]]* Tabla1[[#This Row],[Precio]] * IF(ISNUMBER(FIND("aceite", LOWER(Tabla1[[#This Row],[Producto]]))), 0.05, 0.1)), 0), 0.5), "")</f>
        <v/>
      </c>
    </row>
    <row r="58" spans="2:18" x14ac:dyDescent="0.25">
      <c r="B58" s="13"/>
      <c r="C58" t="str">
        <f t="shared" si="1"/>
        <v/>
      </c>
      <c r="H58" s="4" t="str">
        <f>IF(Tabla1[[#This Row],[Cantidad]] &gt; 0,CEILING(( Tabla1[[#This Row],[Cantidad]]*Tabla1[[#This Row],[Precio]]) - IF(ISNUMBER(FIND("x", LOWER(G58))), ( Tabla1[[#This Row],[Cantidad]]* Tabla1[[#This Row],[Precio]] * IF(ISNUMBER(FIND("aceite", LOWER(Tabla1[[#This Row],[Producto]]))), 0.05, 0.1)), 0), 0.5), "")</f>
        <v/>
      </c>
    </row>
    <row r="59" spans="2:18" x14ac:dyDescent="0.25">
      <c r="B59" s="13"/>
      <c r="C59" t="str">
        <f t="shared" si="1"/>
        <v/>
      </c>
      <c r="H59" s="4" t="str">
        <f>IF(Tabla1[[#This Row],[Cantidad]] &gt; 0,CEILING(( Tabla1[[#This Row],[Cantidad]]*Tabla1[[#This Row],[Precio]]) - IF(ISNUMBER(FIND("x", LOWER(G59))), ( Tabla1[[#This Row],[Cantidad]]* Tabla1[[#This Row],[Precio]] * IF(ISNUMBER(FIND("aceite", LOWER(Tabla1[[#This Row],[Producto]]))), 0.05, 0.1)), 0), 0.5), "")</f>
        <v/>
      </c>
    </row>
    <row r="60" spans="2:18" x14ac:dyDescent="0.25">
      <c r="B60" s="13"/>
      <c r="C60" t="str">
        <f t="shared" si="1"/>
        <v/>
      </c>
      <c r="H60" s="4" t="str">
        <f>IF(Tabla1[[#This Row],[Cantidad]] &gt; 0,CEILING(( Tabla1[[#This Row],[Cantidad]]*Tabla1[[#This Row],[Precio]]) - IF(ISNUMBER(FIND("x", LOWER(G60))), ( Tabla1[[#This Row],[Cantidad]]* Tabla1[[#This Row],[Precio]] * IF(ISNUMBER(FIND("aceite", LOWER(Tabla1[[#This Row],[Producto]]))), 0.05, 0.1)), 0), 0.5), "")</f>
        <v/>
      </c>
    </row>
    <row r="61" spans="2:18" x14ac:dyDescent="0.25">
      <c r="B61" s="13"/>
      <c r="C61" t="str">
        <f t="shared" si="1"/>
        <v/>
      </c>
      <c r="H61" s="4" t="str">
        <f>IF(Tabla1[[#This Row],[Cantidad]] &gt; 0,CEILING(( Tabla1[[#This Row],[Cantidad]]*Tabla1[[#This Row],[Precio]]) - IF(ISNUMBER(FIND("x", LOWER(G61))), ( Tabla1[[#This Row],[Cantidad]]* Tabla1[[#This Row],[Precio]] * IF(ISNUMBER(FIND("aceite", LOWER(Tabla1[[#This Row],[Producto]]))), 0.05, 0.1)), 0), 0.5), "")</f>
        <v/>
      </c>
    </row>
    <row r="62" spans="2:18" x14ac:dyDescent="0.25">
      <c r="B62" s="13"/>
      <c r="C62" t="str">
        <f t="shared" si="1"/>
        <v/>
      </c>
      <c r="H62" s="4" t="str">
        <f>IF(Tabla1[[#This Row],[Cantidad]] &gt; 0,CEILING(( Tabla1[[#This Row],[Cantidad]]*Tabla1[[#This Row],[Precio]]) - IF(ISNUMBER(FIND("x", LOWER(G62))), ( Tabla1[[#This Row],[Cantidad]]* Tabla1[[#This Row],[Precio]] * IF(ISNUMBER(FIND("aceite", LOWER(Tabla1[[#This Row],[Producto]]))), 0.05, 0.1)), 0), 0.5), "")</f>
        <v/>
      </c>
    </row>
    <row r="63" spans="2:18" x14ac:dyDescent="0.25">
      <c r="B63" s="13"/>
      <c r="C63" t="str">
        <f t="shared" si="1"/>
        <v/>
      </c>
      <c r="H63" s="4" t="str">
        <f>IF(Tabla1[[#This Row],[Cantidad]] &gt; 0,CEILING(( Tabla1[[#This Row],[Cantidad]]*Tabla1[[#This Row],[Precio]]) - IF(ISNUMBER(FIND("x", LOWER(G63))), ( Tabla1[[#This Row],[Cantidad]]* Tabla1[[#This Row],[Precio]] * IF(ISNUMBER(FIND("aceite", LOWER(Tabla1[[#This Row],[Producto]]))), 0.05, 0.1)), 0), 0.5), "")</f>
        <v/>
      </c>
    </row>
    <row r="64" spans="2:18" x14ac:dyDescent="0.25">
      <c r="B64" s="13"/>
      <c r="C64" t="str">
        <f t="shared" si="1"/>
        <v/>
      </c>
      <c r="H64" s="4" t="str">
        <f>IF(Tabla1[[#This Row],[Cantidad]] &gt; 0,CEILING(( Tabla1[[#This Row],[Cantidad]]*Tabla1[[#This Row],[Precio]]) - IF(ISNUMBER(FIND("x", LOWER(G64))), ( Tabla1[[#This Row],[Cantidad]]* Tabla1[[#This Row],[Precio]] * IF(ISNUMBER(FIND("aceite", LOWER(Tabla1[[#This Row],[Producto]]))), 0.05, 0.1)), 0), 0.5), "")</f>
        <v/>
      </c>
    </row>
    <row r="65" spans="2:8" x14ac:dyDescent="0.25">
      <c r="B65" s="13"/>
      <c r="C65" t="str">
        <f t="shared" si="1"/>
        <v/>
      </c>
      <c r="H65" s="4" t="str">
        <f>IF(Tabla1[[#This Row],[Cantidad]] &gt; 0,CEILING(( Tabla1[[#This Row],[Cantidad]]*Tabla1[[#This Row],[Precio]]) - IF(ISNUMBER(FIND("x", LOWER(G65))), ( Tabla1[[#This Row],[Cantidad]]* Tabla1[[#This Row],[Precio]] * IF(ISNUMBER(FIND("aceite", LOWER(Tabla1[[#This Row],[Producto]]))), 0.05, 0.1)), 0), 0.5), "")</f>
        <v/>
      </c>
    </row>
    <row r="66" spans="2:8" x14ac:dyDescent="0.25">
      <c r="B66" s="13"/>
      <c r="C66" t="str">
        <f t="shared" si="1"/>
        <v/>
      </c>
      <c r="H66" s="4" t="str">
        <f>IF(Tabla1[[#This Row],[Cantidad]] &gt; 0,CEILING(( Tabla1[[#This Row],[Cantidad]]*Tabla1[[#This Row],[Precio]]) - IF(ISNUMBER(FIND("x", LOWER(G66))), ( Tabla1[[#This Row],[Cantidad]]* Tabla1[[#This Row],[Precio]] * IF(ISNUMBER(FIND("aceite", LOWER(Tabla1[[#This Row],[Producto]]))), 0.05, 0.1)), 0), 0.5), "")</f>
        <v/>
      </c>
    </row>
    <row r="67" spans="2:8" x14ac:dyDescent="0.25">
      <c r="B67" s="13"/>
      <c r="C67" t="str">
        <f t="shared" si="1"/>
        <v/>
      </c>
      <c r="H67" s="4" t="str">
        <f>IF(Tabla1[[#This Row],[Cantidad]] &gt; 0,CEILING(( Tabla1[[#This Row],[Cantidad]]*Tabla1[[#This Row],[Precio]]) - IF(ISNUMBER(FIND("x", LOWER(G67))), ( Tabla1[[#This Row],[Cantidad]]* Tabla1[[#This Row],[Precio]] * IF(ISNUMBER(FIND("aceite", LOWER(Tabla1[[#This Row],[Producto]]))), 0.05, 0.1)), 0), 0.5), "")</f>
        <v/>
      </c>
    </row>
    <row r="68" spans="2:8" x14ac:dyDescent="0.25">
      <c r="B68" s="13"/>
      <c r="C68" t="str">
        <f t="shared" si="1"/>
        <v/>
      </c>
      <c r="H68" s="4" t="str">
        <f>IF(Tabla1[[#This Row],[Cantidad]] &gt; 0,CEILING(( Tabla1[[#This Row],[Cantidad]]*Tabla1[[#This Row],[Precio]]) - IF(ISNUMBER(FIND("x", LOWER(G68))), ( Tabla1[[#This Row],[Cantidad]]* Tabla1[[#This Row],[Precio]] * IF(ISNUMBER(FIND("aceite", LOWER(Tabla1[[#This Row],[Producto]]))), 0.05, 0.1)), 0), 0.5), "")</f>
        <v/>
      </c>
    </row>
    <row r="69" spans="2:8" x14ac:dyDescent="0.25">
      <c r="B69" s="13"/>
      <c r="C69" t="str">
        <f t="shared" ref="C69:C103" si="2">IF(ISNUMBER(E69), IF(ISNUMBER(C68), C68+1, 1), "")</f>
        <v/>
      </c>
      <c r="H69" s="4" t="str">
        <f>IF(Tabla1[[#This Row],[Cantidad]] &gt; 0,CEILING(( Tabla1[[#This Row],[Cantidad]]*Tabla1[[#This Row],[Precio]]) - IF(ISNUMBER(FIND("x", LOWER(G69))), ( Tabla1[[#This Row],[Cantidad]]* Tabla1[[#This Row],[Precio]] * IF(ISNUMBER(FIND("aceite", LOWER(Tabla1[[#This Row],[Producto]]))), 0.05, 0.1)), 0), 0.5), "")</f>
        <v/>
      </c>
    </row>
    <row r="70" spans="2:8" x14ac:dyDescent="0.25">
      <c r="B70" s="13"/>
      <c r="C70" t="str">
        <f t="shared" si="2"/>
        <v/>
      </c>
      <c r="H70" s="4" t="str">
        <f>IF(Tabla1[[#This Row],[Cantidad]] &gt; 0,CEILING(( Tabla1[[#This Row],[Cantidad]]*Tabla1[[#This Row],[Precio]]) - IF(ISNUMBER(FIND("x", LOWER(G70))), ( Tabla1[[#This Row],[Cantidad]]* Tabla1[[#This Row],[Precio]] * IF(ISNUMBER(FIND("aceite", LOWER(Tabla1[[#This Row],[Producto]]))), 0.05, 0.1)), 0), 0.5), "")</f>
        <v/>
      </c>
    </row>
    <row r="71" spans="2:8" x14ac:dyDescent="0.25">
      <c r="B71" s="13"/>
      <c r="C71" t="str">
        <f t="shared" si="2"/>
        <v/>
      </c>
      <c r="H71" s="4" t="str">
        <f>IF(Tabla1[[#This Row],[Cantidad]] &gt; 0,CEILING(( Tabla1[[#This Row],[Cantidad]]*Tabla1[[#This Row],[Precio]]) - IF(ISNUMBER(FIND("x", LOWER(G71))), ( Tabla1[[#This Row],[Cantidad]]* Tabla1[[#This Row],[Precio]] * IF(ISNUMBER(FIND("aceite", LOWER(Tabla1[[#This Row],[Producto]]))), 0.05, 0.1)), 0), 0.5), "")</f>
        <v/>
      </c>
    </row>
    <row r="72" spans="2:8" x14ac:dyDescent="0.25">
      <c r="B72" s="13"/>
      <c r="C72" t="str">
        <f t="shared" si="2"/>
        <v/>
      </c>
      <c r="H72" s="4" t="str">
        <f>IF(Tabla1[[#This Row],[Cantidad]] &gt; 0,CEILING(( Tabla1[[#This Row],[Cantidad]]*Tabla1[[#This Row],[Precio]]) - IF(ISNUMBER(FIND("x", LOWER(G72))), ( Tabla1[[#This Row],[Cantidad]]* Tabla1[[#This Row],[Precio]] * IF(ISNUMBER(FIND("aceite", LOWER(Tabla1[[#This Row],[Producto]]))), 0.05, 0.1)), 0), 0.5), "")</f>
        <v/>
      </c>
    </row>
    <row r="73" spans="2:8" x14ac:dyDescent="0.25">
      <c r="B73" s="13"/>
      <c r="C73" t="str">
        <f t="shared" si="2"/>
        <v/>
      </c>
      <c r="H73" s="4" t="str">
        <f>IF(Tabla1[[#This Row],[Cantidad]] &gt; 0,CEILING(( Tabla1[[#This Row],[Cantidad]]*Tabla1[[#This Row],[Precio]]) - IF(ISNUMBER(FIND("x", LOWER(G73))), ( Tabla1[[#This Row],[Cantidad]]* Tabla1[[#This Row],[Precio]] * IF(ISNUMBER(FIND("aceite", LOWER(Tabla1[[#This Row],[Producto]]))), 0.05, 0.1)), 0), 0.5), "")</f>
        <v/>
      </c>
    </row>
    <row r="74" spans="2:8" x14ac:dyDescent="0.25">
      <c r="B74" s="13"/>
      <c r="C74" t="str">
        <f t="shared" si="2"/>
        <v/>
      </c>
      <c r="H74" s="4" t="str">
        <f>IF(Tabla1[[#This Row],[Cantidad]] &gt; 0,CEILING(( Tabla1[[#This Row],[Cantidad]]*Tabla1[[#This Row],[Precio]]) - IF(ISNUMBER(FIND("x", LOWER(G74))), ( Tabla1[[#This Row],[Cantidad]]* Tabla1[[#This Row],[Precio]] * IF(ISNUMBER(FIND("aceite", LOWER(Tabla1[[#This Row],[Producto]]))), 0.05, 0.1)), 0), 0.5), "")</f>
        <v/>
      </c>
    </row>
    <row r="75" spans="2:8" x14ac:dyDescent="0.25">
      <c r="B75" s="13"/>
      <c r="C75" t="str">
        <f t="shared" si="2"/>
        <v/>
      </c>
      <c r="H75" s="4" t="str">
        <f>IF(Tabla1[[#This Row],[Cantidad]] &gt; 0,CEILING(( Tabla1[[#This Row],[Cantidad]]*Tabla1[[#This Row],[Precio]]) - IF(ISNUMBER(FIND("x", LOWER(G75))), ( Tabla1[[#This Row],[Cantidad]]* Tabla1[[#This Row],[Precio]] * IF(ISNUMBER(FIND("aceite", LOWER(Tabla1[[#This Row],[Producto]]))), 0.05, 0.1)), 0), 0.5), "")</f>
        <v/>
      </c>
    </row>
    <row r="76" spans="2:8" x14ac:dyDescent="0.25">
      <c r="B76" s="13"/>
      <c r="C76" t="str">
        <f t="shared" si="2"/>
        <v/>
      </c>
      <c r="H76" s="4" t="str">
        <f>IF(Tabla1[[#This Row],[Cantidad]] &gt; 0,CEILING(( Tabla1[[#This Row],[Cantidad]]*Tabla1[[#This Row],[Precio]]) - IF(ISNUMBER(FIND("x", LOWER(G76))), ( Tabla1[[#This Row],[Cantidad]]* Tabla1[[#This Row],[Precio]] * IF(ISNUMBER(FIND("aceite", LOWER(Tabla1[[#This Row],[Producto]]))), 0.05, 0.1)), 0), 0.5), "")</f>
        <v/>
      </c>
    </row>
    <row r="77" spans="2:8" x14ac:dyDescent="0.25">
      <c r="B77" s="13"/>
      <c r="C77" t="str">
        <f t="shared" si="2"/>
        <v/>
      </c>
      <c r="H77" s="4" t="str">
        <f>IF(Tabla1[[#This Row],[Cantidad]] &gt; 0,CEILING(( Tabla1[[#This Row],[Cantidad]]*Tabla1[[#This Row],[Precio]]) - IF(ISNUMBER(FIND("x", LOWER(G77))), ( Tabla1[[#This Row],[Cantidad]]* Tabla1[[#This Row],[Precio]] * IF(ISNUMBER(FIND("aceite", LOWER(Tabla1[[#This Row],[Producto]]))), 0.05, 0.1)), 0), 0.5), "")</f>
        <v/>
      </c>
    </row>
    <row r="78" spans="2:8" x14ac:dyDescent="0.25">
      <c r="B78" s="13"/>
      <c r="C78" t="str">
        <f t="shared" si="2"/>
        <v/>
      </c>
      <c r="H78" s="4" t="str">
        <f>IF(Tabla1[[#This Row],[Cantidad]] &gt; 0,CEILING(( Tabla1[[#This Row],[Cantidad]]*Tabla1[[#This Row],[Precio]]) - IF(ISNUMBER(FIND("x", LOWER(G78))), ( Tabla1[[#This Row],[Cantidad]]* Tabla1[[#This Row],[Precio]] * IF(ISNUMBER(FIND("aceite", LOWER(Tabla1[[#This Row],[Producto]]))), 0.05, 0.1)), 0), 0.5), "")</f>
        <v/>
      </c>
    </row>
    <row r="79" spans="2:8" x14ac:dyDescent="0.25">
      <c r="B79" s="13"/>
      <c r="C79" t="str">
        <f t="shared" si="2"/>
        <v/>
      </c>
      <c r="H79" s="4" t="str">
        <f>IF(Tabla1[[#This Row],[Cantidad]] &gt; 0,CEILING(( Tabla1[[#This Row],[Cantidad]]*Tabla1[[#This Row],[Precio]]) - IF(ISNUMBER(FIND("x", LOWER(G79))), ( Tabla1[[#This Row],[Cantidad]]* Tabla1[[#This Row],[Precio]] * IF(ISNUMBER(FIND("aceite", LOWER(Tabla1[[#This Row],[Producto]]))), 0.05, 0.1)), 0), 0.5), "")</f>
        <v/>
      </c>
    </row>
    <row r="80" spans="2:8" x14ac:dyDescent="0.25">
      <c r="B80" s="13"/>
      <c r="C80" t="str">
        <f t="shared" si="2"/>
        <v/>
      </c>
      <c r="H80" s="4" t="str">
        <f>IF(Tabla1[[#This Row],[Cantidad]] &gt; 0,CEILING(( Tabla1[[#This Row],[Cantidad]]*Tabla1[[#This Row],[Precio]]) - IF(ISNUMBER(FIND("x", LOWER(G80))), ( Tabla1[[#This Row],[Cantidad]]* Tabla1[[#This Row],[Precio]] * IF(ISNUMBER(FIND("aceite", LOWER(Tabla1[[#This Row],[Producto]]))), 0.05, 0.1)), 0), 0.5), "")</f>
        <v/>
      </c>
    </row>
    <row r="81" spans="2:8" x14ac:dyDescent="0.25">
      <c r="B81" s="13"/>
      <c r="C81" t="str">
        <f t="shared" si="2"/>
        <v/>
      </c>
      <c r="H81" s="4" t="str">
        <f>IF(Tabla1[[#This Row],[Cantidad]] &gt; 0,CEILING(( Tabla1[[#This Row],[Cantidad]]*Tabla1[[#This Row],[Precio]]) - IF(ISNUMBER(FIND("x", LOWER(G81))), ( Tabla1[[#This Row],[Cantidad]]* Tabla1[[#This Row],[Precio]] * IF(ISNUMBER(FIND("aceite", LOWER(Tabla1[[#This Row],[Producto]]))), 0.05, 0.1)), 0), 0.5), "")</f>
        <v/>
      </c>
    </row>
    <row r="82" spans="2:8" x14ac:dyDescent="0.25">
      <c r="B82" s="13"/>
      <c r="C82" t="str">
        <f t="shared" si="2"/>
        <v/>
      </c>
      <c r="H82" s="4" t="str">
        <f>IF(Tabla1[[#This Row],[Cantidad]] &gt; 0,CEILING(( Tabla1[[#This Row],[Cantidad]]*Tabla1[[#This Row],[Precio]]) - IF(ISNUMBER(FIND("x", LOWER(G82))), ( Tabla1[[#This Row],[Cantidad]]* Tabla1[[#This Row],[Precio]] * IF(ISNUMBER(FIND("aceite", LOWER(Tabla1[[#This Row],[Producto]]))), 0.05, 0.1)), 0), 0.5), "")</f>
        <v/>
      </c>
    </row>
    <row r="83" spans="2:8" x14ac:dyDescent="0.25">
      <c r="B83" s="13"/>
      <c r="C83" t="str">
        <f t="shared" si="2"/>
        <v/>
      </c>
      <c r="H83" s="4" t="str">
        <f>IF(Tabla1[[#This Row],[Cantidad]] &gt; 0,CEILING(( Tabla1[[#This Row],[Cantidad]]*Tabla1[[#This Row],[Precio]]) - IF(ISNUMBER(FIND("x", LOWER(G83))), ( Tabla1[[#This Row],[Cantidad]]* Tabla1[[#This Row],[Precio]] * IF(ISNUMBER(FIND("aceite", LOWER(Tabla1[[#This Row],[Producto]]))), 0.05, 0.1)), 0), 0.5), "")</f>
        <v/>
      </c>
    </row>
    <row r="84" spans="2:8" x14ac:dyDescent="0.25">
      <c r="B84" s="13"/>
      <c r="C84" t="str">
        <f t="shared" si="2"/>
        <v/>
      </c>
      <c r="H84" s="4" t="str">
        <f>IF(Tabla1[[#This Row],[Cantidad]] &gt; 0,CEILING(( Tabla1[[#This Row],[Cantidad]]*Tabla1[[#This Row],[Precio]]) - IF(ISNUMBER(FIND("x", LOWER(G84))), ( Tabla1[[#This Row],[Cantidad]]* Tabla1[[#This Row],[Precio]] * IF(ISNUMBER(FIND("aceite", LOWER(Tabla1[[#This Row],[Producto]]))), 0.05, 0.1)), 0), 0.5), "")</f>
        <v/>
      </c>
    </row>
    <row r="85" spans="2:8" x14ac:dyDescent="0.25">
      <c r="B85" s="13"/>
      <c r="C85" t="str">
        <f t="shared" si="2"/>
        <v/>
      </c>
      <c r="H85" s="4" t="str">
        <f>IF(Tabla1[[#This Row],[Cantidad]] &gt; 0,CEILING(( Tabla1[[#This Row],[Cantidad]]*Tabla1[[#This Row],[Precio]]) - IF(ISNUMBER(FIND("x", LOWER(G85))), ( Tabla1[[#This Row],[Cantidad]]* Tabla1[[#This Row],[Precio]] * IF(ISNUMBER(FIND("aceite", LOWER(Tabla1[[#This Row],[Producto]]))), 0.05, 0.1)), 0), 0.5), "")</f>
        <v/>
      </c>
    </row>
    <row r="86" spans="2:8" x14ac:dyDescent="0.25">
      <c r="B86" s="13"/>
      <c r="C86" t="str">
        <f t="shared" si="2"/>
        <v/>
      </c>
      <c r="H86" s="4" t="str">
        <f>IF(Tabla1[[#This Row],[Cantidad]] &gt; 0,CEILING(( Tabla1[[#This Row],[Cantidad]]*Tabla1[[#This Row],[Precio]]) - IF(ISNUMBER(FIND("x", LOWER(G86))), ( Tabla1[[#This Row],[Cantidad]]* Tabla1[[#This Row],[Precio]] * IF(ISNUMBER(FIND("aceite", LOWER(Tabla1[[#This Row],[Producto]]))), 0.05, 0.1)), 0), 0.5), "")</f>
        <v/>
      </c>
    </row>
    <row r="87" spans="2:8" x14ac:dyDescent="0.25">
      <c r="B87" s="13"/>
      <c r="C87" t="str">
        <f t="shared" si="2"/>
        <v/>
      </c>
      <c r="H87" s="4" t="str">
        <f>IF(Tabla1[[#This Row],[Cantidad]] &gt; 0,CEILING(( Tabla1[[#This Row],[Cantidad]]*Tabla1[[#This Row],[Precio]]) - IF(ISNUMBER(FIND("x", LOWER(G87))), ( Tabla1[[#This Row],[Cantidad]]* Tabla1[[#This Row],[Precio]] * IF(ISNUMBER(FIND("aceite", LOWER(Tabla1[[#This Row],[Producto]]))), 0.05, 0.1)), 0), 0.5), "")</f>
        <v/>
      </c>
    </row>
    <row r="88" spans="2:8" x14ac:dyDescent="0.25">
      <c r="B88" s="13"/>
      <c r="C88" t="str">
        <f t="shared" si="2"/>
        <v/>
      </c>
      <c r="H88" s="4" t="str">
        <f>IF(Tabla1[[#This Row],[Cantidad]] &gt; 0,CEILING(( Tabla1[[#This Row],[Cantidad]]*Tabla1[[#This Row],[Precio]]) - IF(ISNUMBER(FIND("x", LOWER(G88))), ( Tabla1[[#This Row],[Cantidad]]* Tabla1[[#This Row],[Precio]] * IF(ISNUMBER(FIND("aceite", LOWER(Tabla1[[#This Row],[Producto]]))), 0.05, 0.1)), 0), 0.5), "")</f>
        <v/>
      </c>
    </row>
    <row r="89" spans="2:8" x14ac:dyDescent="0.25">
      <c r="B89" s="13"/>
      <c r="C89" t="str">
        <f t="shared" si="2"/>
        <v/>
      </c>
      <c r="H89" s="4" t="str">
        <f>IF(Tabla1[[#This Row],[Cantidad]] &gt; 0,CEILING(( Tabla1[[#This Row],[Cantidad]]*Tabla1[[#This Row],[Precio]]) - IF(ISNUMBER(FIND("x", LOWER(G89))), ( Tabla1[[#This Row],[Cantidad]]* Tabla1[[#This Row],[Precio]] * IF(ISNUMBER(FIND("aceite", LOWER(Tabla1[[#This Row],[Producto]]))), 0.05, 0.1)), 0), 0.5), "")</f>
        <v/>
      </c>
    </row>
    <row r="90" spans="2:8" x14ac:dyDescent="0.25">
      <c r="B90" s="13"/>
      <c r="C90" t="str">
        <f t="shared" si="2"/>
        <v/>
      </c>
      <c r="H90" s="4" t="str">
        <f>IF(Tabla1[[#This Row],[Cantidad]] &gt; 0,CEILING(( Tabla1[[#This Row],[Cantidad]]*Tabla1[[#This Row],[Precio]]) - IF(ISNUMBER(FIND("x", LOWER(G90))), ( Tabla1[[#This Row],[Cantidad]]* Tabla1[[#This Row],[Precio]] * IF(ISNUMBER(FIND("aceite", LOWER(Tabla1[[#This Row],[Producto]]))), 0.05, 0.1)), 0), 0.5), "")</f>
        <v/>
      </c>
    </row>
    <row r="91" spans="2:8" x14ac:dyDescent="0.25">
      <c r="B91" s="13"/>
      <c r="C91" t="str">
        <f t="shared" si="2"/>
        <v/>
      </c>
      <c r="H91" s="4" t="str">
        <f>IF(Tabla1[[#This Row],[Cantidad]] &gt; 0,CEILING(( Tabla1[[#This Row],[Cantidad]]*Tabla1[[#This Row],[Precio]]) - IF(ISNUMBER(FIND("x", LOWER(G91))), ( Tabla1[[#This Row],[Cantidad]]* Tabla1[[#This Row],[Precio]] * IF(ISNUMBER(FIND("aceite", LOWER(Tabla1[[#This Row],[Producto]]))), 0.05, 0.1)), 0), 0.5), "")</f>
        <v/>
      </c>
    </row>
    <row r="92" spans="2:8" x14ac:dyDescent="0.25">
      <c r="B92" s="13"/>
      <c r="C92" t="str">
        <f t="shared" si="2"/>
        <v/>
      </c>
      <c r="H92" s="4" t="str">
        <f>IF(Tabla1[[#This Row],[Cantidad]] &gt; 0,CEILING(( Tabla1[[#This Row],[Cantidad]]*Tabla1[[#This Row],[Precio]]) - IF(ISNUMBER(FIND("x", LOWER(G92))), ( Tabla1[[#This Row],[Cantidad]]* Tabla1[[#This Row],[Precio]] * IF(ISNUMBER(FIND("aceite", LOWER(Tabla1[[#This Row],[Producto]]))), 0.05, 0.1)), 0), 0.5), "")</f>
        <v/>
      </c>
    </row>
    <row r="93" spans="2:8" x14ac:dyDescent="0.25">
      <c r="B93" s="13"/>
      <c r="C93" t="str">
        <f t="shared" si="2"/>
        <v/>
      </c>
      <c r="H93" s="4" t="str">
        <f>IF(Tabla1[[#This Row],[Cantidad]] &gt; 0,CEILING(( Tabla1[[#This Row],[Cantidad]]*Tabla1[[#This Row],[Precio]]) - IF(ISNUMBER(FIND("x", LOWER(G93))), ( Tabla1[[#This Row],[Cantidad]]* Tabla1[[#This Row],[Precio]] * IF(ISNUMBER(FIND("aceite", LOWER(Tabla1[[#This Row],[Producto]]))), 0.05, 0.1)), 0), 0.5), "")</f>
        <v/>
      </c>
    </row>
    <row r="94" spans="2:8" x14ac:dyDescent="0.25">
      <c r="B94" s="13"/>
      <c r="C94" t="str">
        <f t="shared" si="2"/>
        <v/>
      </c>
      <c r="H94" s="4" t="str">
        <f>IF(Tabla1[[#This Row],[Cantidad]] &gt; 0,CEILING(( Tabla1[[#This Row],[Cantidad]]*Tabla1[[#This Row],[Precio]]) - IF(ISNUMBER(FIND("x", LOWER(G94))), ( Tabla1[[#This Row],[Cantidad]]* Tabla1[[#This Row],[Precio]] * IF(ISNUMBER(FIND("aceite", LOWER(Tabla1[[#This Row],[Producto]]))), 0.05, 0.1)), 0), 0.5), "")</f>
        <v/>
      </c>
    </row>
    <row r="95" spans="2:8" x14ac:dyDescent="0.25">
      <c r="B95" s="13"/>
      <c r="C95" t="str">
        <f t="shared" si="2"/>
        <v/>
      </c>
      <c r="H95" s="4" t="str">
        <f>IF(Tabla1[[#This Row],[Cantidad]] &gt; 0,CEILING(( Tabla1[[#This Row],[Cantidad]]*Tabla1[[#This Row],[Precio]]) - IF(ISNUMBER(FIND("x", LOWER(G95))), ( Tabla1[[#This Row],[Cantidad]]* Tabla1[[#This Row],[Precio]] * IF(ISNUMBER(FIND("aceite", LOWER(Tabla1[[#This Row],[Producto]]))), 0.05, 0.1)), 0), 0.5), "")</f>
        <v/>
      </c>
    </row>
    <row r="96" spans="2:8" x14ac:dyDescent="0.25">
      <c r="B96" s="13"/>
      <c r="C96" t="str">
        <f t="shared" si="2"/>
        <v/>
      </c>
      <c r="H96" s="4" t="str">
        <f>IF(Tabla1[[#This Row],[Cantidad]] &gt; 0,CEILING(( Tabla1[[#This Row],[Cantidad]]*Tabla1[[#This Row],[Precio]]) - IF(ISNUMBER(FIND("x", LOWER(G96))), ( Tabla1[[#This Row],[Cantidad]]* Tabla1[[#This Row],[Precio]] * IF(ISNUMBER(FIND("aceite", LOWER(Tabla1[[#This Row],[Producto]]))), 0.05, 0.1)), 0), 0.5), "")</f>
        <v/>
      </c>
    </row>
    <row r="97" spans="2:8" x14ac:dyDescent="0.25">
      <c r="B97" s="13"/>
      <c r="C97" t="str">
        <f t="shared" si="2"/>
        <v/>
      </c>
      <c r="H97" s="4" t="str">
        <f>IF(Tabla1[[#This Row],[Cantidad]] &gt; 0,CEILING(( Tabla1[[#This Row],[Cantidad]]*Tabla1[[#This Row],[Precio]]) - IF(ISNUMBER(FIND("x", LOWER(G97))), ( Tabla1[[#This Row],[Cantidad]]* Tabla1[[#This Row],[Precio]] * IF(ISNUMBER(FIND("aceite", LOWER(Tabla1[[#This Row],[Producto]]))), 0.05, 0.1)), 0), 0.5), "")</f>
        <v/>
      </c>
    </row>
    <row r="98" spans="2:8" x14ac:dyDescent="0.25">
      <c r="B98" s="13"/>
      <c r="C98" t="str">
        <f t="shared" si="2"/>
        <v/>
      </c>
      <c r="H98" s="4" t="str">
        <f>IF(Tabla1[[#This Row],[Cantidad]] &gt; 0,CEILING(( Tabla1[[#This Row],[Cantidad]]*Tabla1[[#This Row],[Precio]]) - IF(ISNUMBER(FIND("x", LOWER(G98))), ( Tabla1[[#This Row],[Cantidad]]* Tabla1[[#This Row],[Precio]] * IF(ISNUMBER(FIND("aceite", LOWER(Tabla1[[#This Row],[Producto]]))), 0.05, 0.1)), 0), 0.5), "")</f>
        <v/>
      </c>
    </row>
    <row r="99" spans="2:8" x14ac:dyDescent="0.25">
      <c r="B99" s="13"/>
      <c r="C99" t="str">
        <f t="shared" si="2"/>
        <v/>
      </c>
      <c r="H99" s="4" t="str">
        <f>IF(Tabla1[[#This Row],[Cantidad]] &gt; 0,CEILING(( Tabla1[[#This Row],[Cantidad]]*Tabla1[[#This Row],[Precio]]) - IF(ISNUMBER(FIND("x", LOWER(G99))), ( Tabla1[[#This Row],[Cantidad]]* Tabla1[[#This Row],[Precio]] * IF(ISNUMBER(FIND("aceite", LOWER(Tabla1[[#This Row],[Producto]]))), 0.05, 0.1)), 0), 0.5), "")</f>
        <v/>
      </c>
    </row>
    <row r="100" spans="2:8" x14ac:dyDescent="0.25">
      <c r="B100" s="13"/>
      <c r="C100" t="str">
        <f t="shared" si="2"/>
        <v/>
      </c>
      <c r="H100" s="4" t="str">
        <f>IF(Tabla1[[#This Row],[Cantidad]] &gt; 0,CEILING(( Tabla1[[#This Row],[Cantidad]]*Tabla1[[#This Row],[Precio]]) - IF(ISNUMBER(FIND("x", LOWER(G100))), ( Tabla1[[#This Row],[Cantidad]]* Tabla1[[#This Row],[Precio]] * IF(ISNUMBER(FIND("aceite", LOWER(Tabla1[[#This Row],[Producto]]))), 0.05, 0.1)), 0), 0.5), "")</f>
        <v/>
      </c>
    </row>
    <row r="101" spans="2:8" x14ac:dyDescent="0.25">
      <c r="B101" s="13"/>
      <c r="C101" t="str">
        <f t="shared" si="2"/>
        <v/>
      </c>
      <c r="H101" s="4" t="str">
        <f>IF(Tabla1[[#This Row],[Cantidad]] &gt; 0,CEILING(( Tabla1[[#This Row],[Cantidad]]*Tabla1[[#This Row],[Precio]]) - IF(ISNUMBER(FIND("x", LOWER(G101))), ( Tabla1[[#This Row],[Cantidad]]* Tabla1[[#This Row],[Precio]] * IF(ISNUMBER(FIND("aceite", LOWER(Tabla1[[#This Row],[Producto]]))), 0.05, 0.1)), 0), 0.5), "")</f>
        <v/>
      </c>
    </row>
    <row r="102" spans="2:8" x14ac:dyDescent="0.25">
      <c r="B102" s="13"/>
      <c r="C102" t="str">
        <f t="shared" si="2"/>
        <v/>
      </c>
      <c r="H102" s="4" t="str">
        <f>IF(Tabla1[[#This Row],[Cantidad]] &gt; 0,CEILING(( Tabla1[[#This Row],[Cantidad]]*Tabla1[[#This Row],[Precio]]) - IF(ISNUMBER(FIND("x", LOWER(G102))), ( Tabla1[[#This Row],[Cantidad]]* Tabla1[[#This Row],[Precio]] * IF(ISNUMBER(FIND("aceite", LOWER(Tabla1[[#This Row],[Producto]]))), 0.05, 0.1)), 0), 0.5), "")</f>
        <v/>
      </c>
    </row>
    <row r="103" spans="2:8" x14ac:dyDescent="0.25">
      <c r="B103" s="13"/>
      <c r="C103" t="str">
        <f t="shared" si="2"/>
        <v/>
      </c>
      <c r="H103" s="4" t="str">
        <f>IF(Tabla1[[#This Row],[Cantidad]] &gt; 0,CEILING(( Tabla1[[#This Row],[Cantidad]]*Tabla1[[#This Row],[Precio]]) - IF(ISNUMBER(FIND("x", LOWER(G103))), ( Tabla1[[#This Row],[Cantidad]]* Tabla1[[#This Row],[Precio]] * IF(ISNUMBER(FIND("aceite", LOWER(Tabla1[[#This Row],[Producto]]))), 0.05, 0.1)), 0), 0.5), "")</f>
        <v/>
      </c>
    </row>
  </sheetData>
  <mergeCells count="58">
    <mergeCell ref="M41:N42"/>
    <mergeCell ref="M43:N44"/>
    <mergeCell ref="M31:N32"/>
    <mergeCell ref="M33:N34"/>
    <mergeCell ref="M35:N36"/>
    <mergeCell ref="M37:N38"/>
    <mergeCell ref="M39:N40"/>
    <mergeCell ref="O49:O50"/>
    <mergeCell ref="P49:R50"/>
    <mergeCell ref="M51:N52"/>
    <mergeCell ref="O51:O52"/>
    <mergeCell ref="P51:R52"/>
    <mergeCell ref="M49:N50"/>
    <mergeCell ref="O45:O46"/>
    <mergeCell ref="P45:R46"/>
    <mergeCell ref="M47:N48"/>
    <mergeCell ref="O47:O48"/>
    <mergeCell ref="P47:R48"/>
    <mergeCell ref="M45:N46"/>
    <mergeCell ref="O35:O36"/>
    <mergeCell ref="O37:O38"/>
    <mergeCell ref="O39:O40"/>
    <mergeCell ref="P31:R32"/>
    <mergeCell ref="P33:R34"/>
    <mergeCell ref="P35:R36"/>
    <mergeCell ref="P37:R38"/>
    <mergeCell ref="P39:R40"/>
    <mergeCell ref="O41:O42"/>
    <mergeCell ref="O43:O44"/>
    <mergeCell ref="P41:R42"/>
    <mergeCell ref="P43:R44"/>
    <mergeCell ref="M24:R24"/>
    <mergeCell ref="M25:R25"/>
    <mergeCell ref="P26:R26"/>
    <mergeCell ref="M26:N26"/>
    <mergeCell ref="M27:N28"/>
    <mergeCell ref="M29:N30"/>
    <mergeCell ref="O27:O28"/>
    <mergeCell ref="O29:O30"/>
    <mergeCell ref="P27:R28"/>
    <mergeCell ref="P29:R30"/>
    <mergeCell ref="O31:O32"/>
    <mergeCell ref="O33:O34"/>
    <mergeCell ref="C2:H2"/>
    <mergeCell ref="M4:R22"/>
    <mergeCell ref="M2:R2"/>
    <mergeCell ref="M3:R3"/>
    <mergeCell ref="J16:J17"/>
    <mergeCell ref="K16:K17"/>
    <mergeCell ref="J18:J19"/>
    <mergeCell ref="K18:K19"/>
    <mergeCell ref="J20:J21"/>
    <mergeCell ref="K20:K21"/>
    <mergeCell ref="J5:K8"/>
    <mergeCell ref="J10:J11"/>
    <mergeCell ref="J12:J13"/>
    <mergeCell ref="K10:K11"/>
    <mergeCell ref="K12:K13"/>
  </mergeCells>
  <conditionalFormatting sqref="D5:D6">
    <cfRule type="expression" dxfId="27" priority="2">
      <formula>E5&gt;0&amp;ISBLANK(D5)</formula>
    </cfRule>
  </conditionalFormatting>
  <conditionalFormatting sqref="B5:B103">
    <cfRule type="expression" dxfId="26" priority="1">
      <formula>C5&gt;0&amp;ISBLANK(B5)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R103"/>
  <sheetViews>
    <sheetView zoomScale="85" zoomScaleNormal="85" workbookViewId="0">
      <selection activeCell="D21" sqref="D21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61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SUM(Tabla110[Importa])</f>
        <v>937.5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16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46294.411921296298</v>
      </c>
      <c r="C5">
        <f t="shared" ref="C5:C68" si="0">IF(ISNUMBER(E5), IF(ISNUMBER(C4), C4+1, 1), "")</f>
        <v>1</v>
      </c>
      <c r="D5" t="s">
        <v>62</v>
      </c>
      <c r="E5">
        <v>1</v>
      </c>
      <c r="F5">
        <v>15</v>
      </c>
      <c r="H5" s="4">
        <f>IF(Tabla110[[#This Row],[Cantidad]] &gt; 0,CEILING(( Tabla110[[#This Row],[Cantidad]]*Tabla110[[#This Row],[Precio]]) - IF(ISNUMBER(FIND("x", LOWER(G5))), ( Tabla110[[#This Row],[Cantidad]]* Tabla110[[#This Row],[Precio]] * IF(ISNUMBER(FIND("aceite", LOWER(Tabla110[[#This Row],[Producto]]))), 0.05, 0.1)), 0), 0.5), "")</f>
        <v>15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46294.4140162037</v>
      </c>
      <c r="C6">
        <f t="shared" si="0"/>
        <v>2</v>
      </c>
      <c r="D6" t="s">
        <v>63</v>
      </c>
      <c r="E6">
        <v>1</v>
      </c>
      <c r="F6">
        <v>20</v>
      </c>
      <c r="H6" s="4">
        <f>IF(Tabla110[[#This Row],[Cantidad]] &gt; 0,CEILING(( Tabla110[[#This Row],[Cantidad]]*Tabla110[[#This Row],[Precio]]) - IF(ISNUMBER(FIND("x", LOWER(G6))), ( Tabla110[[#This Row],[Cantidad]]* Tabla110[[#This Row],[Precio]] * IF(ISNUMBER(FIND("aceite", LOWER(Tabla110[[#This Row],[Producto]]))), 0.05, 0.1)), 0), 0.5), "")</f>
        <v>20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46294.420428240737</v>
      </c>
      <c r="C7">
        <f t="shared" si="0"/>
        <v>3</v>
      </c>
      <c r="D7" t="s">
        <v>64</v>
      </c>
      <c r="E7">
        <v>1</v>
      </c>
      <c r="F7">
        <v>15</v>
      </c>
      <c r="H7" s="4">
        <f>IF(Tabla110[[#This Row],[Cantidad]] &gt; 0,CEILING(( Tabla110[[#This Row],[Cantidad]]*Tabla110[[#This Row],[Precio]]) - IF(ISNUMBER(FIND("x", LOWER(G7))), ( Tabla110[[#This Row],[Cantidad]]* Tabla110[[#This Row],[Precio]] * IF(ISNUMBER(FIND("aceite", LOWER(Tabla110[[#This Row],[Producto]]))), 0.05, 0.1)), 0), 0.5), "")</f>
        <v>15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46294.598414351851</v>
      </c>
      <c r="C8">
        <f t="shared" si="0"/>
        <v>4</v>
      </c>
      <c r="D8" t="s">
        <v>57</v>
      </c>
      <c r="E8">
        <v>2</v>
      </c>
      <c r="F8">
        <v>5</v>
      </c>
      <c r="H8" s="4">
        <f>IF(Tabla110[[#This Row],[Cantidad]] &gt; 0,CEILING(( Tabla110[[#This Row],[Cantidad]]*Tabla110[[#This Row],[Precio]]) - IF(ISNUMBER(FIND("x", LOWER(G8))), ( Tabla110[[#This Row],[Cantidad]]* Tabla110[[#This Row],[Precio]] * IF(ISNUMBER(FIND("aceite", LOWER(Tabla110[[#This Row],[Producto]]))), 0.05, 0.1)), 0), 0.5), "")</f>
        <v>10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46294.626932870371</v>
      </c>
      <c r="C9">
        <f t="shared" si="0"/>
        <v>5</v>
      </c>
      <c r="D9" t="s">
        <v>65</v>
      </c>
      <c r="E9">
        <v>1</v>
      </c>
      <c r="F9">
        <v>40</v>
      </c>
      <c r="H9" s="4">
        <f>IF(Tabla110[[#This Row],[Cantidad]] &gt; 0,CEILING(( Tabla110[[#This Row],[Cantidad]]*Tabla110[[#This Row],[Precio]]) - IF(ISNUMBER(FIND("x", LOWER(G9))), ( Tabla110[[#This Row],[Cantidad]]* Tabla110[[#This Row],[Precio]] * IF(ISNUMBER(FIND("aceite", LOWER(Tabla110[[#This Row],[Producto]]))), 0.05, 0.1)), 0), 0.5), "")</f>
        <v>40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46294.638842592591</v>
      </c>
      <c r="C10">
        <f t="shared" si="0"/>
        <v>6</v>
      </c>
      <c r="D10" t="s">
        <v>66</v>
      </c>
      <c r="E10">
        <v>1</v>
      </c>
      <c r="F10">
        <v>32</v>
      </c>
      <c r="G10" t="s">
        <v>38</v>
      </c>
      <c r="H10" s="4">
        <f>IF(Tabla110[[#This Row],[Cantidad]] &gt; 0,CEILING(( Tabla110[[#This Row],[Cantidad]]*Tabla110[[#This Row],[Precio]]) - IF(ISNUMBER(FIND("x", LOWER(G10))), ( Tabla110[[#This Row],[Cantidad]]* Tabla110[[#This Row],[Precio]] * IF(ISNUMBER(FIND("aceite", LOWER(Tabla110[[#This Row],[Producto]]))), 0.05, 0.1)), 0), 0.5), "")</f>
        <v>29</v>
      </c>
      <c r="J10" s="30" t="s">
        <v>31</v>
      </c>
      <c r="K10" s="32">
        <f>IF(K4&lt;&gt;0,COUNTIF(G5:G103, "x")/K4, "")</f>
        <v>0.375</v>
      </c>
      <c r="M10" s="18"/>
      <c r="N10" s="18"/>
      <c r="O10" s="18"/>
      <c r="P10" s="18"/>
      <c r="Q10" s="18"/>
      <c r="R10" s="18"/>
    </row>
    <row r="11" spans="2:18" x14ac:dyDescent="0.25">
      <c r="B11" s="13">
        <v>46294.647291666668</v>
      </c>
      <c r="C11">
        <f t="shared" si="0"/>
        <v>7</v>
      </c>
      <c r="D11" t="s">
        <v>67</v>
      </c>
      <c r="E11">
        <v>1</v>
      </c>
      <c r="F11">
        <v>188</v>
      </c>
      <c r="H11" s="4">
        <f>IF(Tabla110[[#This Row],[Cantidad]] &gt; 0,CEILING(( Tabla110[[#This Row],[Cantidad]]*Tabla110[[#This Row],[Precio]]) - IF(ISNUMBER(FIND("x", LOWER(G11))), ( Tabla110[[#This Row],[Cantidad]]* Tabla110[[#This Row],[Precio]] * IF(ISNUMBER(FIND("aceite", LOWER(Tabla110[[#This Row],[Producto]]))), 0.05, 0.1)), 0), 0.5), "")</f>
        <v>188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46294.660208333335</v>
      </c>
      <c r="C12">
        <f t="shared" si="0"/>
        <v>8</v>
      </c>
      <c r="D12" t="s">
        <v>68</v>
      </c>
      <c r="E12">
        <v>2</v>
      </c>
      <c r="F12">
        <v>50</v>
      </c>
      <c r="G12" t="s">
        <v>38</v>
      </c>
      <c r="H12" s="4">
        <f>IF(Tabla110[[#This Row],[Cantidad]] &gt; 0,CEILING(( Tabla110[[#This Row],[Cantidad]]*Tabla110[[#This Row],[Precio]]) - IF(ISNUMBER(FIND("x", LOWER(G12))), ( Tabla110[[#This Row],[Cantidad]]* Tabla110[[#This Row],[Precio]] * IF(ISNUMBER(FIND("aceite", LOWER(Tabla110[[#This Row],[Producto]]))), 0.05, 0.1)), 0), 0.5), "")</f>
        <v>90</v>
      </c>
      <c r="J12" s="30" t="s">
        <v>32</v>
      </c>
      <c r="K12" s="32">
        <f>IF(K4&lt;&gt;0,(K4-COUNTIF(G5:G103,"x"))/K4,"")</f>
        <v>0.625</v>
      </c>
      <c r="M12" s="18"/>
      <c r="N12" s="18"/>
      <c r="O12" s="18"/>
      <c r="P12" s="18"/>
      <c r="Q12" s="18"/>
      <c r="R12" s="18"/>
    </row>
    <row r="13" spans="2:18" x14ac:dyDescent="0.25">
      <c r="B13" s="13">
        <v>46294.699745370373</v>
      </c>
      <c r="C13">
        <f t="shared" si="0"/>
        <v>9</v>
      </c>
      <c r="D13" t="s">
        <v>70</v>
      </c>
      <c r="E13">
        <v>1</v>
      </c>
      <c r="F13">
        <v>65</v>
      </c>
      <c r="G13" t="s">
        <v>38</v>
      </c>
      <c r="H13" s="4">
        <f>IF(Tabla110[[#This Row],[Cantidad]] &gt; 0,CEILING(( Tabla110[[#This Row],[Cantidad]]*Tabla110[[#This Row],[Precio]]) - IF(ISNUMBER(FIND("x", LOWER(G13))), ( Tabla110[[#This Row],[Cantidad]]* Tabla110[[#This Row],[Precio]] * IF(ISNUMBER(FIND("aceite", LOWER(Tabla110[[#This Row],[Producto]]))), 0.05, 0.1)), 0), 0.5), "")</f>
        <v>58.5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46294.711701388886</v>
      </c>
      <c r="C14">
        <f t="shared" si="0"/>
        <v>10</v>
      </c>
      <c r="D14" t="s">
        <v>68</v>
      </c>
      <c r="E14">
        <v>1</v>
      </c>
      <c r="F14">
        <v>50</v>
      </c>
      <c r="G14" t="s">
        <v>38</v>
      </c>
      <c r="H14" s="4">
        <f>IF(Tabla110[[#This Row],[Cantidad]] &gt; 0,CEILING(( Tabla110[[#This Row],[Cantidad]]*Tabla110[[#This Row],[Precio]]) - IF(ISNUMBER(FIND("x", LOWER(G14))), ( Tabla110[[#This Row],[Cantidad]]* Tabla110[[#This Row],[Precio]] * IF(ISNUMBER(FIND("aceite", LOWER(Tabla110[[#This Row],[Producto]]))), 0.05, 0.1)), 0), 0.5), "")</f>
        <v>45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46294.73364583333</v>
      </c>
      <c r="C15">
        <f t="shared" si="0"/>
        <v>11</v>
      </c>
      <c r="D15" t="s">
        <v>71</v>
      </c>
      <c r="E15">
        <v>2</v>
      </c>
      <c r="F15">
        <v>30</v>
      </c>
      <c r="G15" t="s">
        <v>38</v>
      </c>
      <c r="H15" s="4">
        <f>IF(Tabla110[[#This Row],[Cantidad]] &gt; 0,CEILING(( Tabla110[[#This Row],[Cantidad]]*Tabla110[[#This Row],[Precio]]) - IF(ISNUMBER(FIND("x", LOWER(G15))), ( Tabla110[[#This Row],[Cantidad]]* Tabla110[[#This Row],[Precio]] * IF(ISNUMBER(FIND("aceite", LOWER(Tabla110[[#This Row],[Producto]]))), 0.05, 0.1)), 0), 0.5), "")</f>
        <v>54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46294.744004629632</v>
      </c>
      <c r="C16">
        <f t="shared" si="0"/>
        <v>12</v>
      </c>
      <c r="D16" t="s">
        <v>35</v>
      </c>
      <c r="E16">
        <v>1</v>
      </c>
      <c r="F16">
        <v>15</v>
      </c>
      <c r="H16" s="4">
        <f>IF(Tabla110[[#This Row],[Cantidad]] &gt; 0,CEILING(( Tabla110[[#This Row],[Cantidad]]*Tabla110[[#This Row],[Precio]]) - IF(ISNUMBER(FIND("x", LOWER(G16))), ( Tabla110[[#This Row],[Cantidad]]* Tabla110[[#This Row],[Precio]] * IF(ISNUMBER(FIND("aceite", LOWER(Tabla110[[#This Row],[Producto]]))), 0.05, 0.1)), 0), 0.5), "")</f>
        <v>15</v>
      </c>
      <c r="J16" s="20" t="s">
        <v>26</v>
      </c>
      <c r="K16" s="22">
        <v>8323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46294.757349537038</v>
      </c>
      <c r="C17">
        <f t="shared" si="0"/>
        <v>13</v>
      </c>
      <c r="D17" t="s">
        <v>72</v>
      </c>
      <c r="E17">
        <v>1</v>
      </c>
      <c r="F17">
        <v>70</v>
      </c>
      <c r="H17" s="4">
        <f>IF(Tabla110[[#This Row],[Cantidad]] &gt; 0,CEILING(( Tabla110[[#This Row],[Cantidad]]*Tabla110[[#This Row],[Precio]]) - IF(ISNUMBER(FIND("x", LOWER(G17))), ( Tabla110[[#This Row],[Cantidad]]* Tabla110[[#This Row],[Precio]] * IF(ISNUMBER(FIND("aceite", LOWER(Tabla110[[#This Row],[Producto]]))), 0.05, 0.1)), 0), 0.5), "")</f>
        <v>70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46294.768113425926</v>
      </c>
      <c r="C18">
        <f t="shared" si="0"/>
        <v>14</v>
      </c>
      <c r="D18" t="s">
        <v>73</v>
      </c>
      <c r="E18">
        <v>1</v>
      </c>
      <c r="F18">
        <v>120</v>
      </c>
      <c r="G18" t="s">
        <v>38</v>
      </c>
      <c r="H18" s="4">
        <f>IF(Tabla110[[#This Row],[Cantidad]] &gt; 0,CEILING(( Tabla110[[#This Row],[Cantidad]]*Tabla110[[#This Row],[Precio]]) - IF(ISNUMBER(FIND("x", LOWER(G18))), ( Tabla110[[#This Row],[Cantidad]]* Tabla110[[#This Row],[Precio]] * IF(ISNUMBER(FIND("aceite", LOWER(Tabla110[[#This Row],[Producto]]))), 0.05, 0.1)), 0), 0.5), "")</f>
        <v>108</v>
      </c>
      <c r="J18" s="23" t="s">
        <v>27</v>
      </c>
      <c r="K18" s="25">
        <f>SUM(O27:O52)</f>
        <v>2356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46294.790729166663</v>
      </c>
      <c r="C19">
        <f t="shared" si="0"/>
        <v>15</v>
      </c>
      <c r="D19" t="s">
        <v>74</v>
      </c>
      <c r="E19">
        <v>2</v>
      </c>
      <c r="F19">
        <v>85</v>
      </c>
      <c r="H19" s="4">
        <f>IF(Tabla110[[#This Row],[Cantidad]] &gt; 0,CEILING(( Tabla110[[#This Row],[Cantidad]]*Tabla110[[#This Row],[Precio]]) - IF(ISNUMBER(FIND("x", LOWER(G19))), ( Tabla110[[#This Row],[Cantidad]]* Tabla110[[#This Row],[Precio]] * IF(ISNUMBER(FIND("aceite", LOWER(Tabla110[[#This Row],[Producto]]))), 0.05, 0.1)), 0), 0.5), "")</f>
        <v>170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46294.837164351855</v>
      </c>
      <c r="C20">
        <f t="shared" si="0"/>
        <v>16</v>
      </c>
      <c r="D20" t="s">
        <v>57</v>
      </c>
      <c r="E20">
        <v>2</v>
      </c>
      <c r="F20">
        <v>5</v>
      </c>
      <c r="H20" s="4">
        <f>IF(Tabla110[[#This Row],[Cantidad]] &gt; 0,CEILING(( Tabla110[[#This Row],[Cantidad]]*Tabla110[[#This Row],[Precio]]) - IF(ISNUMBER(FIND("x", LOWER(G20))), ( Tabla110[[#This Row],[Cantidad]]* Tabla110[[#This Row],[Precio]] * IF(ISNUMBER(FIND("aceite", LOWER(Tabla110[[#This Row],[Producto]]))), 0.05, 0.1)), 0), 0.5), "")</f>
        <v>10</v>
      </c>
      <c r="J20" s="26" t="s">
        <v>29</v>
      </c>
      <c r="K20" s="28">
        <f>K16-K18</f>
        <v>5967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IF(Tabla110[[#This Row],[Cantidad]] &gt; 0,CEILING(( Tabla110[[#This Row],[Cantidad]]*Tabla110[[#This Row],[Precio]]) - IF(ISNUMBER(FIND("x", LOWER(G21))), ( Tabla110[[#This Row],[Cantidad]]* Tabla110[[#This Row],[Precio]] * IF(ISNUMBER(FIND("aceite", LOWER(Tabla110[[#This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IF(Tabla110[[#This Row],[Cantidad]] &gt; 0,CEILING(( Tabla110[[#This Row],[Cantidad]]*Tabla110[[#This Row],[Precio]]) - IF(ISNUMBER(FIND("x", LOWER(G22))), ( Tabla110[[#This Row],[Cantidad]]* Tabla110[[#This Row],[Precio]] * IF(ISNUMBER(FIND("aceite", LOWER(Tabla110[[#This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IF(Tabla110[[#This Row],[Cantidad]] &gt; 0,CEILING(( Tabla110[[#This Row],[Cantidad]]*Tabla110[[#This Row],[Precio]]) - IF(ISNUMBER(FIND("x", LOWER(G23))), ( Tabla110[[#This Row],[Cantidad]]* Tabla110[[#This Row],[Precio]] * IF(ISNUMBER(FIND("aceite", LOWER(Tabla110[[#This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IF(Tabla110[[#This Row],[Cantidad]] &gt; 0,CEILING(( Tabla110[[#This Row],[Cantidad]]*Tabla110[[#This Row],[Precio]]) - IF(ISNUMBER(FIND("x", LOWER(G24))), ( Tabla110[[#This Row],[Cantidad]]* Tabla110[[#This Row],[Precio]] * IF(ISNUMBER(FIND("aceite", LOWER(Tabla110[[#This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x14ac:dyDescent="0.25">
      <c r="B25" s="13"/>
      <c r="C25" t="str">
        <f t="shared" si="0"/>
        <v/>
      </c>
      <c r="H25" s="4" t="str">
        <f>IF(Tabla110[[#This Row],[Cantidad]] &gt; 0,CEILING(( Tabla110[[#This Row],[Cantidad]]*Tabla110[[#This Row],[Precio]]) - IF(ISNUMBER(FIND("x", LOWER(G25))), ( Tabla110[[#This Row],[Cantidad]]* Tabla110[[#This Row],[Precio]] * IF(ISNUMBER(FIND("aceite", LOWER(Tabla110[[#This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IF(Tabla110[[#This Row],[Cantidad]] &gt; 0,CEILING(( Tabla110[[#This Row],[Cantidad]]*Tabla110[[#This Row],[Precio]]) - IF(ISNUMBER(FIND("x", LOWER(G26))), ( Tabla110[[#This Row],[Cantidad]]* Tabla110[[#This Row],[Precio]] * IF(ISNUMBER(FIND("aceite", LOWER(Tabla110[[#This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x14ac:dyDescent="0.25">
      <c r="B27" s="13"/>
      <c r="C27" t="str">
        <f t="shared" si="0"/>
        <v/>
      </c>
      <c r="H27" s="4" t="str">
        <f>IF(Tabla110[[#This Row],[Cantidad]] &gt; 0,CEILING(( Tabla110[[#This Row],[Cantidad]]*Tabla110[[#This Row],[Precio]]) - IF(ISNUMBER(FIND("x", LOWER(G27))), ( Tabla110[[#This Row],[Cantidad]]* Tabla110[[#This Row],[Precio]] * IF(ISNUMBER(FIND("aceite", LOWER(Tabla110[[#This Row],[Producto]]))), 0.05, 0.1)), 0), 0.5), "")</f>
        <v/>
      </c>
      <c r="M27" s="44" t="s">
        <v>69</v>
      </c>
      <c r="N27" s="45"/>
      <c r="O27" s="33">
        <v>2356</v>
      </c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IF(Tabla110[[#This Row],[Cantidad]] &gt; 0,CEILING(( Tabla110[[#This Row],[Cantidad]]*Tabla110[[#This Row],[Precio]]) - IF(ISNUMBER(FIND("x", LOWER(G28))), ( Tabla110[[#This Row],[Cantidad]]* Tabla110[[#This Row],[Precio]] * IF(ISNUMBER(FIND("aceite", LOWER(Tabla110[[#This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IF(Tabla110[[#This Row],[Cantidad]] &gt; 0,CEILING(( Tabla110[[#This Row],[Cantidad]]*Tabla110[[#This Row],[Precio]]) - IF(ISNUMBER(FIND("x", LOWER(G29))), ( Tabla110[[#This Row],[Cantidad]]* Tabla110[[#This Row],[Precio]] * IF(ISNUMBER(FIND("aceite", LOWER(Tabla110[[#This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IF(Tabla110[[#This Row],[Cantidad]] &gt; 0,CEILING(( Tabla110[[#This Row],[Cantidad]]*Tabla110[[#This Row],[Precio]]) - IF(ISNUMBER(FIND("x", LOWER(G30))), ( Tabla110[[#This Row],[Cantidad]]* Tabla110[[#This Row],[Precio]] * IF(ISNUMBER(FIND("aceite", LOWER(Tabla110[[#This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IF(Tabla110[[#This Row],[Cantidad]] &gt; 0,CEILING(( Tabla110[[#This Row],[Cantidad]]*Tabla110[[#This Row],[Precio]]) - IF(ISNUMBER(FIND("x", LOWER(G31))), ( Tabla110[[#This Row],[Cantidad]]* Tabla110[[#This Row],[Precio]] * IF(ISNUMBER(FIND("aceite", LOWER(Tabla110[[#This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IF(Tabla110[[#This Row],[Cantidad]] &gt; 0,CEILING(( Tabla110[[#This Row],[Cantidad]]*Tabla110[[#This Row],[Precio]]) - IF(ISNUMBER(FIND("x", LOWER(G32))), ( Tabla110[[#This Row],[Cantidad]]* Tabla110[[#This Row],[Precio]] * IF(ISNUMBER(FIND("aceite", LOWER(Tabla110[[#This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IF(Tabla110[[#This Row],[Cantidad]] &gt; 0,CEILING(( Tabla110[[#This Row],[Cantidad]]*Tabla110[[#This Row],[Precio]]) - IF(ISNUMBER(FIND("x", LOWER(G33))), ( Tabla110[[#This Row],[Cantidad]]* Tabla110[[#This Row],[Precio]] * IF(ISNUMBER(FIND("aceite", LOWER(Tabla110[[#This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IF(Tabla110[[#This Row],[Cantidad]] &gt; 0,CEILING(( Tabla110[[#This Row],[Cantidad]]*Tabla110[[#This Row],[Precio]]) - IF(ISNUMBER(FIND("x", LOWER(G34))), ( Tabla110[[#This Row],[Cantidad]]* Tabla110[[#This Row],[Precio]] * IF(ISNUMBER(FIND("aceite", LOWER(Tabla110[[#This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IF(Tabla110[[#This Row],[Cantidad]] &gt; 0,CEILING(( Tabla110[[#This Row],[Cantidad]]*Tabla110[[#This Row],[Precio]]) - IF(ISNUMBER(FIND("x", LOWER(G35))), ( Tabla110[[#This Row],[Cantidad]]* Tabla110[[#This Row],[Precio]] * IF(ISNUMBER(FIND("aceite", LOWER(Tabla110[[#This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IF(Tabla110[[#This Row],[Cantidad]] &gt; 0,CEILING(( Tabla110[[#This Row],[Cantidad]]*Tabla110[[#This Row],[Precio]]) - IF(ISNUMBER(FIND("x", LOWER(G36))), ( Tabla110[[#This Row],[Cantidad]]* Tabla110[[#This Row],[Precio]] * IF(ISNUMBER(FIND("aceite", LOWER(Tabla110[[#This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si="0"/>
        <v/>
      </c>
      <c r="H37" s="4" t="str">
        <f>IF(Tabla110[[#This Row],[Cantidad]] &gt; 0,CEILING(( Tabla110[[#This Row],[Cantidad]]*Tabla110[[#This Row],[Precio]]) - IF(ISNUMBER(FIND("x", LOWER(G37))), ( Tabla110[[#This Row],[Cantidad]]* Tabla110[[#This Row],[Precio]] * IF(ISNUMBER(FIND("aceite", LOWER(Tabla110[[#This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0"/>
        <v/>
      </c>
      <c r="H38" s="4" t="str">
        <f>IF(Tabla110[[#This Row],[Cantidad]] &gt; 0,CEILING(( Tabla110[[#This Row],[Cantidad]]*Tabla110[[#This Row],[Precio]]) - IF(ISNUMBER(FIND("x", LOWER(G38))), ( Tabla110[[#This Row],[Cantidad]]* Tabla110[[#This Row],[Precio]] * IF(ISNUMBER(FIND("aceite", LOWER(Tabla110[[#This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0"/>
        <v/>
      </c>
      <c r="H39" s="4" t="str">
        <f>IF(Tabla110[[#This Row],[Cantidad]] &gt; 0,CEILING(( Tabla110[[#This Row],[Cantidad]]*Tabla110[[#This Row],[Precio]]) - IF(ISNUMBER(FIND("x", LOWER(G39))), ( Tabla110[[#This Row],[Cantidad]]* Tabla110[[#This Row],[Precio]] * IF(ISNUMBER(FIND("aceite", LOWER(Tabla110[[#This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0"/>
        <v/>
      </c>
      <c r="H40" s="4" t="str">
        <f>IF(Tabla110[[#This Row],[Cantidad]] &gt; 0,CEILING(( Tabla110[[#This Row],[Cantidad]]*Tabla110[[#This Row],[Precio]]) - IF(ISNUMBER(FIND("x", LOWER(G40))), ( Tabla110[[#This Row],[Cantidad]]* Tabla110[[#This Row],[Precio]] * IF(ISNUMBER(FIND("aceite", LOWER(Tabla110[[#This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0"/>
        <v/>
      </c>
      <c r="H41" s="4" t="str">
        <f>IF(Tabla110[[#This Row],[Cantidad]] &gt; 0,CEILING(( Tabla110[[#This Row],[Cantidad]]*Tabla110[[#This Row],[Precio]]) - IF(ISNUMBER(FIND("x", LOWER(G41))), ( Tabla110[[#This Row],[Cantidad]]* Tabla110[[#This Row],[Precio]] * IF(ISNUMBER(FIND("aceite", LOWER(Tabla110[[#This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0"/>
        <v/>
      </c>
      <c r="H42" s="4" t="str">
        <f>IF(Tabla110[[#This Row],[Cantidad]] &gt; 0,CEILING(( Tabla110[[#This Row],[Cantidad]]*Tabla110[[#This Row],[Precio]]) - IF(ISNUMBER(FIND("x", LOWER(G42))), ( Tabla110[[#This Row],[Cantidad]]* Tabla110[[#This Row],[Precio]] * IF(ISNUMBER(FIND("aceite", LOWER(Tabla110[[#This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0"/>
        <v/>
      </c>
      <c r="H43" s="4" t="str">
        <f>IF(Tabla110[[#This Row],[Cantidad]] &gt; 0,CEILING(( Tabla110[[#This Row],[Cantidad]]*Tabla110[[#This Row],[Precio]]) - IF(ISNUMBER(FIND("x", LOWER(G43))), ( Tabla110[[#This Row],[Cantidad]]* Tabla110[[#This Row],[Precio]] * IF(ISNUMBER(FIND("aceite", LOWER(Tabla110[[#This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0"/>
        <v/>
      </c>
      <c r="H44" s="4" t="str">
        <f>IF(Tabla110[[#This Row],[Cantidad]] &gt; 0,CEILING(( Tabla110[[#This Row],[Cantidad]]*Tabla110[[#This Row],[Precio]]) - IF(ISNUMBER(FIND("x", LOWER(G44))), ( Tabla110[[#This Row],[Cantidad]]* Tabla110[[#This Row],[Precio]] * IF(ISNUMBER(FIND("aceite", LOWER(Tabla110[[#This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IF(Tabla110[[#This Row],[Cantidad]] &gt; 0,CEILING(( Tabla110[[#This Row],[Cantidad]]*Tabla110[[#This Row],[Precio]]) - IF(ISNUMBER(FIND("x", LOWER(G45))), ( Tabla110[[#This Row],[Cantidad]]* Tabla110[[#This Row],[Precio]] * IF(ISNUMBER(FIND("aceite", LOWER(Tabla110[[#This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IF(Tabla110[[#This Row],[Cantidad]] &gt; 0,CEILING(( Tabla110[[#This Row],[Cantidad]]*Tabla110[[#This Row],[Precio]]) - IF(ISNUMBER(FIND("x", LOWER(G46))), ( Tabla110[[#This Row],[Cantidad]]* Tabla110[[#This Row],[Precio]] * IF(ISNUMBER(FIND("aceite", LOWER(Tabla110[[#This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IF(Tabla110[[#This Row],[Cantidad]] &gt; 0,CEILING(( Tabla110[[#This Row],[Cantidad]]*Tabla110[[#This Row],[Precio]]) - IF(ISNUMBER(FIND("x", LOWER(G47))), ( Tabla110[[#This Row],[Cantidad]]* Tabla110[[#This Row],[Precio]] * IF(ISNUMBER(FIND("aceite", LOWER(Tabla110[[#This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IF(Tabla110[[#This Row],[Cantidad]] &gt; 0,CEILING(( Tabla110[[#This Row],[Cantidad]]*Tabla110[[#This Row],[Precio]]) - IF(ISNUMBER(FIND("x", LOWER(G48))), ( Tabla110[[#This Row],[Cantidad]]* Tabla110[[#This Row],[Precio]] * IF(ISNUMBER(FIND("aceite", LOWER(Tabla110[[#This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IF(Tabla110[[#This Row],[Cantidad]] &gt; 0,CEILING(( Tabla110[[#This Row],[Cantidad]]*Tabla110[[#This Row],[Precio]]) - IF(ISNUMBER(FIND("x", LOWER(G49))), ( Tabla110[[#This Row],[Cantidad]]* Tabla110[[#This Row],[Precio]] * IF(ISNUMBER(FIND("aceite", LOWER(Tabla110[[#This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IF(Tabla110[[#This Row],[Cantidad]] &gt; 0,CEILING(( Tabla110[[#This Row],[Cantidad]]*Tabla110[[#This Row],[Precio]]) - IF(ISNUMBER(FIND("x", LOWER(G50))), ( Tabla110[[#This Row],[Cantidad]]* Tabla110[[#This Row],[Precio]] * IF(ISNUMBER(FIND("aceite", LOWER(Tabla110[[#This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IF(Tabla110[[#This Row],[Cantidad]] &gt; 0,CEILING(( Tabla110[[#This Row],[Cantidad]]*Tabla110[[#This Row],[Precio]]) - IF(ISNUMBER(FIND("x", LOWER(G51))), ( Tabla110[[#This Row],[Cantidad]]* Tabla110[[#This Row],[Precio]] * IF(ISNUMBER(FIND("aceite", LOWER(Tabla110[[#This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IF(Tabla110[[#This Row],[Cantidad]] &gt; 0,CEILING(( Tabla110[[#This Row],[Cantidad]]*Tabla110[[#This Row],[Precio]]) - IF(ISNUMBER(FIND("x", LOWER(G52))), ( Tabla110[[#This Row],[Cantidad]]* Tabla110[[#This Row],[Precio]] * IF(ISNUMBER(FIND("aceite", LOWER(Tabla110[[#This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IF(Tabla110[[#This Row],[Cantidad]] &gt; 0,CEILING(( Tabla110[[#This Row],[Cantidad]]*Tabla110[[#This Row],[Precio]]) - IF(ISNUMBER(FIND("x", LOWER(G53))), ( Tabla110[[#This Row],[Cantidad]]* Tabla110[[#This Row],[Precio]] * IF(ISNUMBER(FIND("aceite", LOWER(Tabla110[[#This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IF(Tabla110[[#This Row],[Cantidad]] &gt; 0,CEILING(( Tabla110[[#This Row],[Cantidad]]*Tabla110[[#This Row],[Precio]]) - IF(ISNUMBER(FIND("x", LOWER(G54))), ( Tabla110[[#This Row],[Cantidad]]* Tabla110[[#This Row],[Precio]] * IF(ISNUMBER(FIND("aceite", LOWER(Tabla110[[#This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IF(Tabla110[[#This Row],[Cantidad]] &gt; 0,CEILING(( Tabla110[[#This Row],[Cantidad]]*Tabla110[[#This Row],[Precio]]) - IF(ISNUMBER(FIND("x", LOWER(G55))), ( Tabla110[[#This Row],[Cantidad]]* Tabla110[[#This Row],[Precio]] * IF(ISNUMBER(FIND("aceite", LOWER(Tabla110[[#This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IF(Tabla110[[#This Row],[Cantidad]] &gt; 0,CEILING(( Tabla110[[#This Row],[Cantidad]]*Tabla110[[#This Row],[Precio]]) - IF(ISNUMBER(FIND("x", LOWER(G56))), ( Tabla110[[#This Row],[Cantidad]]* Tabla110[[#This Row],[Precio]] * IF(ISNUMBER(FIND("aceite", LOWER(Tabla110[[#This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IF(Tabla110[[#This Row],[Cantidad]] &gt; 0,CEILING(( Tabla110[[#This Row],[Cantidad]]*Tabla110[[#This Row],[Precio]]) - IF(ISNUMBER(FIND("x", LOWER(G57))), ( Tabla110[[#This Row],[Cantidad]]* Tabla110[[#This Row],[Precio]] * IF(ISNUMBER(FIND("aceite", LOWER(Tabla110[[#This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IF(Tabla110[[#This Row],[Cantidad]] &gt; 0,CEILING(( Tabla110[[#This Row],[Cantidad]]*Tabla110[[#This Row],[Precio]]) - IF(ISNUMBER(FIND("x", LOWER(G58))), ( Tabla110[[#This Row],[Cantidad]]* Tabla110[[#This Row],[Precio]] * IF(ISNUMBER(FIND("aceite", LOWER(Tabla110[[#This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IF(Tabla110[[#This Row],[Cantidad]] &gt; 0,CEILING(( Tabla110[[#This Row],[Cantidad]]*Tabla110[[#This Row],[Precio]]) - IF(ISNUMBER(FIND("x", LOWER(G59))), ( Tabla110[[#This Row],[Cantidad]]* Tabla110[[#This Row],[Precio]] * IF(ISNUMBER(FIND("aceite", LOWER(Tabla110[[#This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IF(Tabla110[[#This Row],[Cantidad]] &gt; 0,CEILING(( Tabla110[[#This Row],[Cantidad]]*Tabla110[[#This Row],[Precio]]) - IF(ISNUMBER(FIND("x", LOWER(G60))), ( Tabla110[[#This Row],[Cantidad]]* Tabla110[[#This Row],[Precio]] * IF(ISNUMBER(FIND("aceite", LOWER(Tabla110[[#This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IF(Tabla110[[#This Row],[Cantidad]] &gt; 0,CEILING(( Tabla110[[#This Row],[Cantidad]]*Tabla110[[#This Row],[Precio]]) - IF(ISNUMBER(FIND("x", LOWER(G61))), ( Tabla110[[#This Row],[Cantidad]]* Tabla110[[#This Row],[Precio]] * IF(ISNUMBER(FIND("aceite", LOWER(Tabla110[[#This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IF(Tabla110[[#This Row],[Cantidad]] &gt; 0,CEILING(( Tabla110[[#This Row],[Cantidad]]*Tabla110[[#This Row],[Precio]]) - IF(ISNUMBER(FIND("x", LOWER(G62))), ( Tabla110[[#This Row],[Cantidad]]* Tabla110[[#This Row],[Precio]] * IF(ISNUMBER(FIND("aceite", LOWER(Tabla110[[#This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IF(Tabla110[[#This Row],[Cantidad]] &gt; 0,CEILING(( Tabla110[[#This Row],[Cantidad]]*Tabla110[[#This Row],[Precio]]) - IF(ISNUMBER(FIND("x", LOWER(G63))), ( Tabla110[[#This Row],[Cantidad]]* Tabla110[[#This Row],[Precio]] * IF(ISNUMBER(FIND("aceite", LOWER(Tabla110[[#This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IF(Tabla110[[#This Row],[Cantidad]] &gt; 0,CEILING(( Tabla110[[#This Row],[Cantidad]]*Tabla110[[#This Row],[Precio]]) - IF(ISNUMBER(FIND("x", LOWER(G64))), ( Tabla110[[#This Row],[Cantidad]]* Tabla110[[#This Row],[Precio]] * IF(ISNUMBER(FIND("aceite", LOWER(Tabla110[[#This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IF(Tabla110[[#This Row],[Cantidad]] &gt; 0,CEILING(( Tabla110[[#This Row],[Cantidad]]*Tabla110[[#This Row],[Precio]]) - IF(ISNUMBER(FIND("x", LOWER(G65))), ( Tabla110[[#This Row],[Cantidad]]* Tabla110[[#This Row],[Precio]] * IF(ISNUMBER(FIND("aceite", LOWER(Tabla110[[#This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IF(Tabla110[[#This Row],[Cantidad]] &gt; 0,CEILING(( Tabla110[[#This Row],[Cantidad]]*Tabla110[[#This Row],[Precio]]) - IF(ISNUMBER(FIND("x", LOWER(G66))), ( Tabla110[[#This Row],[Cantidad]]* Tabla110[[#This Row],[Precio]] * IF(ISNUMBER(FIND("aceite", LOWER(Tabla110[[#This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IF(Tabla110[[#This Row],[Cantidad]] &gt; 0,CEILING(( Tabla110[[#This Row],[Cantidad]]*Tabla110[[#This Row],[Precio]]) - IF(ISNUMBER(FIND("x", LOWER(G67))), ( Tabla110[[#This Row],[Cantidad]]* Tabla110[[#This Row],[Precio]] * IF(ISNUMBER(FIND("aceite", LOWER(Tabla110[[#This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IF(Tabla110[[#This Row],[Cantidad]] &gt; 0,CEILING(( Tabla110[[#This Row],[Cantidad]]*Tabla110[[#This Row],[Precio]]) - IF(ISNUMBER(FIND("x", LOWER(G68))), ( Tabla110[[#This Row],[Cantidad]]* Tabla110[[#This Row],[Precio]] * IF(ISNUMBER(FIND("aceite", LOWER(Tabla110[[#This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IF(Tabla110[[#This Row],[Cantidad]] &gt; 0,CEILING(( Tabla110[[#This Row],[Cantidad]]*Tabla110[[#This Row],[Precio]]) - IF(ISNUMBER(FIND("x", LOWER(G69))), ( Tabla110[[#This Row],[Cantidad]]* Tabla110[[#This Row],[Precio]] * IF(ISNUMBER(FIND("aceite", LOWER(Tabla110[[#This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IF(Tabla110[[#This Row],[Cantidad]] &gt; 0,CEILING(( Tabla110[[#This Row],[Cantidad]]*Tabla110[[#This Row],[Precio]]) - IF(ISNUMBER(FIND("x", LOWER(G70))), ( Tabla110[[#This Row],[Cantidad]]* Tabla110[[#This Row],[Precio]] * IF(ISNUMBER(FIND("aceite", LOWER(Tabla110[[#This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IF(Tabla110[[#This Row],[Cantidad]] &gt; 0,CEILING(( Tabla110[[#This Row],[Cantidad]]*Tabla110[[#This Row],[Precio]]) - IF(ISNUMBER(FIND("x", LOWER(G71))), ( Tabla110[[#This Row],[Cantidad]]* Tabla110[[#This Row],[Precio]] * IF(ISNUMBER(FIND("aceite", LOWER(Tabla110[[#This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IF(Tabla110[[#This Row],[Cantidad]] &gt; 0,CEILING(( Tabla110[[#This Row],[Cantidad]]*Tabla110[[#This Row],[Precio]]) - IF(ISNUMBER(FIND("x", LOWER(G72))), ( Tabla110[[#This Row],[Cantidad]]* Tabla110[[#This Row],[Precio]] * IF(ISNUMBER(FIND("aceite", LOWER(Tabla110[[#This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IF(Tabla110[[#This Row],[Cantidad]] &gt; 0,CEILING(( Tabla110[[#This Row],[Cantidad]]*Tabla110[[#This Row],[Precio]]) - IF(ISNUMBER(FIND("x", LOWER(G73))), ( Tabla110[[#This Row],[Cantidad]]* Tabla110[[#This Row],[Precio]] * IF(ISNUMBER(FIND("aceite", LOWER(Tabla110[[#This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IF(Tabla110[[#This Row],[Cantidad]] &gt; 0,CEILING(( Tabla110[[#This Row],[Cantidad]]*Tabla110[[#This Row],[Precio]]) - IF(ISNUMBER(FIND("x", LOWER(G74))), ( Tabla110[[#This Row],[Cantidad]]* Tabla110[[#This Row],[Precio]] * IF(ISNUMBER(FIND("aceite", LOWER(Tabla110[[#This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IF(Tabla110[[#This Row],[Cantidad]] &gt; 0,CEILING(( Tabla110[[#This Row],[Cantidad]]*Tabla110[[#This Row],[Precio]]) - IF(ISNUMBER(FIND("x", LOWER(G75))), ( Tabla110[[#This Row],[Cantidad]]* Tabla110[[#This Row],[Precio]] * IF(ISNUMBER(FIND("aceite", LOWER(Tabla110[[#This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IF(Tabla110[[#This Row],[Cantidad]] &gt; 0,CEILING(( Tabla110[[#This Row],[Cantidad]]*Tabla110[[#This Row],[Precio]]) - IF(ISNUMBER(FIND("x", LOWER(G76))), ( Tabla110[[#This Row],[Cantidad]]* Tabla110[[#This Row],[Precio]] * IF(ISNUMBER(FIND("aceite", LOWER(Tabla110[[#This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IF(Tabla110[[#This Row],[Cantidad]] &gt; 0,CEILING(( Tabla110[[#This Row],[Cantidad]]*Tabla110[[#This Row],[Precio]]) - IF(ISNUMBER(FIND("x", LOWER(G77))), ( Tabla110[[#This Row],[Cantidad]]* Tabla110[[#This Row],[Precio]] * IF(ISNUMBER(FIND("aceite", LOWER(Tabla110[[#This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IF(Tabla110[[#This Row],[Cantidad]] &gt; 0,CEILING(( Tabla110[[#This Row],[Cantidad]]*Tabla110[[#This Row],[Precio]]) - IF(ISNUMBER(FIND("x", LOWER(G78))), ( Tabla110[[#This Row],[Cantidad]]* Tabla110[[#This Row],[Precio]] * IF(ISNUMBER(FIND("aceite", LOWER(Tabla110[[#This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IF(Tabla110[[#This Row],[Cantidad]] &gt; 0,CEILING(( Tabla110[[#This Row],[Cantidad]]*Tabla110[[#This Row],[Precio]]) - IF(ISNUMBER(FIND("x", LOWER(G79))), ( Tabla110[[#This Row],[Cantidad]]* Tabla110[[#This Row],[Precio]] * IF(ISNUMBER(FIND("aceite", LOWER(Tabla110[[#This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IF(Tabla110[[#This Row],[Cantidad]] &gt; 0,CEILING(( Tabla110[[#This Row],[Cantidad]]*Tabla110[[#This Row],[Precio]]) - IF(ISNUMBER(FIND("x", LOWER(G80))), ( Tabla110[[#This Row],[Cantidad]]* Tabla110[[#This Row],[Precio]] * IF(ISNUMBER(FIND("aceite", LOWER(Tabla110[[#This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IF(Tabla110[[#This Row],[Cantidad]] &gt; 0,CEILING(( Tabla110[[#This Row],[Cantidad]]*Tabla110[[#This Row],[Precio]]) - IF(ISNUMBER(FIND("x", LOWER(G81))), ( Tabla110[[#This Row],[Cantidad]]* Tabla110[[#This Row],[Precio]] * IF(ISNUMBER(FIND("aceite", LOWER(Tabla110[[#This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IF(Tabla110[[#This Row],[Cantidad]] &gt; 0,CEILING(( Tabla110[[#This Row],[Cantidad]]*Tabla110[[#This Row],[Precio]]) - IF(ISNUMBER(FIND("x", LOWER(G82))), ( Tabla110[[#This Row],[Cantidad]]* Tabla110[[#This Row],[Precio]] * IF(ISNUMBER(FIND("aceite", LOWER(Tabla110[[#This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IF(Tabla110[[#This Row],[Cantidad]] &gt; 0,CEILING(( Tabla110[[#This Row],[Cantidad]]*Tabla110[[#This Row],[Precio]]) - IF(ISNUMBER(FIND("x", LOWER(G83))), ( Tabla110[[#This Row],[Cantidad]]* Tabla110[[#This Row],[Precio]] * IF(ISNUMBER(FIND("aceite", LOWER(Tabla110[[#This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IF(Tabla110[[#This Row],[Cantidad]] &gt; 0,CEILING(( Tabla110[[#This Row],[Cantidad]]*Tabla110[[#This Row],[Precio]]) - IF(ISNUMBER(FIND("x", LOWER(G84))), ( Tabla110[[#This Row],[Cantidad]]* Tabla110[[#This Row],[Precio]] * IF(ISNUMBER(FIND("aceite", LOWER(Tabla110[[#This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IF(Tabla110[[#This Row],[Cantidad]] &gt; 0,CEILING(( Tabla110[[#This Row],[Cantidad]]*Tabla110[[#This Row],[Precio]]) - IF(ISNUMBER(FIND("x", LOWER(G85))), ( Tabla110[[#This Row],[Cantidad]]* Tabla110[[#This Row],[Precio]] * IF(ISNUMBER(FIND("aceite", LOWER(Tabla110[[#This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IF(Tabla110[[#This Row],[Cantidad]] &gt; 0,CEILING(( Tabla110[[#This Row],[Cantidad]]*Tabla110[[#This Row],[Precio]]) - IF(ISNUMBER(FIND("x", LOWER(G86))), ( Tabla110[[#This Row],[Cantidad]]* Tabla110[[#This Row],[Precio]] * IF(ISNUMBER(FIND("aceite", LOWER(Tabla110[[#This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IF(Tabla110[[#This Row],[Cantidad]] &gt; 0,CEILING(( Tabla110[[#This Row],[Cantidad]]*Tabla110[[#This Row],[Precio]]) - IF(ISNUMBER(FIND("x", LOWER(G87))), ( Tabla110[[#This Row],[Cantidad]]* Tabla110[[#This Row],[Precio]] * IF(ISNUMBER(FIND("aceite", LOWER(Tabla110[[#This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IF(Tabla110[[#This Row],[Cantidad]] &gt; 0,CEILING(( Tabla110[[#This Row],[Cantidad]]*Tabla110[[#This Row],[Precio]]) - IF(ISNUMBER(FIND("x", LOWER(G88))), ( Tabla110[[#This Row],[Cantidad]]* Tabla110[[#This Row],[Precio]] * IF(ISNUMBER(FIND("aceite", LOWER(Tabla110[[#This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IF(Tabla110[[#This Row],[Cantidad]] &gt; 0,CEILING(( Tabla110[[#This Row],[Cantidad]]*Tabla110[[#This Row],[Precio]]) - IF(ISNUMBER(FIND("x", LOWER(G89))), ( Tabla110[[#This Row],[Cantidad]]* Tabla110[[#This Row],[Precio]] * IF(ISNUMBER(FIND("aceite", LOWER(Tabla110[[#This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IF(Tabla110[[#This Row],[Cantidad]] &gt; 0,CEILING(( Tabla110[[#This Row],[Cantidad]]*Tabla110[[#This Row],[Precio]]) - IF(ISNUMBER(FIND("x", LOWER(G90))), ( Tabla110[[#This Row],[Cantidad]]* Tabla110[[#This Row],[Precio]] * IF(ISNUMBER(FIND("aceite", LOWER(Tabla110[[#This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IF(Tabla110[[#This Row],[Cantidad]] &gt; 0,CEILING(( Tabla110[[#This Row],[Cantidad]]*Tabla110[[#This Row],[Precio]]) - IF(ISNUMBER(FIND("x", LOWER(G91))), ( Tabla110[[#This Row],[Cantidad]]* Tabla110[[#This Row],[Precio]] * IF(ISNUMBER(FIND("aceite", LOWER(Tabla110[[#This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IF(Tabla110[[#This Row],[Cantidad]] &gt; 0,CEILING(( Tabla110[[#This Row],[Cantidad]]*Tabla110[[#This Row],[Precio]]) - IF(ISNUMBER(FIND("x", LOWER(G92))), ( Tabla110[[#This Row],[Cantidad]]* Tabla110[[#This Row],[Precio]] * IF(ISNUMBER(FIND("aceite", LOWER(Tabla110[[#This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IF(Tabla110[[#This Row],[Cantidad]] &gt; 0,CEILING(( Tabla110[[#This Row],[Cantidad]]*Tabla110[[#This Row],[Precio]]) - IF(ISNUMBER(FIND("x", LOWER(G93))), ( Tabla110[[#This Row],[Cantidad]]* Tabla110[[#This Row],[Precio]] * IF(ISNUMBER(FIND("aceite", LOWER(Tabla110[[#This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IF(Tabla110[[#This Row],[Cantidad]] &gt; 0,CEILING(( Tabla110[[#This Row],[Cantidad]]*Tabla110[[#This Row],[Precio]]) - IF(ISNUMBER(FIND("x", LOWER(G94))), ( Tabla110[[#This Row],[Cantidad]]* Tabla110[[#This Row],[Precio]] * IF(ISNUMBER(FIND("aceite", LOWER(Tabla110[[#This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IF(Tabla110[[#This Row],[Cantidad]] &gt; 0,CEILING(( Tabla110[[#This Row],[Cantidad]]*Tabla110[[#This Row],[Precio]]) - IF(ISNUMBER(FIND("x", LOWER(G95))), ( Tabla110[[#This Row],[Cantidad]]* Tabla110[[#This Row],[Precio]] * IF(ISNUMBER(FIND("aceite", LOWER(Tabla110[[#This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IF(Tabla110[[#This Row],[Cantidad]] &gt; 0,CEILING(( Tabla110[[#This Row],[Cantidad]]*Tabla110[[#This Row],[Precio]]) - IF(ISNUMBER(FIND("x", LOWER(G96))), ( Tabla110[[#This Row],[Cantidad]]* Tabla110[[#This Row],[Precio]] * IF(ISNUMBER(FIND("aceite", LOWER(Tabla110[[#This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IF(Tabla110[[#This Row],[Cantidad]] &gt; 0,CEILING(( Tabla110[[#This Row],[Cantidad]]*Tabla110[[#This Row],[Precio]]) - IF(ISNUMBER(FIND("x", LOWER(G97))), ( Tabla110[[#This Row],[Cantidad]]* Tabla110[[#This Row],[Precio]] * IF(ISNUMBER(FIND("aceite", LOWER(Tabla110[[#This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IF(Tabla110[[#This Row],[Cantidad]] &gt; 0,CEILING(( Tabla110[[#This Row],[Cantidad]]*Tabla110[[#This Row],[Precio]]) - IF(ISNUMBER(FIND("x", LOWER(G98))), ( Tabla110[[#This Row],[Cantidad]]* Tabla110[[#This Row],[Precio]] * IF(ISNUMBER(FIND("aceite", LOWER(Tabla110[[#This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IF(Tabla110[[#This Row],[Cantidad]] &gt; 0,CEILING(( Tabla110[[#This Row],[Cantidad]]*Tabla110[[#This Row],[Precio]]) - IF(ISNUMBER(FIND("x", LOWER(G99))), ( Tabla110[[#This Row],[Cantidad]]* Tabla110[[#This Row],[Precio]] * IF(ISNUMBER(FIND("aceite", LOWER(Tabla110[[#This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IF(Tabla110[[#This Row],[Cantidad]] &gt; 0,CEILING(( Tabla110[[#This Row],[Cantidad]]*Tabla110[[#This Row],[Precio]]) - IF(ISNUMBER(FIND("x", LOWER(G100))), ( Tabla110[[#This Row],[Cantidad]]* Tabla110[[#This Row],[Precio]] * IF(ISNUMBER(FIND("aceite", LOWER(Tabla110[[#This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IF(Tabla110[[#This Row],[Cantidad]] &gt; 0,CEILING(( Tabla110[[#This Row],[Cantidad]]*Tabla110[[#This Row],[Precio]]) - IF(ISNUMBER(FIND("x", LOWER(G101))), ( Tabla110[[#This Row],[Cantidad]]* Tabla110[[#This Row],[Precio]] * IF(ISNUMBER(FIND("aceite", LOWER(Tabla110[[#This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IF(Tabla110[[#This Row],[Cantidad]] &gt; 0,CEILING(( Tabla110[[#This Row],[Cantidad]]*Tabla110[[#This Row],[Precio]]) - IF(ISNUMBER(FIND("x", LOWER(G102))), ( Tabla110[[#This Row],[Cantidad]]* Tabla110[[#This Row],[Precio]] * IF(ISNUMBER(FIND("aceite", LOWER(Tabla110[[#This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IF(Tabla110[[#This Row],[Cantidad]] &gt; 0,CEILING(( Tabla110[[#This Row],[Cantidad]]*Tabla110[[#This Row],[Precio]]) - IF(ISNUMBER(FIND("x", LOWER(G103))), ( Tabla110[[#This Row],[Cantidad]]* Tabla110[[#This Row],[Precio]] * IF(ISNUMBER(FIND("aceite", LOWER(Tabla110[[#This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23" priority="2">
      <formula>E5&gt;0&amp;ISBLANK(D5)</formula>
    </cfRule>
  </conditionalFormatting>
  <conditionalFormatting sqref="B5:B103">
    <cfRule type="expression" dxfId="22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R103"/>
  <sheetViews>
    <sheetView zoomScale="85" zoomScaleNormal="85" workbookViewId="0">
      <selection activeCell="D5" sqref="D5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8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SUM(Tabla111[Importa])</f>
        <v>0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0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 t="str">
        <f>IF(ISNUMBER(E5), IF(ISNUMBER(C4), C4+1, 1), "")</f>
        <v/>
      </c>
      <c r="H5" s="4" t="str">
        <f>IF(Tabla111[[#This Row],[Cantidad]] &gt; 0,CEILING(( Tabla111[[#This Row],[Cantidad]]*Tabla111[[#This Row],[Precio]]) - IF(ISNUMBER(FIND("x", LOWER(G5))), ( Tabla111[[#This Row],[Cantidad]]* Tabla111[[#This Row],[Precio]] * IF(ISNUMBER(FIND("aceite", LOWER(Tabla111[[#This Row],[Producto]]))), 0.05, 0.1)), 0), 0.5), "")</f>
        <v/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 t="str">
        <f t="shared" ref="C6" si="0">IF(ISNUMBER(E6), IF(ISNUMBER(C5), C5+1, 1), "")</f>
        <v/>
      </c>
      <c r="H6" s="4" t="str">
        <f>IF(Tabla111[[#This Row],[Cantidad]] &gt; 0,CEILING(( Tabla111[[#This Row],[Cantidad]]*Tabla111[[#This Row],[Precio]]) - IF(ISNUMBER(FIND("x", LOWER(G6))), ( Tabla111[[#This Row],[Cantidad]]* Tabla111[[#This Row],[Precio]] * IF(ISNUMBER(FIND("aceite", LOWER(Tabla111[[#This Row],[Producto]]))), 0.05, 0.1)), 0), 0.5), "")</f>
        <v/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 t="str">
        <f>IF(ISNUMBER(E7), IF(ISNUMBER(C6), C6+1, 1), "")</f>
        <v/>
      </c>
      <c r="H7" s="4" t="str">
        <f>IF(Tabla111[[#This Row],[Cantidad]] &gt; 0,CEILING(( Tabla111[[#This Row],[Cantidad]]*Tabla111[[#This Row],[Precio]]) - IF(ISNUMBER(FIND("x", LOWER(G7))), ( Tabla111[[#This Row],[Cantidad]]* Tabla111[[#This Row],[Precio]] * IF(ISNUMBER(FIND("aceite", LOWER(Tabla111[[#This Row],[Producto]]))), 0.05, 0.1)), 0), 0.5), "")</f>
        <v/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 t="str">
        <f t="shared" ref="C8:C68" si="1">IF(ISNUMBER(E8), IF(ISNUMBER(C7), C7+1, 1), "")</f>
        <v/>
      </c>
      <c r="H8" s="4" t="str">
        <f>IF(Tabla111[[#This Row],[Cantidad]] &gt; 0,CEILING(( Tabla111[[#This Row],[Cantidad]]*Tabla111[[#This Row],[Precio]]) - IF(ISNUMBER(FIND("x", LOWER(G8))), ( Tabla111[[#This Row],[Cantidad]]* Tabla111[[#This Row],[Precio]] * IF(ISNUMBER(FIND("aceite", LOWER(Tabla111[[#This Row],[Producto]]))), 0.05, 0.1)), 0), 0.5), "")</f>
        <v/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 t="str">
        <f t="shared" si="1"/>
        <v/>
      </c>
      <c r="H9" s="4" t="str">
        <f>IF(Tabla111[[#This Row],[Cantidad]] &gt; 0,CEILING(( Tabla111[[#This Row],[Cantidad]]*Tabla111[[#This Row],[Precio]]) - IF(ISNUMBER(FIND("x", LOWER(G9))), ( Tabla111[[#This Row],[Cantidad]]* Tabla111[[#This Row],[Precio]] * IF(ISNUMBER(FIND("aceite", LOWER(Tabla111[[#This Row],[Producto]]))), 0.05, 0.1)), 0), 0.5), "")</f>
        <v/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/>
      <c r="C10" t="str">
        <f t="shared" si="1"/>
        <v/>
      </c>
      <c r="H10" s="4" t="str">
        <f>IF(Tabla111[[#This Row],[Cantidad]] &gt; 0,CEILING(( Tabla111[[#This Row],[Cantidad]]*Tabla111[[#This Row],[Precio]]) - IF(ISNUMBER(FIND("x", LOWER(G10))), ( Tabla111[[#This Row],[Cantidad]]* Tabla111[[#This Row],[Precio]] * IF(ISNUMBER(FIND("aceite", LOWER(Tabla111[[#This Row],[Producto]]))), 0.05, 0.1)), 0), 0.5), "")</f>
        <v/>
      </c>
      <c r="J10" s="30" t="s">
        <v>31</v>
      </c>
      <c r="K10" s="32" t="str">
        <f>IF(K4&lt;&gt;0,COUNTIF(G5:G103, "x")/K4, "")</f>
        <v/>
      </c>
      <c r="M10" s="18"/>
      <c r="N10" s="18"/>
      <c r="O10" s="18"/>
      <c r="P10" s="18"/>
      <c r="Q10" s="18"/>
      <c r="R10" s="18"/>
    </row>
    <row r="11" spans="2:18" x14ac:dyDescent="0.25">
      <c r="B11" s="13"/>
      <c r="C11" t="str">
        <f t="shared" si="1"/>
        <v/>
      </c>
      <c r="H11" s="4" t="str">
        <f>IF(Tabla111[[#This Row],[Cantidad]] &gt; 0,CEILING(( Tabla111[[#This Row],[Cantidad]]*Tabla111[[#This Row],[Precio]]) - IF(ISNUMBER(FIND("x", LOWER(G11))), ( Tabla111[[#This Row],[Cantidad]]* Tabla111[[#This Row],[Precio]] * IF(ISNUMBER(FIND("aceite", LOWER(Tabla111[[#This Row],[Producto]]))), 0.05, 0.1)), 0), 0.5), "")</f>
        <v/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/>
      <c r="C12" t="str">
        <f t="shared" si="1"/>
        <v/>
      </c>
      <c r="H12" s="4" t="str">
        <f>IF(Tabla111[[#This Row],[Cantidad]] &gt; 0,CEILING(( Tabla111[[#This Row],[Cantidad]]*Tabla111[[#This Row],[Precio]]) - IF(ISNUMBER(FIND("x", LOWER(G12))), ( Tabla111[[#This Row],[Cantidad]]* Tabla111[[#This Row],[Precio]] * IF(ISNUMBER(FIND("aceite", LOWER(Tabla111[[#This Row],[Producto]]))), 0.05, 0.1)), 0), 0.5), "")</f>
        <v/>
      </c>
      <c r="J12" s="30" t="s">
        <v>32</v>
      </c>
      <c r="K12" s="32" t="str">
        <f>IF(K4&lt;&gt;0,(K4-COUNTIF(G5:G103,"x"))/K4,"")</f>
        <v/>
      </c>
      <c r="M12" s="18"/>
      <c r="N12" s="18"/>
      <c r="O12" s="18"/>
      <c r="P12" s="18"/>
      <c r="Q12" s="18"/>
      <c r="R12" s="18"/>
    </row>
    <row r="13" spans="2:18" x14ac:dyDescent="0.25">
      <c r="B13" s="13"/>
      <c r="C13" t="str">
        <f t="shared" si="1"/>
        <v/>
      </c>
      <c r="H13" s="4" t="str">
        <f>IF(Tabla111[[#This Row],[Cantidad]] &gt; 0,CEILING(( Tabla111[[#This Row],[Cantidad]]*Tabla111[[#This Row],[Precio]]) - IF(ISNUMBER(FIND("x", LOWER(G13))), ( Tabla111[[#This Row],[Cantidad]]* Tabla111[[#This Row],[Precio]] * IF(ISNUMBER(FIND("aceite", LOWER(Tabla111[[#This Row],[Producto]]))), 0.05, 0.1)), 0), 0.5), "")</f>
        <v/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 t="str">
        <f t="shared" si="1"/>
        <v/>
      </c>
      <c r="H14" s="4" t="str">
        <f>IF(Tabla111[[#This Row],[Cantidad]] &gt; 0,CEILING(( Tabla111[[#This Row],[Cantidad]]*Tabla111[[#This Row],[Precio]]) - IF(ISNUMBER(FIND("x", LOWER(G14))), ( Tabla111[[#This Row],[Cantidad]]* Tabla111[[#This Row],[Precio]] * IF(ISNUMBER(FIND("aceite", LOWER(Tabla111[[#This Row],[Producto]]))), 0.05, 0.1)), 0), 0.5), "")</f>
        <v/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1"/>
        <v/>
      </c>
      <c r="H15" s="4" t="str">
        <f>IF(Tabla111[[#This Row],[Cantidad]] &gt; 0,CEILING(( Tabla111[[#This Row],[Cantidad]]*Tabla111[[#This Row],[Precio]]) - IF(ISNUMBER(FIND("x", LOWER(G15))), ( Tabla111[[#This Row],[Cantidad]]* Tabla111[[#This Row],[Precio]] * IF(ISNUMBER(FIND("aceite", LOWER(Tabla111[[#This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/>
      <c r="C16" t="str">
        <f t="shared" si="1"/>
        <v/>
      </c>
      <c r="H16" s="4" t="str">
        <f>IF(Tabla111[[#This Row],[Cantidad]] &gt; 0,CEILING(( Tabla111[[#This Row],[Cantidad]]*Tabla111[[#This Row],[Precio]]) - IF(ISNUMBER(FIND("x", LOWER(G16))), ( Tabla111[[#This Row],[Cantidad]]* Tabla111[[#This Row],[Precio]] * IF(ISNUMBER(FIND("aceite", LOWER(Tabla111[[#This Row],[Producto]]))), 0.05, 0.1)), 0), 0.5), "")</f>
        <v/>
      </c>
      <c r="J16" s="20" t="s">
        <v>26</v>
      </c>
      <c r="K16" s="22"/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 t="str">
        <f t="shared" si="1"/>
        <v/>
      </c>
      <c r="H17" s="4" t="str">
        <f>IF(Tabla111[[#This Row],[Cantidad]] &gt; 0,CEILING(( Tabla111[[#This Row],[Cantidad]]*Tabla111[[#This Row],[Precio]]) - IF(ISNUMBER(FIND("x", LOWER(G17))), ( Tabla111[[#This Row],[Cantidad]]* Tabla111[[#This Row],[Precio]] * IF(ISNUMBER(FIND("aceite", LOWER(Tabla111[[#This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 t="str">
        <f t="shared" si="1"/>
        <v/>
      </c>
      <c r="H18" s="4" t="str">
        <f>IF(Tabla111[[#This Row],[Cantidad]] &gt; 0,CEILING(( Tabla111[[#This Row],[Cantidad]]*Tabla111[[#This Row],[Precio]]) - IF(ISNUMBER(FIND("x", LOWER(G18))), ( Tabla111[[#This Row],[Cantidad]]* Tabla111[[#This Row],[Precio]] * IF(ISNUMBER(FIND("aceite", LOWER(Tabla111[[#This Row],[Producto]]))), 0.05, 0.1)), 0), 0.5), "")</f>
        <v/>
      </c>
      <c r="J18" s="23" t="s">
        <v>27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1"/>
        <v/>
      </c>
      <c r="H19" s="4" t="str">
        <f>IF(Tabla111[[#This Row],[Cantidad]] &gt; 0,CEILING(( Tabla111[[#This Row],[Cantidad]]*Tabla111[[#This Row],[Precio]]) - IF(ISNUMBER(FIND("x", LOWER(G19))), ( Tabla111[[#This Row],[Cantidad]]* Tabla111[[#This Row],[Precio]] * IF(ISNUMBER(FIND("aceite", LOWER(Tabla111[[#This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1"/>
        <v/>
      </c>
      <c r="H20" s="4" t="str">
        <f>IF(Tabla111[[#This Row],[Cantidad]] &gt; 0,CEILING(( Tabla111[[#This Row],[Cantidad]]*Tabla111[[#This Row],[Precio]]) - IF(ISNUMBER(FIND("x", LOWER(G20))), ( Tabla111[[#This Row],[Cantidad]]* Tabla111[[#This Row],[Precio]] * IF(ISNUMBER(FIND("aceite", LOWER(Tabla111[[#This Row],[Producto]]))), 0.05, 0.1)), 0), 0.5), "")</f>
        <v/>
      </c>
      <c r="J20" s="26" t="s">
        <v>29</v>
      </c>
      <c r="K20" s="28">
        <f>K16-K18</f>
        <v>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1"/>
        <v/>
      </c>
      <c r="H21" s="4" t="str">
        <f>IF(Tabla111[[#This Row],[Cantidad]] &gt; 0,CEILING(( Tabla111[[#This Row],[Cantidad]]*Tabla111[[#This Row],[Precio]]) - IF(ISNUMBER(FIND("x", LOWER(G21))), ( Tabla111[[#This Row],[Cantidad]]* Tabla111[[#This Row],[Precio]] * IF(ISNUMBER(FIND("aceite", LOWER(Tabla111[[#This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1"/>
        <v/>
      </c>
      <c r="H22" s="4" t="str">
        <f>IF(Tabla111[[#This Row],[Cantidad]] &gt; 0,CEILING(( Tabla111[[#This Row],[Cantidad]]*Tabla111[[#This Row],[Precio]]) - IF(ISNUMBER(FIND("x", LOWER(G22))), ( Tabla111[[#This Row],[Cantidad]]* Tabla111[[#This Row],[Precio]] * IF(ISNUMBER(FIND("aceite", LOWER(Tabla111[[#This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1"/>
        <v/>
      </c>
      <c r="H23" s="4" t="str">
        <f>IF(Tabla111[[#This Row],[Cantidad]] &gt; 0,CEILING(( Tabla111[[#This Row],[Cantidad]]*Tabla111[[#This Row],[Precio]]) - IF(ISNUMBER(FIND("x", LOWER(G23))), ( Tabla111[[#This Row],[Cantidad]]* Tabla111[[#This Row],[Precio]] * IF(ISNUMBER(FIND("aceite", LOWER(Tabla111[[#This Row],[Producto]]))), 0.05, 0.1)), 0), 0.5), "")</f>
        <v/>
      </c>
    </row>
    <row r="24" spans="2:18" ht="15" customHeight="1" x14ac:dyDescent="0.25">
      <c r="B24" s="13"/>
      <c r="C24" t="str">
        <f t="shared" si="1"/>
        <v/>
      </c>
      <c r="H24" s="4" t="str">
        <f>IF(Tabla111[[#This Row],[Cantidad]] &gt; 0,CEILING(( Tabla111[[#This Row],[Cantidad]]*Tabla111[[#This Row],[Precio]]) - IF(ISNUMBER(FIND("x", LOWER(G24))), ( Tabla111[[#This Row],[Cantidad]]* Tabla111[[#This Row],[Precio]] * IF(ISNUMBER(FIND("aceite", LOWER(Tabla111[[#This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x14ac:dyDescent="0.25">
      <c r="B25" s="13"/>
      <c r="C25" t="str">
        <f t="shared" si="1"/>
        <v/>
      </c>
      <c r="H25" s="4" t="str">
        <f>IF(Tabla111[[#This Row],[Cantidad]] &gt; 0,CEILING(( Tabla111[[#This Row],[Cantidad]]*Tabla111[[#This Row],[Precio]]) - IF(ISNUMBER(FIND("x", LOWER(G25))), ( Tabla111[[#This Row],[Cantidad]]* Tabla111[[#This Row],[Precio]] * IF(ISNUMBER(FIND("aceite", LOWER(Tabla111[[#This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1"/>
        <v/>
      </c>
      <c r="H26" s="4" t="str">
        <f>IF(Tabla111[[#This Row],[Cantidad]] &gt; 0,CEILING(( Tabla111[[#This Row],[Cantidad]]*Tabla111[[#This Row],[Precio]]) - IF(ISNUMBER(FIND("x", LOWER(G26))), ( Tabla111[[#This Row],[Cantidad]]* Tabla111[[#This Row],[Precio]] * IF(ISNUMBER(FIND("aceite", LOWER(Tabla111[[#This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x14ac:dyDescent="0.25">
      <c r="B27" s="13"/>
      <c r="C27" t="str">
        <f t="shared" si="1"/>
        <v/>
      </c>
      <c r="H27" s="4" t="str">
        <f>IF(Tabla111[[#This Row],[Cantidad]] &gt; 0,CEILING(( Tabla111[[#This Row],[Cantidad]]*Tabla111[[#This Row],[Precio]]) - IF(ISNUMBER(FIND("x", LOWER(G27))), ( Tabla111[[#This Row],[Cantidad]]* Tabla111[[#This Row],[Precio]] * IF(ISNUMBER(FIND("aceite", LOWER(Tabla111[[#This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x14ac:dyDescent="0.25">
      <c r="B28" s="13"/>
      <c r="C28" t="str">
        <f t="shared" si="1"/>
        <v/>
      </c>
      <c r="H28" s="4" t="str">
        <f>IF(Tabla111[[#This Row],[Cantidad]] &gt; 0,CEILING(( Tabla111[[#This Row],[Cantidad]]*Tabla111[[#This Row],[Precio]]) - IF(ISNUMBER(FIND("x", LOWER(G28))), ( Tabla111[[#This Row],[Cantidad]]* Tabla111[[#This Row],[Precio]] * IF(ISNUMBER(FIND("aceite", LOWER(Tabla111[[#This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1"/>
        <v/>
      </c>
      <c r="H29" s="4" t="str">
        <f>IF(Tabla111[[#This Row],[Cantidad]] &gt; 0,CEILING(( Tabla111[[#This Row],[Cantidad]]*Tabla111[[#This Row],[Precio]]) - IF(ISNUMBER(FIND("x", LOWER(G29))), ( Tabla111[[#This Row],[Cantidad]]* Tabla111[[#This Row],[Precio]] * IF(ISNUMBER(FIND("aceite", LOWER(Tabla111[[#This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1"/>
        <v/>
      </c>
      <c r="H30" s="4" t="str">
        <f>IF(Tabla111[[#This Row],[Cantidad]] &gt; 0,CEILING(( Tabla111[[#This Row],[Cantidad]]*Tabla111[[#This Row],[Precio]]) - IF(ISNUMBER(FIND("x", LOWER(G30))), ( Tabla111[[#This Row],[Cantidad]]* Tabla111[[#This Row],[Precio]] * IF(ISNUMBER(FIND("aceite", LOWER(Tabla111[[#This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1"/>
        <v/>
      </c>
      <c r="H31" s="4" t="str">
        <f>IF(Tabla111[[#This Row],[Cantidad]] &gt; 0,CEILING(( Tabla111[[#This Row],[Cantidad]]*Tabla111[[#This Row],[Precio]]) - IF(ISNUMBER(FIND("x", LOWER(G31))), ( Tabla111[[#This Row],[Cantidad]]* Tabla111[[#This Row],[Precio]] * IF(ISNUMBER(FIND("aceite", LOWER(Tabla111[[#This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1"/>
        <v/>
      </c>
      <c r="H32" s="4" t="str">
        <f>IF(Tabla111[[#This Row],[Cantidad]] &gt; 0,CEILING(( Tabla111[[#This Row],[Cantidad]]*Tabla111[[#This Row],[Precio]]) - IF(ISNUMBER(FIND("x", LOWER(G32))), ( Tabla111[[#This Row],[Cantidad]]* Tabla111[[#This Row],[Precio]] * IF(ISNUMBER(FIND("aceite", LOWER(Tabla111[[#This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1"/>
        <v/>
      </c>
      <c r="H33" s="4" t="str">
        <f>IF(Tabla111[[#This Row],[Cantidad]] &gt; 0,CEILING(( Tabla111[[#This Row],[Cantidad]]*Tabla111[[#This Row],[Precio]]) - IF(ISNUMBER(FIND("x", LOWER(G33))), ( Tabla111[[#This Row],[Cantidad]]* Tabla111[[#This Row],[Precio]] * IF(ISNUMBER(FIND("aceite", LOWER(Tabla111[[#This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1"/>
        <v/>
      </c>
      <c r="H34" s="4" t="str">
        <f>IF(Tabla111[[#This Row],[Cantidad]] &gt; 0,CEILING(( Tabla111[[#This Row],[Cantidad]]*Tabla111[[#This Row],[Precio]]) - IF(ISNUMBER(FIND("x", LOWER(G34))), ( Tabla111[[#This Row],[Cantidad]]* Tabla111[[#This Row],[Precio]] * IF(ISNUMBER(FIND("aceite", LOWER(Tabla111[[#This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1"/>
        <v/>
      </c>
      <c r="H35" s="4" t="str">
        <f>IF(Tabla111[[#This Row],[Cantidad]] &gt; 0,CEILING(( Tabla111[[#This Row],[Cantidad]]*Tabla111[[#This Row],[Precio]]) - IF(ISNUMBER(FIND("x", LOWER(G35))), ( Tabla111[[#This Row],[Cantidad]]* Tabla111[[#This Row],[Precio]] * IF(ISNUMBER(FIND("aceite", LOWER(Tabla111[[#This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1"/>
        <v/>
      </c>
      <c r="H36" s="4" t="str">
        <f>IF(Tabla111[[#This Row],[Cantidad]] &gt; 0,CEILING(( Tabla111[[#This Row],[Cantidad]]*Tabla111[[#This Row],[Precio]]) - IF(ISNUMBER(FIND("x", LOWER(G36))), ( Tabla111[[#This Row],[Cantidad]]* Tabla111[[#This Row],[Precio]] * IF(ISNUMBER(FIND("aceite", LOWER(Tabla111[[#This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si="1"/>
        <v/>
      </c>
      <c r="H37" s="4" t="str">
        <f>IF(Tabla111[[#This Row],[Cantidad]] &gt; 0,CEILING(( Tabla111[[#This Row],[Cantidad]]*Tabla111[[#This Row],[Precio]]) - IF(ISNUMBER(FIND("x", LOWER(G37))), ( Tabla111[[#This Row],[Cantidad]]* Tabla111[[#This Row],[Precio]] * IF(ISNUMBER(FIND("aceite", LOWER(Tabla111[[#This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1"/>
        <v/>
      </c>
      <c r="H38" s="4" t="str">
        <f>IF(Tabla111[[#This Row],[Cantidad]] &gt; 0,CEILING(( Tabla111[[#This Row],[Cantidad]]*Tabla111[[#This Row],[Precio]]) - IF(ISNUMBER(FIND("x", LOWER(G38))), ( Tabla111[[#This Row],[Cantidad]]* Tabla111[[#This Row],[Precio]] * IF(ISNUMBER(FIND("aceite", LOWER(Tabla111[[#This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1"/>
        <v/>
      </c>
      <c r="H39" s="4" t="str">
        <f>IF(Tabla111[[#This Row],[Cantidad]] &gt; 0,CEILING(( Tabla111[[#This Row],[Cantidad]]*Tabla111[[#This Row],[Precio]]) - IF(ISNUMBER(FIND("x", LOWER(G39))), ( Tabla111[[#This Row],[Cantidad]]* Tabla111[[#This Row],[Precio]] * IF(ISNUMBER(FIND("aceite", LOWER(Tabla111[[#This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1"/>
        <v/>
      </c>
      <c r="H40" s="4" t="str">
        <f>IF(Tabla111[[#This Row],[Cantidad]] &gt; 0,CEILING(( Tabla111[[#This Row],[Cantidad]]*Tabla111[[#This Row],[Precio]]) - IF(ISNUMBER(FIND("x", LOWER(G40))), ( Tabla111[[#This Row],[Cantidad]]* Tabla111[[#This Row],[Precio]] * IF(ISNUMBER(FIND("aceite", LOWER(Tabla111[[#This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1"/>
        <v/>
      </c>
      <c r="H41" s="4" t="str">
        <f>IF(Tabla111[[#This Row],[Cantidad]] &gt; 0,CEILING(( Tabla111[[#This Row],[Cantidad]]*Tabla111[[#This Row],[Precio]]) - IF(ISNUMBER(FIND("x", LOWER(G41))), ( Tabla111[[#This Row],[Cantidad]]* Tabla111[[#This Row],[Precio]] * IF(ISNUMBER(FIND("aceite", LOWER(Tabla111[[#This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1"/>
        <v/>
      </c>
      <c r="H42" s="4" t="str">
        <f>IF(Tabla111[[#This Row],[Cantidad]] &gt; 0,CEILING(( Tabla111[[#This Row],[Cantidad]]*Tabla111[[#This Row],[Precio]]) - IF(ISNUMBER(FIND("x", LOWER(G42))), ( Tabla111[[#This Row],[Cantidad]]* Tabla111[[#This Row],[Precio]] * IF(ISNUMBER(FIND("aceite", LOWER(Tabla111[[#This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1"/>
        <v/>
      </c>
      <c r="H43" s="4" t="str">
        <f>IF(Tabla111[[#This Row],[Cantidad]] &gt; 0,CEILING(( Tabla111[[#This Row],[Cantidad]]*Tabla111[[#This Row],[Precio]]) - IF(ISNUMBER(FIND("x", LOWER(G43))), ( Tabla111[[#This Row],[Cantidad]]* Tabla111[[#This Row],[Precio]] * IF(ISNUMBER(FIND("aceite", LOWER(Tabla111[[#This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1"/>
        <v/>
      </c>
      <c r="H44" s="4" t="str">
        <f>IF(Tabla111[[#This Row],[Cantidad]] &gt; 0,CEILING(( Tabla111[[#This Row],[Cantidad]]*Tabla111[[#This Row],[Precio]]) - IF(ISNUMBER(FIND("x", LOWER(G44))), ( Tabla111[[#This Row],[Cantidad]]* Tabla111[[#This Row],[Precio]] * IF(ISNUMBER(FIND("aceite", LOWER(Tabla111[[#This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1"/>
        <v/>
      </c>
      <c r="H45" s="4" t="str">
        <f>IF(Tabla111[[#This Row],[Cantidad]] &gt; 0,CEILING(( Tabla111[[#This Row],[Cantidad]]*Tabla111[[#This Row],[Precio]]) - IF(ISNUMBER(FIND("x", LOWER(G45))), ( Tabla111[[#This Row],[Cantidad]]* Tabla111[[#This Row],[Precio]] * IF(ISNUMBER(FIND("aceite", LOWER(Tabla111[[#This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1"/>
        <v/>
      </c>
      <c r="H46" s="4" t="str">
        <f>IF(Tabla111[[#This Row],[Cantidad]] &gt; 0,CEILING(( Tabla111[[#This Row],[Cantidad]]*Tabla111[[#This Row],[Precio]]) - IF(ISNUMBER(FIND("x", LOWER(G46))), ( Tabla111[[#This Row],[Cantidad]]* Tabla111[[#This Row],[Precio]] * IF(ISNUMBER(FIND("aceite", LOWER(Tabla111[[#This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1"/>
        <v/>
      </c>
      <c r="H47" s="4" t="str">
        <f>IF(Tabla111[[#This Row],[Cantidad]] &gt; 0,CEILING(( Tabla111[[#This Row],[Cantidad]]*Tabla111[[#This Row],[Precio]]) - IF(ISNUMBER(FIND("x", LOWER(G47))), ( Tabla111[[#This Row],[Cantidad]]* Tabla111[[#This Row],[Precio]] * IF(ISNUMBER(FIND("aceite", LOWER(Tabla111[[#This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1"/>
        <v/>
      </c>
      <c r="H48" s="4" t="str">
        <f>IF(Tabla111[[#This Row],[Cantidad]] &gt; 0,CEILING(( Tabla111[[#This Row],[Cantidad]]*Tabla111[[#This Row],[Precio]]) - IF(ISNUMBER(FIND("x", LOWER(G48))), ( Tabla111[[#This Row],[Cantidad]]* Tabla111[[#This Row],[Precio]] * IF(ISNUMBER(FIND("aceite", LOWER(Tabla111[[#This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1"/>
        <v/>
      </c>
      <c r="H49" s="4" t="str">
        <f>IF(Tabla111[[#This Row],[Cantidad]] &gt; 0,CEILING(( Tabla111[[#This Row],[Cantidad]]*Tabla111[[#This Row],[Precio]]) - IF(ISNUMBER(FIND("x", LOWER(G49))), ( Tabla111[[#This Row],[Cantidad]]* Tabla111[[#This Row],[Precio]] * IF(ISNUMBER(FIND("aceite", LOWER(Tabla111[[#This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1"/>
        <v/>
      </c>
      <c r="H50" s="4" t="str">
        <f>IF(Tabla111[[#This Row],[Cantidad]] &gt; 0,CEILING(( Tabla111[[#This Row],[Cantidad]]*Tabla111[[#This Row],[Precio]]) - IF(ISNUMBER(FIND("x", LOWER(G50))), ( Tabla111[[#This Row],[Cantidad]]* Tabla111[[#This Row],[Precio]] * IF(ISNUMBER(FIND("aceite", LOWER(Tabla111[[#This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1"/>
        <v/>
      </c>
      <c r="H51" s="4" t="str">
        <f>IF(Tabla111[[#This Row],[Cantidad]] &gt; 0,CEILING(( Tabla111[[#This Row],[Cantidad]]*Tabla111[[#This Row],[Precio]]) - IF(ISNUMBER(FIND("x", LOWER(G51))), ( Tabla111[[#This Row],[Cantidad]]* Tabla111[[#This Row],[Precio]] * IF(ISNUMBER(FIND("aceite", LOWER(Tabla111[[#This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1"/>
        <v/>
      </c>
      <c r="H52" s="4" t="str">
        <f>IF(Tabla111[[#This Row],[Cantidad]] &gt; 0,CEILING(( Tabla111[[#This Row],[Cantidad]]*Tabla111[[#This Row],[Precio]]) - IF(ISNUMBER(FIND("x", LOWER(G52))), ( Tabla111[[#This Row],[Cantidad]]* Tabla111[[#This Row],[Precio]] * IF(ISNUMBER(FIND("aceite", LOWER(Tabla111[[#This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1"/>
        <v/>
      </c>
      <c r="H53" s="4" t="str">
        <f>IF(Tabla111[[#This Row],[Cantidad]] &gt; 0,CEILING(( Tabla111[[#This Row],[Cantidad]]*Tabla111[[#This Row],[Precio]]) - IF(ISNUMBER(FIND("x", LOWER(G53))), ( Tabla111[[#This Row],[Cantidad]]* Tabla111[[#This Row],[Precio]] * IF(ISNUMBER(FIND("aceite", LOWER(Tabla111[[#This Row],[Producto]]))), 0.05, 0.1)), 0), 0.5), "")</f>
        <v/>
      </c>
    </row>
    <row r="54" spans="2:18" x14ac:dyDescent="0.25">
      <c r="B54" s="13"/>
      <c r="C54" t="str">
        <f t="shared" si="1"/>
        <v/>
      </c>
      <c r="H54" s="4" t="str">
        <f>IF(Tabla111[[#This Row],[Cantidad]] &gt; 0,CEILING(( Tabla111[[#This Row],[Cantidad]]*Tabla111[[#This Row],[Precio]]) - IF(ISNUMBER(FIND("x", LOWER(G54))), ( Tabla111[[#This Row],[Cantidad]]* Tabla111[[#This Row],[Precio]] * IF(ISNUMBER(FIND("aceite", LOWER(Tabla111[[#This Row],[Producto]]))), 0.05, 0.1)), 0), 0.5), "")</f>
        <v/>
      </c>
    </row>
    <row r="55" spans="2:18" x14ac:dyDescent="0.25">
      <c r="B55" s="13"/>
      <c r="C55" t="str">
        <f t="shared" si="1"/>
        <v/>
      </c>
      <c r="H55" s="4" t="str">
        <f>IF(Tabla111[[#This Row],[Cantidad]] &gt; 0,CEILING(( Tabla111[[#This Row],[Cantidad]]*Tabla111[[#This Row],[Precio]]) - IF(ISNUMBER(FIND("x", LOWER(G55))), ( Tabla111[[#This Row],[Cantidad]]* Tabla111[[#This Row],[Precio]] * IF(ISNUMBER(FIND("aceite", LOWER(Tabla111[[#This Row],[Producto]]))), 0.05, 0.1)), 0), 0.5), "")</f>
        <v/>
      </c>
    </row>
    <row r="56" spans="2:18" x14ac:dyDescent="0.25">
      <c r="B56" s="13"/>
      <c r="C56" t="str">
        <f t="shared" si="1"/>
        <v/>
      </c>
      <c r="H56" s="4" t="str">
        <f>IF(Tabla111[[#This Row],[Cantidad]] &gt; 0,CEILING(( Tabla111[[#This Row],[Cantidad]]*Tabla111[[#This Row],[Precio]]) - IF(ISNUMBER(FIND("x", LOWER(G56))), ( Tabla111[[#This Row],[Cantidad]]* Tabla111[[#This Row],[Precio]] * IF(ISNUMBER(FIND("aceite", LOWER(Tabla111[[#This Row],[Producto]]))), 0.05, 0.1)), 0), 0.5), "")</f>
        <v/>
      </c>
    </row>
    <row r="57" spans="2:18" x14ac:dyDescent="0.25">
      <c r="B57" s="13"/>
      <c r="C57" t="str">
        <f t="shared" si="1"/>
        <v/>
      </c>
      <c r="H57" s="4" t="str">
        <f>IF(Tabla111[[#This Row],[Cantidad]] &gt; 0,CEILING(( Tabla111[[#This Row],[Cantidad]]*Tabla111[[#This Row],[Precio]]) - IF(ISNUMBER(FIND("x", LOWER(G57))), ( Tabla111[[#This Row],[Cantidad]]* Tabla111[[#This Row],[Precio]] * IF(ISNUMBER(FIND("aceite", LOWER(Tabla111[[#This Row],[Producto]]))), 0.05, 0.1)), 0), 0.5), "")</f>
        <v/>
      </c>
    </row>
    <row r="58" spans="2:18" x14ac:dyDescent="0.25">
      <c r="B58" s="13"/>
      <c r="C58" t="str">
        <f t="shared" si="1"/>
        <v/>
      </c>
      <c r="H58" s="4" t="str">
        <f>IF(Tabla111[[#This Row],[Cantidad]] &gt; 0,CEILING(( Tabla111[[#This Row],[Cantidad]]*Tabla111[[#This Row],[Precio]]) - IF(ISNUMBER(FIND("x", LOWER(G58))), ( Tabla111[[#This Row],[Cantidad]]* Tabla111[[#This Row],[Precio]] * IF(ISNUMBER(FIND("aceite", LOWER(Tabla111[[#This Row],[Producto]]))), 0.05, 0.1)), 0), 0.5), "")</f>
        <v/>
      </c>
    </row>
    <row r="59" spans="2:18" x14ac:dyDescent="0.25">
      <c r="B59" s="13"/>
      <c r="C59" t="str">
        <f t="shared" si="1"/>
        <v/>
      </c>
      <c r="H59" s="4" t="str">
        <f>IF(Tabla111[[#This Row],[Cantidad]] &gt; 0,CEILING(( Tabla111[[#This Row],[Cantidad]]*Tabla111[[#This Row],[Precio]]) - IF(ISNUMBER(FIND("x", LOWER(G59))), ( Tabla111[[#This Row],[Cantidad]]* Tabla111[[#This Row],[Precio]] * IF(ISNUMBER(FIND("aceite", LOWER(Tabla111[[#This Row],[Producto]]))), 0.05, 0.1)), 0), 0.5), "")</f>
        <v/>
      </c>
    </row>
    <row r="60" spans="2:18" x14ac:dyDescent="0.25">
      <c r="B60" s="13"/>
      <c r="C60" t="str">
        <f t="shared" si="1"/>
        <v/>
      </c>
      <c r="H60" s="4" t="str">
        <f>IF(Tabla111[[#This Row],[Cantidad]] &gt; 0,CEILING(( Tabla111[[#This Row],[Cantidad]]*Tabla111[[#This Row],[Precio]]) - IF(ISNUMBER(FIND("x", LOWER(G60))), ( Tabla111[[#This Row],[Cantidad]]* Tabla111[[#This Row],[Precio]] * IF(ISNUMBER(FIND("aceite", LOWER(Tabla111[[#This Row],[Producto]]))), 0.05, 0.1)), 0), 0.5), "")</f>
        <v/>
      </c>
    </row>
    <row r="61" spans="2:18" x14ac:dyDescent="0.25">
      <c r="B61" s="13"/>
      <c r="C61" t="str">
        <f t="shared" si="1"/>
        <v/>
      </c>
      <c r="H61" s="4" t="str">
        <f>IF(Tabla111[[#This Row],[Cantidad]] &gt; 0,CEILING(( Tabla111[[#This Row],[Cantidad]]*Tabla111[[#This Row],[Precio]]) - IF(ISNUMBER(FIND("x", LOWER(G61))), ( Tabla111[[#This Row],[Cantidad]]* Tabla111[[#This Row],[Precio]] * IF(ISNUMBER(FIND("aceite", LOWER(Tabla111[[#This Row],[Producto]]))), 0.05, 0.1)), 0), 0.5), "")</f>
        <v/>
      </c>
    </row>
    <row r="62" spans="2:18" x14ac:dyDescent="0.25">
      <c r="B62" s="13"/>
      <c r="C62" t="str">
        <f t="shared" si="1"/>
        <v/>
      </c>
      <c r="H62" s="4" t="str">
        <f>IF(Tabla111[[#This Row],[Cantidad]] &gt; 0,CEILING(( Tabla111[[#This Row],[Cantidad]]*Tabla111[[#This Row],[Precio]]) - IF(ISNUMBER(FIND("x", LOWER(G62))), ( Tabla111[[#This Row],[Cantidad]]* Tabla111[[#This Row],[Precio]] * IF(ISNUMBER(FIND("aceite", LOWER(Tabla111[[#This Row],[Producto]]))), 0.05, 0.1)), 0), 0.5), "")</f>
        <v/>
      </c>
    </row>
    <row r="63" spans="2:18" x14ac:dyDescent="0.25">
      <c r="B63" s="13"/>
      <c r="C63" t="str">
        <f t="shared" si="1"/>
        <v/>
      </c>
      <c r="H63" s="4" t="str">
        <f>IF(Tabla111[[#This Row],[Cantidad]] &gt; 0,CEILING(( Tabla111[[#This Row],[Cantidad]]*Tabla111[[#This Row],[Precio]]) - IF(ISNUMBER(FIND("x", LOWER(G63))), ( Tabla111[[#This Row],[Cantidad]]* Tabla111[[#This Row],[Precio]] * IF(ISNUMBER(FIND("aceite", LOWER(Tabla111[[#This Row],[Producto]]))), 0.05, 0.1)), 0), 0.5), "")</f>
        <v/>
      </c>
    </row>
    <row r="64" spans="2:18" x14ac:dyDescent="0.25">
      <c r="B64" s="13"/>
      <c r="C64" t="str">
        <f t="shared" si="1"/>
        <v/>
      </c>
      <c r="H64" s="4" t="str">
        <f>IF(Tabla111[[#This Row],[Cantidad]] &gt; 0,CEILING(( Tabla111[[#This Row],[Cantidad]]*Tabla111[[#This Row],[Precio]]) - IF(ISNUMBER(FIND("x", LOWER(G64))), ( Tabla111[[#This Row],[Cantidad]]* Tabla111[[#This Row],[Precio]] * IF(ISNUMBER(FIND("aceite", LOWER(Tabla111[[#This Row],[Producto]]))), 0.05, 0.1)), 0), 0.5), "")</f>
        <v/>
      </c>
    </row>
    <row r="65" spans="2:8" x14ac:dyDescent="0.25">
      <c r="B65" s="13"/>
      <c r="C65" t="str">
        <f t="shared" si="1"/>
        <v/>
      </c>
      <c r="H65" s="4" t="str">
        <f>IF(Tabla111[[#This Row],[Cantidad]] &gt; 0,CEILING(( Tabla111[[#This Row],[Cantidad]]*Tabla111[[#This Row],[Precio]]) - IF(ISNUMBER(FIND("x", LOWER(G65))), ( Tabla111[[#This Row],[Cantidad]]* Tabla111[[#This Row],[Precio]] * IF(ISNUMBER(FIND("aceite", LOWER(Tabla111[[#This Row],[Producto]]))), 0.05, 0.1)), 0), 0.5), "")</f>
        <v/>
      </c>
    </row>
    <row r="66" spans="2:8" x14ac:dyDescent="0.25">
      <c r="B66" s="13"/>
      <c r="C66" t="str">
        <f t="shared" si="1"/>
        <v/>
      </c>
      <c r="H66" s="4" t="str">
        <f>IF(Tabla111[[#This Row],[Cantidad]] &gt; 0,CEILING(( Tabla111[[#This Row],[Cantidad]]*Tabla111[[#This Row],[Precio]]) - IF(ISNUMBER(FIND("x", LOWER(G66))), ( Tabla111[[#This Row],[Cantidad]]* Tabla111[[#This Row],[Precio]] * IF(ISNUMBER(FIND("aceite", LOWER(Tabla111[[#This Row],[Producto]]))), 0.05, 0.1)), 0), 0.5), "")</f>
        <v/>
      </c>
    </row>
    <row r="67" spans="2:8" x14ac:dyDescent="0.25">
      <c r="B67" s="13"/>
      <c r="C67" t="str">
        <f t="shared" si="1"/>
        <v/>
      </c>
      <c r="H67" s="4" t="str">
        <f>IF(Tabla111[[#This Row],[Cantidad]] &gt; 0,CEILING(( Tabla111[[#This Row],[Cantidad]]*Tabla111[[#This Row],[Precio]]) - IF(ISNUMBER(FIND("x", LOWER(G67))), ( Tabla111[[#This Row],[Cantidad]]* Tabla111[[#This Row],[Precio]] * IF(ISNUMBER(FIND("aceite", LOWER(Tabla111[[#This Row],[Producto]]))), 0.05, 0.1)), 0), 0.5), "")</f>
        <v/>
      </c>
    </row>
    <row r="68" spans="2:8" x14ac:dyDescent="0.25">
      <c r="B68" s="13"/>
      <c r="C68" t="str">
        <f t="shared" si="1"/>
        <v/>
      </c>
      <c r="H68" s="4" t="str">
        <f>IF(Tabla111[[#This Row],[Cantidad]] &gt; 0,CEILING(( Tabla111[[#This Row],[Cantidad]]*Tabla111[[#This Row],[Precio]]) - IF(ISNUMBER(FIND("x", LOWER(G68))), ( Tabla111[[#This Row],[Cantidad]]* Tabla111[[#This Row],[Precio]] * IF(ISNUMBER(FIND("aceite", LOWER(Tabla111[[#This Row],[Producto]]))), 0.05, 0.1)), 0), 0.5), "")</f>
        <v/>
      </c>
    </row>
    <row r="69" spans="2:8" x14ac:dyDescent="0.25">
      <c r="B69" s="13"/>
      <c r="C69" t="str">
        <f t="shared" ref="C69:C103" si="2">IF(ISNUMBER(E69), IF(ISNUMBER(C68), C68+1, 1), "")</f>
        <v/>
      </c>
      <c r="H69" s="4" t="str">
        <f>IF(Tabla111[[#This Row],[Cantidad]] &gt; 0,CEILING(( Tabla111[[#This Row],[Cantidad]]*Tabla111[[#This Row],[Precio]]) - IF(ISNUMBER(FIND("x", LOWER(G69))), ( Tabla111[[#This Row],[Cantidad]]* Tabla111[[#This Row],[Precio]] * IF(ISNUMBER(FIND("aceite", LOWER(Tabla111[[#This Row],[Producto]]))), 0.05, 0.1)), 0), 0.5), "")</f>
        <v/>
      </c>
    </row>
    <row r="70" spans="2:8" x14ac:dyDescent="0.25">
      <c r="B70" s="13"/>
      <c r="C70" t="str">
        <f t="shared" si="2"/>
        <v/>
      </c>
      <c r="H70" s="4" t="str">
        <f>IF(Tabla111[[#This Row],[Cantidad]] &gt; 0,CEILING(( Tabla111[[#This Row],[Cantidad]]*Tabla111[[#This Row],[Precio]]) - IF(ISNUMBER(FIND("x", LOWER(G70))), ( Tabla111[[#This Row],[Cantidad]]* Tabla111[[#This Row],[Precio]] * IF(ISNUMBER(FIND("aceite", LOWER(Tabla111[[#This Row],[Producto]]))), 0.05, 0.1)), 0), 0.5), "")</f>
        <v/>
      </c>
    </row>
    <row r="71" spans="2:8" x14ac:dyDescent="0.25">
      <c r="B71" s="13"/>
      <c r="C71" t="str">
        <f t="shared" si="2"/>
        <v/>
      </c>
      <c r="H71" s="4" t="str">
        <f>IF(Tabla111[[#This Row],[Cantidad]] &gt; 0,CEILING(( Tabla111[[#This Row],[Cantidad]]*Tabla111[[#This Row],[Precio]]) - IF(ISNUMBER(FIND("x", LOWER(G71))), ( Tabla111[[#This Row],[Cantidad]]* Tabla111[[#This Row],[Precio]] * IF(ISNUMBER(FIND("aceite", LOWER(Tabla111[[#This Row],[Producto]]))), 0.05, 0.1)), 0), 0.5), "")</f>
        <v/>
      </c>
    </row>
    <row r="72" spans="2:8" x14ac:dyDescent="0.25">
      <c r="B72" s="13"/>
      <c r="C72" t="str">
        <f t="shared" si="2"/>
        <v/>
      </c>
      <c r="H72" s="4" t="str">
        <f>IF(Tabla111[[#This Row],[Cantidad]] &gt; 0,CEILING(( Tabla111[[#This Row],[Cantidad]]*Tabla111[[#This Row],[Precio]]) - IF(ISNUMBER(FIND("x", LOWER(G72))), ( Tabla111[[#This Row],[Cantidad]]* Tabla111[[#This Row],[Precio]] * IF(ISNUMBER(FIND("aceite", LOWER(Tabla111[[#This Row],[Producto]]))), 0.05, 0.1)), 0), 0.5), "")</f>
        <v/>
      </c>
    </row>
    <row r="73" spans="2:8" x14ac:dyDescent="0.25">
      <c r="B73" s="13"/>
      <c r="C73" t="str">
        <f t="shared" si="2"/>
        <v/>
      </c>
      <c r="H73" s="4" t="str">
        <f>IF(Tabla111[[#This Row],[Cantidad]] &gt; 0,CEILING(( Tabla111[[#This Row],[Cantidad]]*Tabla111[[#This Row],[Precio]]) - IF(ISNUMBER(FIND("x", LOWER(G73))), ( Tabla111[[#This Row],[Cantidad]]* Tabla111[[#This Row],[Precio]] * IF(ISNUMBER(FIND("aceite", LOWER(Tabla111[[#This Row],[Producto]]))), 0.05, 0.1)), 0), 0.5), "")</f>
        <v/>
      </c>
    </row>
    <row r="74" spans="2:8" x14ac:dyDescent="0.25">
      <c r="B74" s="13"/>
      <c r="C74" t="str">
        <f t="shared" si="2"/>
        <v/>
      </c>
      <c r="H74" s="4" t="str">
        <f>IF(Tabla111[[#This Row],[Cantidad]] &gt; 0,CEILING(( Tabla111[[#This Row],[Cantidad]]*Tabla111[[#This Row],[Precio]]) - IF(ISNUMBER(FIND("x", LOWER(G74))), ( Tabla111[[#This Row],[Cantidad]]* Tabla111[[#This Row],[Precio]] * IF(ISNUMBER(FIND("aceite", LOWER(Tabla111[[#This Row],[Producto]]))), 0.05, 0.1)), 0), 0.5), "")</f>
        <v/>
      </c>
    </row>
    <row r="75" spans="2:8" x14ac:dyDescent="0.25">
      <c r="B75" s="13"/>
      <c r="C75" t="str">
        <f t="shared" si="2"/>
        <v/>
      </c>
      <c r="H75" s="4" t="str">
        <f>IF(Tabla111[[#This Row],[Cantidad]] &gt; 0,CEILING(( Tabla111[[#This Row],[Cantidad]]*Tabla111[[#This Row],[Precio]]) - IF(ISNUMBER(FIND("x", LOWER(G75))), ( Tabla111[[#This Row],[Cantidad]]* Tabla111[[#This Row],[Precio]] * IF(ISNUMBER(FIND("aceite", LOWER(Tabla111[[#This Row],[Producto]]))), 0.05, 0.1)), 0), 0.5), "")</f>
        <v/>
      </c>
    </row>
    <row r="76" spans="2:8" x14ac:dyDescent="0.25">
      <c r="B76" s="13"/>
      <c r="C76" t="str">
        <f t="shared" si="2"/>
        <v/>
      </c>
      <c r="H76" s="4" t="str">
        <f>IF(Tabla111[[#This Row],[Cantidad]] &gt; 0,CEILING(( Tabla111[[#This Row],[Cantidad]]*Tabla111[[#This Row],[Precio]]) - IF(ISNUMBER(FIND("x", LOWER(G76))), ( Tabla111[[#This Row],[Cantidad]]* Tabla111[[#This Row],[Precio]] * IF(ISNUMBER(FIND("aceite", LOWER(Tabla111[[#This Row],[Producto]]))), 0.05, 0.1)), 0), 0.5), "")</f>
        <v/>
      </c>
    </row>
    <row r="77" spans="2:8" x14ac:dyDescent="0.25">
      <c r="B77" s="13"/>
      <c r="C77" t="str">
        <f t="shared" si="2"/>
        <v/>
      </c>
      <c r="H77" s="4" t="str">
        <f>IF(Tabla111[[#This Row],[Cantidad]] &gt; 0,CEILING(( Tabla111[[#This Row],[Cantidad]]*Tabla111[[#This Row],[Precio]]) - IF(ISNUMBER(FIND("x", LOWER(G77))), ( Tabla111[[#This Row],[Cantidad]]* Tabla111[[#This Row],[Precio]] * IF(ISNUMBER(FIND("aceite", LOWER(Tabla111[[#This Row],[Producto]]))), 0.05, 0.1)), 0), 0.5), "")</f>
        <v/>
      </c>
    </row>
    <row r="78" spans="2:8" x14ac:dyDescent="0.25">
      <c r="B78" s="13"/>
      <c r="C78" t="str">
        <f t="shared" si="2"/>
        <v/>
      </c>
      <c r="H78" s="4" t="str">
        <f>IF(Tabla111[[#This Row],[Cantidad]] &gt; 0,CEILING(( Tabla111[[#This Row],[Cantidad]]*Tabla111[[#This Row],[Precio]]) - IF(ISNUMBER(FIND("x", LOWER(G78))), ( Tabla111[[#This Row],[Cantidad]]* Tabla111[[#This Row],[Precio]] * IF(ISNUMBER(FIND("aceite", LOWER(Tabla111[[#This Row],[Producto]]))), 0.05, 0.1)), 0), 0.5), "")</f>
        <v/>
      </c>
    </row>
    <row r="79" spans="2:8" x14ac:dyDescent="0.25">
      <c r="B79" s="13"/>
      <c r="C79" t="str">
        <f t="shared" si="2"/>
        <v/>
      </c>
      <c r="H79" s="4" t="str">
        <f>IF(Tabla111[[#This Row],[Cantidad]] &gt; 0,CEILING(( Tabla111[[#This Row],[Cantidad]]*Tabla111[[#This Row],[Precio]]) - IF(ISNUMBER(FIND("x", LOWER(G79))), ( Tabla111[[#This Row],[Cantidad]]* Tabla111[[#This Row],[Precio]] * IF(ISNUMBER(FIND("aceite", LOWER(Tabla111[[#This Row],[Producto]]))), 0.05, 0.1)), 0), 0.5), "")</f>
        <v/>
      </c>
    </row>
    <row r="80" spans="2:8" x14ac:dyDescent="0.25">
      <c r="B80" s="13"/>
      <c r="C80" t="str">
        <f t="shared" si="2"/>
        <v/>
      </c>
      <c r="H80" s="4" t="str">
        <f>IF(Tabla111[[#This Row],[Cantidad]] &gt; 0,CEILING(( Tabla111[[#This Row],[Cantidad]]*Tabla111[[#This Row],[Precio]]) - IF(ISNUMBER(FIND("x", LOWER(G80))), ( Tabla111[[#This Row],[Cantidad]]* Tabla111[[#This Row],[Precio]] * IF(ISNUMBER(FIND("aceite", LOWER(Tabla111[[#This Row],[Producto]]))), 0.05, 0.1)), 0), 0.5), "")</f>
        <v/>
      </c>
    </row>
    <row r="81" spans="2:8" x14ac:dyDescent="0.25">
      <c r="B81" s="13"/>
      <c r="C81" t="str">
        <f t="shared" si="2"/>
        <v/>
      </c>
      <c r="H81" s="4" t="str">
        <f>IF(Tabla111[[#This Row],[Cantidad]] &gt; 0,CEILING(( Tabla111[[#This Row],[Cantidad]]*Tabla111[[#This Row],[Precio]]) - IF(ISNUMBER(FIND("x", LOWER(G81))), ( Tabla111[[#This Row],[Cantidad]]* Tabla111[[#This Row],[Precio]] * IF(ISNUMBER(FIND("aceite", LOWER(Tabla111[[#This Row],[Producto]]))), 0.05, 0.1)), 0), 0.5), "")</f>
        <v/>
      </c>
    </row>
    <row r="82" spans="2:8" x14ac:dyDescent="0.25">
      <c r="B82" s="13"/>
      <c r="C82" t="str">
        <f t="shared" si="2"/>
        <v/>
      </c>
      <c r="H82" s="4" t="str">
        <f>IF(Tabla111[[#This Row],[Cantidad]] &gt; 0,CEILING(( Tabla111[[#This Row],[Cantidad]]*Tabla111[[#This Row],[Precio]]) - IF(ISNUMBER(FIND("x", LOWER(G82))), ( Tabla111[[#This Row],[Cantidad]]* Tabla111[[#This Row],[Precio]] * IF(ISNUMBER(FIND("aceite", LOWER(Tabla111[[#This Row],[Producto]]))), 0.05, 0.1)), 0), 0.5), "")</f>
        <v/>
      </c>
    </row>
    <row r="83" spans="2:8" x14ac:dyDescent="0.25">
      <c r="B83" s="13"/>
      <c r="C83" t="str">
        <f t="shared" si="2"/>
        <v/>
      </c>
      <c r="H83" s="4" t="str">
        <f>IF(Tabla111[[#This Row],[Cantidad]] &gt; 0,CEILING(( Tabla111[[#This Row],[Cantidad]]*Tabla111[[#This Row],[Precio]]) - IF(ISNUMBER(FIND("x", LOWER(G83))), ( Tabla111[[#This Row],[Cantidad]]* Tabla111[[#This Row],[Precio]] * IF(ISNUMBER(FIND("aceite", LOWER(Tabla111[[#This Row],[Producto]]))), 0.05, 0.1)), 0), 0.5), "")</f>
        <v/>
      </c>
    </row>
    <row r="84" spans="2:8" x14ac:dyDescent="0.25">
      <c r="B84" s="13"/>
      <c r="C84" t="str">
        <f t="shared" si="2"/>
        <v/>
      </c>
      <c r="H84" s="4" t="str">
        <f>IF(Tabla111[[#This Row],[Cantidad]] &gt; 0,CEILING(( Tabla111[[#This Row],[Cantidad]]*Tabla111[[#This Row],[Precio]]) - IF(ISNUMBER(FIND("x", LOWER(G84))), ( Tabla111[[#This Row],[Cantidad]]* Tabla111[[#This Row],[Precio]] * IF(ISNUMBER(FIND("aceite", LOWER(Tabla111[[#This Row],[Producto]]))), 0.05, 0.1)), 0), 0.5), "")</f>
        <v/>
      </c>
    </row>
    <row r="85" spans="2:8" x14ac:dyDescent="0.25">
      <c r="B85" s="13"/>
      <c r="C85" t="str">
        <f t="shared" si="2"/>
        <v/>
      </c>
      <c r="H85" s="4" t="str">
        <f>IF(Tabla111[[#This Row],[Cantidad]] &gt; 0,CEILING(( Tabla111[[#This Row],[Cantidad]]*Tabla111[[#This Row],[Precio]]) - IF(ISNUMBER(FIND("x", LOWER(G85))), ( Tabla111[[#This Row],[Cantidad]]* Tabla111[[#This Row],[Precio]] * IF(ISNUMBER(FIND("aceite", LOWER(Tabla111[[#This Row],[Producto]]))), 0.05, 0.1)), 0), 0.5), "")</f>
        <v/>
      </c>
    </row>
    <row r="86" spans="2:8" x14ac:dyDescent="0.25">
      <c r="B86" s="13"/>
      <c r="C86" t="str">
        <f t="shared" si="2"/>
        <v/>
      </c>
      <c r="H86" s="4" t="str">
        <f>IF(Tabla111[[#This Row],[Cantidad]] &gt; 0,CEILING(( Tabla111[[#This Row],[Cantidad]]*Tabla111[[#This Row],[Precio]]) - IF(ISNUMBER(FIND("x", LOWER(G86))), ( Tabla111[[#This Row],[Cantidad]]* Tabla111[[#This Row],[Precio]] * IF(ISNUMBER(FIND("aceite", LOWER(Tabla111[[#This Row],[Producto]]))), 0.05, 0.1)), 0), 0.5), "")</f>
        <v/>
      </c>
    </row>
    <row r="87" spans="2:8" x14ac:dyDescent="0.25">
      <c r="B87" s="13"/>
      <c r="C87" t="str">
        <f t="shared" si="2"/>
        <v/>
      </c>
      <c r="H87" s="4" t="str">
        <f>IF(Tabla111[[#This Row],[Cantidad]] &gt; 0,CEILING(( Tabla111[[#This Row],[Cantidad]]*Tabla111[[#This Row],[Precio]]) - IF(ISNUMBER(FIND("x", LOWER(G87))), ( Tabla111[[#This Row],[Cantidad]]* Tabla111[[#This Row],[Precio]] * IF(ISNUMBER(FIND("aceite", LOWER(Tabla111[[#This Row],[Producto]]))), 0.05, 0.1)), 0), 0.5), "")</f>
        <v/>
      </c>
    </row>
    <row r="88" spans="2:8" x14ac:dyDescent="0.25">
      <c r="B88" s="13"/>
      <c r="C88" t="str">
        <f t="shared" si="2"/>
        <v/>
      </c>
      <c r="H88" s="4" t="str">
        <f>IF(Tabla111[[#This Row],[Cantidad]] &gt; 0,CEILING(( Tabla111[[#This Row],[Cantidad]]*Tabla111[[#This Row],[Precio]]) - IF(ISNUMBER(FIND("x", LOWER(G88))), ( Tabla111[[#This Row],[Cantidad]]* Tabla111[[#This Row],[Precio]] * IF(ISNUMBER(FIND("aceite", LOWER(Tabla111[[#This Row],[Producto]]))), 0.05, 0.1)), 0), 0.5), "")</f>
        <v/>
      </c>
    </row>
    <row r="89" spans="2:8" x14ac:dyDescent="0.25">
      <c r="B89" s="13"/>
      <c r="C89" t="str">
        <f t="shared" si="2"/>
        <v/>
      </c>
      <c r="H89" s="4" t="str">
        <f>IF(Tabla111[[#This Row],[Cantidad]] &gt; 0,CEILING(( Tabla111[[#This Row],[Cantidad]]*Tabla111[[#This Row],[Precio]]) - IF(ISNUMBER(FIND("x", LOWER(G89))), ( Tabla111[[#This Row],[Cantidad]]* Tabla111[[#This Row],[Precio]] * IF(ISNUMBER(FIND("aceite", LOWER(Tabla111[[#This Row],[Producto]]))), 0.05, 0.1)), 0), 0.5), "")</f>
        <v/>
      </c>
    </row>
    <row r="90" spans="2:8" x14ac:dyDescent="0.25">
      <c r="B90" s="13"/>
      <c r="C90" t="str">
        <f t="shared" si="2"/>
        <v/>
      </c>
      <c r="H90" s="4" t="str">
        <f>IF(Tabla111[[#This Row],[Cantidad]] &gt; 0,CEILING(( Tabla111[[#This Row],[Cantidad]]*Tabla111[[#This Row],[Precio]]) - IF(ISNUMBER(FIND("x", LOWER(G90))), ( Tabla111[[#This Row],[Cantidad]]* Tabla111[[#This Row],[Precio]] * IF(ISNUMBER(FIND("aceite", LOWER(Tabla111[[#This Row],[Producto]]))), 0.05, 0.1)), 0), 0.5), "")</f>
        <v/>
      </c>
    </row>
    <row r="91" spans="2:8" x14ac:dyDescent="0.25">
      <c r="B91" s="13"/>
      <c r="C91" t="str">
        <f t="shared" si="2"/>
        <v/>
      </c>
      <c r="H91" s="4" t="str">
        <f>IF(Tabla111[[#This Row],[Cantidad]] &gt; 0,CEILING(( Tabla111[[#This Row],[Cantidad]]*Tabla111[[#This Row],[Precio]]) - IF(ISNUMBER(FIND("x", LOWER(G91))), ( Tabla111[[#This Row],[Cantidad]]* Tabla111[[#This Row],[Precio]] * IF(ISNUMBER(FIND("aceite", LOWER(Tabla111[[#This Row],[Producto]]))), 0.05, 0.1)), 0), 0.5), "")</f>
        <v/>
      </c>
    </row>
    <row r="92" spans="2:8" x14ac:dyDescent="0.25">
      <c r="B92" s="13"/>
      <c r="C92" t="str">
        <f t="shared" si="2"/>
        <v/>
      </c>
      <c r="H92" s="4" t="str">
        <f>IF(Tabla111[[#This Row],[Cantidad]] &gt; 0,CEILING(( Tabla111[[#This Row],[Cantidad]]*Tabla111[[#This Row],[Precio]]) - IF(ISNUMBER(FIND("x", LOWER(G92))), ( Tabla111[[#This Row],[Cantidad]]* Tabla111[[#This Row],[Precio]] * IF(ISNUMBER(FIND("aceite", LOWER(Tabla111[[#This Row],[Producto]]))), 0.05, 0.1)), 0), 0.5), "")</f>
        <v/>
      </c>
    </row>
    <row r="93" spans="2:8" x14ac:dyDescent="0.25">
      <c r="B93" s="13"/>
      <c r="C93" t="str">
        <f t="shared" si="2"/>
        <v/>
      </c>
      <c r="H93" s="4" t="str">
        <f>IF(Tabla111[[#This Row],[Cantidad]] &gt; 0,CEILING(( Tabla111[[#This Row],[Cantidad]]*Tabla111[[#This Row],[Precio]]) - IF(ISNUMBER(FIND("x", LOWER(G93))), ( Tabla111[[#This Row],[Cantidad]]* Tabla111[[#This Row],[Precio]] * IF(ISNUMBER(FIND("aceite", LOWER(Tabla111[[#This Row],[Producto]]))), 0.05, 0.1)), 0), 0.5), "")</f>
        <v/>
      </c>
    </row>
    <row r="94" spans="2:8" x14ac:dyDescent="0.25">
      <c r="B94" s="13"/>
      <c r="C94" t="str">
        <f t="shared" si="2"/>
        <v/>
      </c>
      <c r="H94" s="4" t="str">
        <f>IF(Tabla111[[#This Row],[Cantidad]] &gt; 0,CEILING(( Tabla111[[#This Row],[Cantidad]]*Tabla111[[#This Row],[Precio]]) - IF(ISNUMBER(FIND("x", LOWER(G94))), ( Tabla111[[#This Row],[Cantidad]]* Tabla111[[#This Row],[Precio]] * IF(ISNUMBER(FIND("aceite", LOWER(Tabla111[[#This Row],[Producto]]))), 0.05, 0.1)), 0), 0.5), "")</f>
        <v/>
      </c>
    </row>
    <row r="95" spans="2:8" x14ac:dyDescent="0.25">
      <c r="B95" s="13"/>
      <c r="C95" t="str">
        <f t="shared" si="2"/>
        <v/>
      </c>
      <c r="H95" s="4" t="str">
        <f>IF(Tabla111[[#This Row],[Cantidad]] &gt; 0,CEILING(( Tabla111[[#This Row],[Cantidad]]*Tabla111[[#This Row],[Precio]]) - IF(ISNUMBER(FIND("x", LOWER(G95))), ( Tabla111[[#This Row],[Cantidad]]* Tabla111[[#This Row],[Precio]] * IF(ISNUMBER(FIND("aceite", LOWER(Tabla111[[#This Row],[Producto]]))), 0.05, 0.1)), 0), 0.5), "")</f>
        <v/>
      </c>
    </row>
    <row r="96" spans="2:8" x14ac:dyDescent="0.25">
      <c r="B96" s="13"/>
      <c r="C96" t="str">
        <f t="shared" si="2"/>
        <v/>
      </c>
      <c r="H96" s="4" t="str">
        <f>IF(Tabla111[[#This Row],[Cantidad]] &gt; 0,CEILING(( Tabla111[[#This Row],[Cantidad]]*Tabla111[[#This Row],[Precio]]) - IF(ISNUMBER(FIND("x", LOWER(G96))), ( Tabla111[[#This Row],[Cantidad]]* Tabla111[[#This Row],[Precio]] * IF(ISNUMBER(FIND("aceite", LOWER(Tabla111[[#This Row],[Producto]]))), 0.05, 0.1)), 0), 0.5), "")</f>
        <v/>
      </c>
    </row>
    <row r="97" spans="2:8" x14ac:dyDescent="0.25">
      <c r="B97" s="13"/>
      <c r="C97" t="str">
        <f t="shared" si="2"/>
        <v/>
      </c>
      <c r="H97" s="4" t="str">
        <f>IF(Tabla111[[#This Row],[Cantidad]] &gt; 0,CEILING(( Tabla111[[#This Row],[Cantidad]]*Tabla111[[#This Row],[Precio]]) - IF(ISNUMBER(FIND("x", LOWER(G97))), ( Tabla111[[#This Row],[Cantidad]]* Tabla111[[#This Row],[Precio]] * IF(ISNUMBER(FIND("aceite", LOWER(Tabla111[[#This Row],[Producto]]))), 0.05, 0.1)), 0), 0.5), "")</f>
        <v/>
      </c>
    </row>
    <row r="98" spans="2:8" x14ac:dyDescent="0.25">
      <c r="B98" s="13"/>
      <c r="C98" t="str">
        <f t="shared" si="2"/>
        <v/>
      </c>
      <c r="H98" s="4" t="str">
        <f>IF(Tabla111[[#This Row],[Cantidad]] &gt; 0,CEILING(( Tabla111[[#This Row],[Cantidad]]*Tabla111[[#This Row],[Precio]]) - IF(ISNUMBER(FIND("x", LOWER(G98))), ( Tabla111[[#This Row],[Cantidad]]* Tabla111[[#This Row],[Precio]] * IF(ISNUMBER(FIND("aceite", LOWER(Tabla111[[#This Row],[Producto]]))), 0.05, 0.1)), 0), 0.5), "")</f>
        <v/>
      </c>
    </row>
    <row r="99" spans="2:8" x14ac:dyDescent="0.25">
      <c r="B99" s="13"/>
      <c r="C99" t="str">
        <f t="shared" si="2"/>
        <v/>
      </c>
      <c r="H99" s="4" t="str">
        <f>IF(Tabla111[[#This Row],[Cantidad]] &gt; 0,CEILING(( Tabla111[[#This Row],[Cantidad]]*Tabla111[[#This Row],[Precio]]) - IF(ISNUMBER(FIND("x", LOWER(G99))), ( Tabla111[[#This Row],[Cantidad]]* Tabla111[[#This Row],[Precio]] * IF(ISNUMBER(FIND("aceite", LOWER(Tabla111[[#This Row],[Producto]]))), 0.05, 0.1)), 0), 0.5), "")</f>
        <v/>
      </c>
    </row>
    <row r="100" spans="2:8" x14ac:dyDescent="0.25">
      <c r="B100" s="13"/>
      <c r="C100" t="str">
        <f t="shared" si="2"/>
        <v/>
      </c>
      <c r="H100" s="4" t="str">
        <f>IF(Tabla111[[#This Row],[Cantidad]] &gt; 0,CEILING(( Tabla111[[#This Row],[Cantidad]]*Tabla111[[#This Row],[Precio]]) - IF(ISNUMBER(FIND("x", LOWER(G100))), ( Tabla111[[#This Row],[Cantidad]]* Tabla111[[#This Row],[Precio]] * IF(ISNUMBER(FIND("aceite", LOWER(Tabla111[[#This Row],[Producto]]))), 0.05, 0.1)), 0), 0.5), "")</f>
        <v/>
      </c>
    </row>
    <row r="101" spans="2:8" x14ac:dyDescent="0.25">
      <c r="B101" s="13"/>
      <c r="C101" t="str">
        <f t="shared" si="2"/>
        <v/>
      </c>
      <c r="H101" s="4" t="str">
        <f>IF(Tabla111[[#This Row],[Cantidad]] &gt; 0,CEILING(( Tabla111[[#This Row],[Cantidad]]*Tabla111[[#This Row],[Precio]]) - IF(ISNUMBER(FIND("x", LOWER(G101))), ( Tabla111[[#This Row],[Cantidad]]* Tabla111[[#This Row],[Precio]] * IF(ISNUMBER(FIND("aceite", LOWER(Tabla111[[#This Row],[Producto]]))), 0.05, 0.1)), 0), 0.5), "")</f>
        <v/>
      </c>
    </row>
    <row r="102" spans="2:8" x14ac:dyDescent="0.25">
      <c r="B102" s="13"/>
      <c r="C102" t="str">
        <f t="shared" si="2"/>
        <v/>
      </c>
      <c r="H102" s="4" t="str">
        <f>IF(Tabla111[[#This Row],[Cantidad]] &gt; 0,CEILING(( Tabla111[[#This Row],[Cantidad]]*Tabla111[[#This Row],[Precio]]) - IF(ISNUMBER(FIND("x", LOWER(G102))), ( Tabla111[[#This Row],[Cantidad]]* Tabla111[[#This Row],[Precio]] * IF(ISNUMBER(FIND("aceite", LOWER(Tabla111[[#This Row],[Producto]]))), 0.05, 0.1)), 0), 0.5), "")</f>
        <v/>
      </c>
    </row>
    <row r="103" spans="2:8" x14ac:dyDescent="0.25">
      <c r="B103" s="13"/>
      <c r="C103" t="str">
        <f t="shared" si="2"/>
        <v/>
      </c>
      <c r="H103" s="4" t="str">
        <f>IF(Tabla111[[#This Row],[Cantidad]] &gt; 0,CEILING(( Tabla111[[#This Row],[Cantidad]]*Tabla111[[#This Row],[Precio]]) - IF(ISNUMBER(FIND("x", LOWER(G103))), ( Tabla111[[#This Row],[Cantidad]]* Tabla111[[#This Row],[Precio]] * IF(ISNUMBER(FIND("aceite", LOWER(Tabla111[[#This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9" priority="2">
      <formula>E5&gt;0&amp;ISBLANK(D5)</formula>
    </cfRule>
  </conditionalFormatting>
  <conditionalFormatting sqref="B5:B103">
    <cfRule type="expression" dxfId="18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R103"/>
  <sheetViews>
    <sheetView zoomScale="85" zoomScaleNormal="85" workbookViewId="0">
      <selection activeCell="D26" sqref="D26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75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SUM(Tabla112[Importa])</f>
        <v>1569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21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46296.431331018517</v>
      </c>
      <c r="C5">
        <f t="shared" ref="C5:C68" si="0">IF(ISNUMBER(E5), IF(ISNUMBER(C4), C4+1, 1), "")</f>
        <v>1</v>
      </c>
      <c r="D5" t="s">
        <v>84</v>
      </c>
      <c r="E5">
        <v>1</v>
      </c>
      <c r="F5">
        <v>165</v>
      </c>
      <c r="H5" s="4">
        <f>IF(Tabla112[[#This Row],[Cantidad]] &gt; 0,CEILING(( Tabla112[[#This Row],[Cantidad]]*Tabla112[[#This Row],[Precio]]) - IF(ISNUMBER(FIND("x", LOWER(G5))), ( Tabla112[[#This Row],[Cantidad]]* Tabla112[[#This Row],[Precio]] * IF(ISNUMBER(FIND("aceite", LOWER(Tabla112[[#This Row],[Producto]]))), 0.05, 0.1)), 0), 0.5), "")</f>
        <v>165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46296.431493055556</v>
      </c>
      <c r="C6">
        <f t="shared" si="0"/>
        <v>2</v>
      </c>
      <c r="D6" t="s">
        <v>83</v>
      </c>
      <c r="E6">
        <v>1</v>
      </c>
      <c r="F6">
        <v>140</v>
      </c>
      <c r="H6" s="4">
        <f>IF(Tabla112[[#This Row],[Cantidad]] &gt; 0,CEILING(( Tabla112[[#This Row],[Cantidad]]*Tabla112[[#This Row],[Precio]]) - IF(ISNUMBER(FIND("x", LOWER(G6))), ( Tabla112[[#This Row],[Cantidad]]* Tabla112[[#This Row],[Precio]] * IF(ISNUMBER(FIND("aceite", LOWER(Tabla112[[#This Row],[Producto]]))), 0.05, 0.1)), 0), 0.5), "")</f>
        <v>140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46296.504837962966</v>
      </c>
      <c r="C7">
        <f t="shared" si="0"/>
        <v>3</v>
      </c>
      <c r="D7" t="s">
        <v>57</v>
      </c>
      <c r="E7">
        <v>2</v>
      </c>
      <c r="F7">
        <v>5</v>
      </c>
      <c r="H7" s="4">
        <f>IF(Tabla112[[#This Row],[Cantidad]] &gt; 0,CEILING(( Tabla112[[#This Row],[Cantidad]]*Tabla112[[#This Row],[Precio]]) - IF(ISNUMBER(FIND("x", LOWER(G7))), ( Tabla112[[#This Row],[Cantidad]]* Tabla112[[#This Row],[Precio]] * IF(ISNUMBER(FIND("aceite", LOWER(Tabla112[[#This Row],[Producto]]))), 0.05, 0.1)), 0), 0.5), "")</f>
        <v>10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46296.552546296298</v>
      </c>
      <c r="C8">
        <f t="shared" si="0"/>
        <v>4</v>
      </c>
      <c r="D8" t="s">
        <v>85</v>
      </c>
      <c r="E8">
        <v>1</v>
      </c>
      <c r="F8">
        <v>20</v>
      </c>
      <c r="H8" s="4">
        <f>IF(Tabla112[[#This Row],[Cantidad]] &gt; 0,CEILING(( Tabla112[[#This Row],[Cantidad]]*Tabla112[[#This Row],[Precio]]) - IF(ISNUMBER(FIND("x", LOWER(G8))), ( Tabla112[[#This Row],[Cantidad]]* Tabla112[[#This Row],[Precio]] * IF(ISNUMBER(FIND("aceite", LOWER(Tabla112[[#This Row],[Producto]]))), 0.05, 0.1)), 0), 0.5), "")</f>
        <v>20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46296.58829861111</v>
      </c>
      <c r="C9">
        <f t="shared" si="0"/>
        <v>5</v>
      </c>
      <c r="D9" t="s">
        <v>86</v>
      </c>
      <c r="E9">
        <v>2</v>
      </c>
      <c r="F9">
        <v>15</v>
      </c>
      <c r="H9" s="4">
        <f>IF(Tabla112[[#This Row],[Cantidad]] &gt; 0,CEILING(( Tabla112[[#This Row],[Cantidad]]*Tabla112[[#This Row],[Precio]]) - IF(ISNUMBER(FIND("x", LOWER(G9))), ( Tabla112[[#This Row],[Cantidad]]* Tabla112[[#This Row],[Precio]] * IF(ISNUMBER(FIND("aceite", LOWER(Tabla112[[#This Row],[Producto]]))), 0.05, 0.1)), 0), 0.5), "")</f>
        <v>30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46296.590173611112</v>
      </c>
      <c r="C10">
        <f t="shared" si="0"/>
        <v>6</v>
      </c>
      <c r="D10" t="s">
        <v>87</v>
      </c>
      <c r="E10">
        <v>2</v>
      </c>
      <c r="F10">
        <v>15</v>
      </c>
      <c r="H10" s="4">
        <f>IF(Tabla112[[#This Row],[Cantidad]] &gt; 0,CEILING(( Tabla112[[#This Row],[Cantidad]]*Tabla112[[#This Row],[Precio]]) - IF(ISNUMBER(FIND("x", LOWER(G10))), ( Tabla112[[#This Row],[Cantidad]]* Tabla112[[#This Row],[Precio]] * IF(ISNUMBER(FIND("aceite", LOWER(Tabla112[[#This Row],[Producto]]))), 0.05, 0.1)), 0), 0.5), "")</f>
        <v>30</v>
      </c>
      <c r="J10" s="30" t="s">
        <v>31</v>
      </c>
      <c r="K10" s="32">
        <f>IF(K4&lt;&gt;0,COUNTIF(G5:G103, "x")/K4, "")</f>
        <v>0.19047619047619047</v>
      </c>
      <c r="M10" s="18"/>
      <c r="N10" s="18"/>
      <c r="O10" s="18"/>
      <c r="P10" s="18"/>
      <c r="Q10" s="18"/>
      <c r="R10" s="18"/>
    </row>
    <row r="11" spans="2:18" x14ac:dyDescent="0.25">
      <c r="B11" s="13">
        <v>46296.590312499997</v>
      </c>
      <c r="C11">
        <f t="shared" si="0"/>
        <v>7</v>
      </c>
      <c r="D11" t="s">
        <v>88</v>
      </c>
      <c r="E11">
        <v>1</v>
      </c>
      <c r="F11">
        <v>14</v>
      </c>
      <c r="H11" s="4">
        <f>IF(Tabla112[[#This Row],[Cantidad]] &gt; 0,CEILING(( Tabla112[[#This Row],[Cantidad]]*Tabla112[[#This Row],[Precio]]) - IF(ISNUMBER(FIND("x", LOWER(G11))), ( Tabla112[[#This Row],[Cantidad]]* Tabla112[[#This Row],[Precio]] * IF(ISNUMBER(FIND("aceite", LOWER(Tabla112[[#This Row],[Producto]]))), 0.05, 0.1)), 0), 0.5), "")</f>
        <v>14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46296.65</v>
      </c>
      <c r="C12">
        <f t="shared" si="0"/>
        <v>8</v>
      </c>
      <c r="D12" t="s">
        <v>89</v>
      </c>
      <c r="E12">
        <v>1</v>
      </c>
      <c r="F12">
        <v>42</v>
      </c>
      <c r="G12" t="s">
        <v>38</v>
      </c>
      <c r="H12" s="4">
        <f>IF(Tabla112[[#This Row],[Cantidad]] &gt; 0,CEILING(( Tabla112[[#This Row],[Cantidad]]*Tabla112[[#This Row],[Precio]]) - IF(ISNUMBER(FIND("x", LOWER(G12))), ( Tabla112[[#This Row],[Cantidad]]* Tabla112[[#This Row],[Precio]] * IF(ISNUMBER(FIND("aceite", LOWER(Tabla112[[#This Row],[Producto]]))), 0.05, 0.1)), 0), 0.5), "")</f>
        <v>38</v>
      </c>
      <c r="J12" s="30" t="s">
        <v>32</v>
      </c>
      <c r="K12" s="32">
        <f>IF(K4&lt;&gt;0,(K4-COUNTIF(G5:G103,"x"))/K4,"")</f>
        <v>0.80952380952380953</v>
      </c>
      <c r="M12" s="18"/>
      <c r="N12" s="18"/>
      <c r="O12" s="18"/>
      <c r="P12" s="18"/>
      <c r="Q12" s="18"/>
      <c r="R12" s="18"/>
    </row>
    <row r="13" spans="2:18" x14ac:dyDescent="0.25">
      <c r="B13" s="13">
        <v>46296.691076388888</v>
      </c>
      <c r="C13">
        <f t="shared" si="0"/>
        <v>9</v>
      </c>
      <c r="D13" t="s">
        <v>90</v>
      </c>
      <c r="E13">
        <v>1</v>
      </c>
      <c r="F13">
        <v>280</v>
      </c>
      <c r="H13" s="4">
        <f>IF(Tabla112[[#This Row],[Cantidad]] &gt; 0,CEILING(( Tabla112[[#This Row],[Cantidad]]*Tabla112[[#This Row],[Precio]]) - IF(ISNUMBER(FIND("x", LOWER(G13))), ( Tabla112[[#This Row],[Cantidad]]* Tabla112[[#This Row],[Precio]] * IF(ISNUMBER(FIND("aceite", LOWER(Tabla112[[#This Row],[Producto]]))), 0.05, 0.1)), 0), 0.5), "")</f>
        <v>280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46296.691192129627</v>
      </c>
      <c r="C14">
        <f t="shared" si="0"/>
        <v>10</v>
      </c>
      <c r="D14" t="s">
        <v>57</v>
      </c>
      <c r="E14">
        <v>4</v>
      </c>
      <c r="F14">
        <v>5</v>
      </c>
      <c r="H14" s="4">
        <f>IF(Tabla112[[#This Row],[Cantidad]] &gt; 0,CEILING(( Tabla112[[#This Row],[Cantidad]]*Tabla112[[#This Row],[Precio]]) - IF(ISNUMBER(FIND("x", LOWER(G14))), ( Tabla112[[#This Row],[Cantidad]]* Tabla112[[#This Row],[Precio]] * IF(ISNUMBER(FIND("aceite", LOWER(Tabla112[[#This Row],[Producto]]))), 0.05, 0.1)), 0), 0.5), "")</f>
        <v>20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46296.691296296296</v>
      </c>
      <c r="C15">
        <f t="shared" si="0"/>
        <v>11</v>
      </c>
      <c r="D15" t="s">
        <v>57</v>
      </c>
      <c r="E15">
        <v>6</v>
      </c>
      <c r="F15">
        <v>5</v>
      </c>
      <c r="H15" s="4">
        <f>IF(Tabla112[[#This Row],[Cantidad]] &gt; 0,CEILING(( Tabla112[[#This Row],[Cantidad]]*Tabla112[[#This Row],[Precio]]) - IF(ISNUMBER(FIND("x", LOWER(G15))), ( Tabla112[[#This Row],[Cantidad]]* Tabla112[[#This Row],[Precio]] * IF(ISNUMBER(FIND("aceite", LOWER(Tabla112[[#This Row],[Producto]]))), 0.05, 0.1)), 0), 0.5), "")</f>
        <v>30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46296.724548611113</v>
      </c>
      <c r="C16">
        <f t="shared" si="0"/>
        <v>12</v>
      </c>
      <c r="D16" t="s">
        <v>57</v>
      </c>
      <c r="E16">
        <v>9</v>
      </c>
      <c r="F16">
        <v>5</v>
      </c>
      <c r="H16" s="4">
        <f>IF(Tabla112[[#This Row],[Cantidad]] &gt; 0,CEILING(( Tabla112[[#This Row],[Cantidad]]*Tabla112[[#This Row],[Precio]]) - IF(ISNUMBER(FIND("x", LOWER(G16))), ( Tabla112[[#This Row],[Cantidad]]* Tabla112[[#This Row],[Precio]] * IF(ISNUMBER(FIND("aceite", LOWER(Tabla112[[#This Row],[Producto]]))), 0.05, 0.1)), 0), 0.5), "")</f>
        <v>45</v>
      </c>
      <c r="J16" s="20" t="s">
        <v>26</v>
      </c>
      <c r="K16" s="22">
        <v>5967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46296.786874999998</v>
      </c>
      <c r="C17">
        <f t="shared" si="0"/>
        <v>13</v>
      </c>
      <c r="D17" t="s">
        <v>91</v>
      </c>
      <c r="E17">
        <v>1</v>
      </c>
      <c r="F17">
        <v>99</v>
      </c>
      <c r="H17" s="4">
        <f>IF(Tabla112[[#This Row],[Cantidad]] &gt; 0,CEILING(( Tabla112[[#This Row],[Cantidad]]*Tabla112[[#This Row],[Precio]]) - IF(ISNUMBER(FIND("x", LOWER(G17))), ( Tabla112[[#This Row],[Cantidad]]* Tabla112[[#This Row],[Precio]] * IF(ISNUMBER(FIND("aceite", LOWER(Tabla112[[#This Row],[Producto]]))), 0.05, 0.1)), 0), 0.5), "")</f>
        <v>99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46296.787002314813</v>
      </c>
      <c r="C18">
        <f t="shared" si="0"/>
        <v>14</v>
      </c>
      <c r="D18" t="s">
        <v>92</v>
      </c>
      <c r="E18">
        <v>2</v>
      </c>
      <c r="F18">
        <v>3</v>
      </c>
      <c r="H18" s="4">
        <f>IF(Tabla112[[#This Row],[Cantidad]] &gt; 0,CEILING(( Tabla112[[#This Row],[Cantidad]]*Tabla112[[#This Row],[Precio]]) - IF(ISNUMBER(FIND("x", LOWER(G18))), ( Tabla112[[#This Row],[Cantidad]]* Tabla112[[#This Row],[Precio]] * IF(ISNUMBER(FIND("aceite", LOWER(Tabla112[[#This Row],[Producto]]))), 0.05, 0.1)), 0), 0.5), "")</f>
        <v>6</v>
      </c>
      <c r="J18" s="23" t="s">
        <v>27</v>
      </c>
      <c r="K18" s="25">
        <f>SUM(O27:O52)</f>
        <v>440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46296.833472222221</v>
      </c>
      <c r="C19">
        <f t="shared" si="0"/>
        <v>15</v>
      </c>
      <c r="D19" t="s">
        <v>35</v>
      </c>
      <c r="E19">
        <v>1</v>
      </c>
      <c r="F19">
        <v>15</v>
      </c>
      <c r="H19" s="4">
        <f>IF(Tabla112[[#This Row],[Cantidad]] &gt; 0,CEILING(( Tabla112[[#This Row],[Cantidad]]*Tabla112[[#This Row],[Precio]]) - IF(ISNUMBER(FIND("x", LOWER(G19))), ( Tabla112[[#This Row],[Cantidad]]* Tabla112[[#This Row],[Precio]] * IF(ISNUMBER(FIND("aceite", LOWER(Tabla112[[#This Row],[Producto]]))), 0.05, 0.1)), 0), 0.5), "")</f>
        <v>15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46296.833715277775</v>
      </c>
      <c r="C20">
        <f t="shared" si="0"/>
        <v>16</v>
      </c>
      <c r="D20" t="s">
        <v>93</v>
      </c>
      <c r="E20">
        <v>1</v>
      </c>
      <c r="F20">
        <v>5</v>
      </c>
      <c r="H20" s="4">
        <f>IF(Tabla112[[#This Row],[Cantidad]] &gt; 0,CEILING(( Tabla112[[#This Row],[Cantidad]]*Tabla112[[#This Row],[Precio]]) - IF(ISNUMBER(FIND("x", LOWER(G20))), ( Tabla112[[#This Row],[Cantidad]]* Tabla112[[#This Row],[Precio]] * IF(ISNUMBER(FIND("aceite", LOWER(Tabla112[[#This Row],[Producto]]))), 0.05, 0.1)), 0), 0.5), "")</f>
        <v>5</v>
      </c>
      <c r="J20" s="26" t="s">
        <v>29</v>
      </c>
      <c r="K20" s="28">
        <f>K16-K18</f>
        <v>5527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46296.833807870367</v>
      </c>
      <c r="C21">
        <f t="shared" si="0"/>
        <v>17</v>
      </c>
      <c r="D21" t="s">
        <v>94</v>
      </c>
      <c r="E21">
        <v>1</v>
      </c>
      <c r="F21">
        <v>5</v>
      </c>
      <c r="H21" s="4">
        <f>IF(Tabla112[[#This Row],[Cantidad]] &gt; 0,CEILING(( Tabla112[[#This Row],[Cantidad]]*Tabla112[[#This Row],[Precio]]) - IF(ISNUMBER(FIND("x", LOWER(G21))), ( Tabla112[[#This Row],[Cantidad]]* Tabla112[[#This Row],[Precio]] * IF(ISNUMBER(FIND("aceite", LOWER(Tabla112[[#This Row],[Producto]]))), 0.05, 0.1)), 0), 0.5), "")</f>
        <v>5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>
        <v>46296.833865740744</v>
      </c>
      <c r="C22">
        <f t="shared" si="0"/>
        <v>18</v>
      </c>
      <c r="D22" t="s">
        <v>95</v>
      </c>
      <c r="E22">
        <v>1</v>
      </c>
      <c r="F22">
        <v>5</v>
      </c>
      <c r="H22" s="4">
        <f>IF(Tabla112[[#This Row],[Cantidad]] &gt; 0,CEILING(( Tabla112[[#This Row],[Cantidad]]*Tabla112[[#This Row],[Precio]]) - IF(ISNUMBER(FIND("x", LOWER(G22))), ( Tabla112[[#This Row],[Cantidad]]* Tabla112[[#This Row],[Precio]] * IF(ISNUMBER(FIND("aceite", LOWER(Tabla112[[#This Row],[Producto]]))), 0.05, 0.1)), 0), 0.5), "")</f>
        <v>5</v>
      </c>
      <c r="M22" s="18"/>
      <c r="N22" s="18"/>
      <c r="O22" s="18"/>
      <c r="P22" s="18"/>
      <c r="Q22" s="18"/>
      <c r="R22" s="18"/>
    </row>
    <row r="23" spans="2:18" x14ac:dyDescent="0.25">
      <c r="B23" s="13">
        <v>46296.874155092592</v>
      </c>
      <c r="C23">
        <f t="shared" si="0"/>
        <v>19</v>
      </c>
      <c r="D23" t="s">
        <v>96</v>
      </c>
      <c r="E23">
        <v>1</v>
      </c>
      <c r="F23">
        <v>460</v>
      </c>
      <c r="G23" t="s">
        <v>38</v>
      </c>
      <c r="H23" s="4">
        <f>IF(Tabla112[[#This Row],[Cantidad]] &gt; 0,CEILING(( Tabla112[[#This Row],[Cantidad]]*Tabla112[[#This Row],[Precio]]) - IF(ISNUMBER(FIND("x", LOWER(G23))), ( Tabla112[[#This Row],[Cantidad]]* Tabla112[[#This Row],[Precio]] * IF(ISNUMBER(FIND("aceite", LOWER(Tabla112[[#This Row],[Producto]]))), 0.05, 0.1)), 0), 0.5), "")</f>
        <v>414</v>
      </c>
    </row>
    <row r="24" spans="2:18" ht="15" customHeight="1" x14ac:dyDescent="0.25">
      <c r="B24" s="13">
        <v>46296.874594907407</v>
      </c>
      <c r="C24">
        <f t="shared" si="0"/>
        <v>20</v>
      </c>
      <c r="D24" t="s">
        <v>97</v>
      </c>
      <c r="E24">
        <v>1</v>
      </c>
      <c r="F24">
        <v>20</v>
      </c>
      <c r="G24" t="s">
        <v>38</v>
      </c>
      <c r="H24" s="4">
        <f>IF(Tabla112[[#This Row],[Cantidad]] &gt; 0,CEILING(( Tabla112[[#This Row],[Cantidad]]*Tabla112[[#This Row],[Precio]]) - IF(ISNUMBER(FIND("x", LOWER(G24))), ( Tabla112[[#This Row],[Cantidad]]* Tabla112[[#This Row],[Precio]] * IF(ISNUMBER(FIND("aceite", LOWER(Tabla112[[#This Row],[Producto]]))), 0.05, 0.1)), 0), 0.5), "")</f>
        <v>18</v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>
        <v>46296.8746875</v>
      </c>
      <c r="C25">
        <f t="shared" si="0"/>
        <v>21</v>
      </c>
      <c r="D25" t="s">
        <v>98</v>
      </c>
      <c r="E25">
        <v>1</v>
      </c>
      <c r="F25">
        <v>200</v>
      </c>
      <c r="G25" t="s">
        <v>38</v>
      </c>
      <c r="H25" s="4">
        <f>IF(Tabla112[[#This Row],[Cantidad]] &gt; 0,CEILING(( Tabla112[[#This Row],[Cantidad]]*Tabla112[[#This Row],[Precio]]) - IF(ISNUMBER(FIND("x", LOWER(G25))), ( Tabla112[[#This Row],[Cantidad]]* Tabla112[[#This Row],[Precio]] * IF(ISNUMBER(FIND("aceite", LOWER(Tabla112[[#This Row],[Producto]]))), 0.05, 0.1)), 0), 0.5), "")</f>
        <v>180</v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IF(Tabla112[[#This Row],[Cantidad]] &gt; 0,CEILING(( Tabla112[[#This Row],[Cantidad]]*Tabla112[[#This Row],[Precio]]) - IF(ISNUMBER(FIND("x", LOWER(G26))), ( Tabla112[[#This Row],[Cantidad]]* Tabla112[[#This Row],[Precio]] * IF(ISNUMBER(FIND("aceite", LOWER(Tabla112[[#This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IF(Tabla112[[#This Row],[Cantidad]] &gt; 0,CEILING(( Tabla112[[#This Row],[Cantidad]]*Tabla112[[#This Row],[Precio]]) - IF(ISNUMBER(FIND("x", LOWER(G27))), ( Tabla112[[#This Row],[Cantidad]]* Tabla112[[#This Row],[Precio]] * IF(ISNUMBER(FIND("aceite", LOWER(Tabla112[[#This Row],[Producto]]))), 0.05, 0.1)), 0), 0.5), "")</f>
        <v/>
      </c>
      <c r="M27" s="44" t="s">
        <v>77</v>
      </c>
      <c r="N27" s="45"/>
      <c r="O27" s="33">
        <v>440</v>
      </c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IF(Tabla112[[#This Row],[Cantidad]] &gt; 0,CEILING(( Tabla112[[#This Row],[Cantidad]]*Tabla112[[#This Row],[Precio]]) - IF(ISNUMBER(FIND("x", LOWER(G28))), ( Tabla112[[#This Row],[Cantidad]]* Tabla112[[#This Row],[Precio]] * IF(ISNUMBER(FIND("aceite", LOWER(Tabla112[[#This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IF(Tabla112[[#This Row],[Cantidad]] &gt; 0,CEILING(( Tabla112[[#This Row],[Cantidad]]*Tabla112[[#This Row],[Precio]]) - IF(ISNUMBER(FIND("x", LOWER(G29))), ( Tabla112[[#This Row],[Cantidad]]* Tabla112[[#This Row],[Precio]] * IF(ISNUMBER(FIND("aceite", LOWER(Tabla112[[#This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IF(Tabla112[[#This Row],[Cantidad]] &gt; 0,CEILING(( Tabla112[[#This Row],[Cantidad]]*Tabla112[[#This Row],[Precio]]) - IF(ISNUMBER(FIND("x", LOWER(G30))), ( Tabla112[[#This Row],[Cantidad]]* Tabla112[[#This Row],[Precio]] * IF(ISNUMBER(FIND("aceite", LOWER(Tabla112[[#This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IF(Tabla112[[#This Row],[Cantidad]] &gt; 0,CEILING(( Tabla112[[#This Row],[Cantidad]]*Tabla112[[#This Row],[Precio]]) - IF(ISNUMBER(FIND("x", LOWER(G31))), ( Tabla112[[#This Row],[Cantidad]]* Tabla112[[#This Row],[Precio]] * IF(ISNUMBER(FIND("aceite", LOWER(Tabla112[[#This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IF(Tabla112[[#This Row],[Cantidad]] &gt; 0,CEILING(( Tabla112[[#This Row],[Cantidad]]*Tabla112[[#This Row],[Precio]]) - IF(ISNUMBER(FIND("x", LOWER(G32))), ( Tabla112[[#This Row],[Cantidad]]* Tabla112[[#This Row],[Precio]] * IF(ISNUMBER(FIND("aceite", LOWER(Tabla112[[#This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IF(Tabla112[[#This Row],[Cantidad]] &gt; 0,CEILING(( Tabla112[[#This Row],[Cantidad]]*Tabla112[[#This Row],[Precio]]) - IF(ISNUMBER(FIND("x", LOWER(G33))), ( Tabla112[[#This Row],[Cantidad]]* Tabla112[[#This Row],[Precio]] * IF(ISNUMBER(FIND("aceite", LOWER(Tabla112[[#This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IF(Tabla112[[#This Row],[Cantidad]] &gt; 0,CEILING(( Tabla112[[#This Row],[Cantidad]]*Tabla112[[#This Row],[Precio]]) - IF(ISNUMBER(FIND("x", LOWER(G34))), ( Tabla112[[#This Row],[Cantidad]]* Tabla112[[#This Row],[Precio]] * IF(ISNUMBER(FIND("aceite", LOWER(Tabla112[[#This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IF(Tabla112[[#This Row],[Cantidad]] &gt; 0,CEILING(( Tabla112[[#This Row],[Cantidad]]*Tabla112[[#This Row],[Precio]]) - IF(ISNUMBER(FIND("x", LOWER(G35))), ( Tabla112[[#This Row],[Cantidad]]* Tabla112[[#This Row],[Precio]] * IF(ISNUMBER(FIND("aceite", LOWER(Tabla112[[#This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IF(Tabla112[[#This Row],[Cantidad]] &gt; 0,CEILING(( Tabla112[[#This Row],[Cantidad]]*Tabla112[[#This Row],[Precio]]) - IF(ISNUMBER(FIND("x", LOWER(G36))), ( Tabla112[[#This Row],[Cantidad]]* Tabla112[[#This Row],[Precio]] * IF(ISNUMBER(FIND("aceite", LOWER(Tabla112[[#This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IF(Tabla112[[#This Row],[Cantidad]] &gt; 0,CEILING(( Tabla112[[#This Row],[Cantidad]]*Tabla112[[#This Row],[Precio]]) - IF(ISNUMBER(FIND("x", LOWER(G37))), ( Tabla112[[#This Row],[Cantidad]]* Tabla112[[#This Row],[Precio]] * IF(ISNUMBER(FIND("aceite", LOWER(Tabla112[[#This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IF(Tabla112[[#This Row],[Cantidad]] &gt; 0,CEILING(( Tabla112[[#This Row],[Cantidad]]*Tabla112[[#This Row],[Precio]]) - IF(ISNUMBER(FIND("x", LOWER(G38))), ( Tabla112[[#This Row],[Cantidad]]* Tabla112[[#This Row],[Precio]] * IF(ISNUMBER(FIND("aceite", LOWER(Tabla112[[#This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IF(Tabla112[[#This Row],[Cantidad]] &gt; 0,CEILING(( Tabla112[[#This Row],[Cantidad]]*Tabla112[[#This Row],[Precio]]) - IF(ISNUMBER(FIND("x", LOWER(G39))), ( Tabla112[[#This Row],[Cantidad]]* Tabla112[[#This Row],[Precio]] * IF(ISNUMBER(FIND("aceite", LOWER(Tabla112[[#This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IF(Tabla112[[#This Row],[Cantidad]] &gt; 0,CEILING(( Tabla112[[#This Row],[Cantidad]]*Tabla112[[#This Row],[Precio]]) - IF(ISNUMBER(FIND("x", LOWER(G40))), ( Tabla112[[#This Row],[Cantidad]]* Tabla112[[#This Row],[Precio]] * IF(ISNUMBER(FIND("aceite", LOWER(Tabla112[[#This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IF(Tabla112[[#This Row],[Cantidad]] &gt; 0,CEILING(( Tabla112[[#This Row],[Cantidad]]*Tabla112[[#This Row],[Precio]]) - IF(ISNUMBER(FIND("x", LOWER(G41))), ( Tabla112[[#This Row],[Cantidad]]* Tabla112[[#This Row],[Precio]] * IF(ISNUMBER(FIND("aceite", LOWER(Tabla112[[#This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IF(Tabla112[[#This Row],[Cantidad]] &gt; 0,CEILING(( Tabla112[[#This Row],[Cantidad]]*Tabla112[[#This Row],[Precio]]) - IF(ISNUMBER(FIND("x", LOWER(G42))), ( Tabla112[[#This Row],[Cantidad]]* Tabla112[[#This Row],[Precio]] * IF(ISNUMBER(FIND("aceite", LOWER(Tabla112[[#This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IF(Tabla112[[#This Row],[Cantidad]] &gt; 0,CEILING(( Tabla112[[#This Row],[Cantidad]]*Tabla112[[#This Row],[Precio]]) - IF(ISNUMBER(FIND("x", LOWER(G43))), ( Tabla112[[#This Row],[Cantidad]]* Tabla112[[#This Row],[Precio]] * IF(ISNUMBER(FIND("aceite", LOWER(Tabla112[[#This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IF(Tabla112[[#This Row],[Cantidad]] &gt; 0,CEILING(( Tabla112[[#This Row],[Cantidad]]*Tabla112[[#This Row],[Precio]]) - IF(ISNUMBER(FIND("x", LOWER(G44))), ( Tabla112[[#This Row],[Cantidad]]* Tabla112[[#This Row],[Precio]] * IF(ISNUMBER(FIND("aceite", LOWER(Tabla112[[#This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IF(Tabla112[[#This Row],[Cantidad]] &gt; 0,CEILING(( Tabla112[[#This Row],[Cantidad]]*Tabla112[[#This Row],[Precio]]) - IF(ISNUMBER(FIND("x", LOWER(G45))), ( Tabla112[[#This Row],[Cantidad]]* Tabla112[[#This Row],[Precio]] * IF(ISNUMBER(FIND("aceite", LOWER(Tabla112[[#This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IF(Tabla112[[#This Row],[Cantidad]] &gt; 0,CEILING(( Tabla112[[#This Row],[Cantidad]]*Tabla112[[#This Row],[Precio]]) - IF(ISNUMBER(FIND("x", LOWER(G46))), ( Tabla112[[#This Row],[Cantidad]]* Tabla112[[#This Row],[Precio]] * IF(ISNUMBER(FIND("aceite", LOWER(Tabla112[[#This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IF(Tabla112[[#This Row],[Cantidad]] &gt; 0,CEILING(( Tabla112[[#This Row],[Cantidad]]*Tabla112[[#This Row],[Precio]]) - IF(ISNUMBER(FIND("x", LOWER(G47))), ( Tabla112[[#This Row],[Cantidad]]* Tabla112[[#This Row],[Precio]] * IF(ISNUMBER(FIND("aceite", LOWER(Tabla112[[#This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IF(Tabla112[[#This Row],[Cantidad]] &gt; 0,CEILING(( Tabla112[[#This Row],[Cantidad]]*Tabla112[[#This Row],[Precio]]) - IF(ISNUMBER(FIND("x", LOWER(G48))), ( Tabla112[[#This Row],[Cantidad]]* Tabla112[[#This Row],[Precio]] * IF(ISNUMBER(FIND("aceite", LOWER(Tabla112[[#This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IF(Tabla112[[#This Row],[Cantidad]] &gt; 0,CEILING(( Tabla112[[#This Row],[Cantidad]]*Tabla112[[#This Row],[Precio]]) - IF(ISNUMBER(FIND("x", LOWER(G49))), ( Tabla112[[#This Row],[Cantidad]]* Tabla112[[#This Row],[Precio]] * IF(ISNUMBER(FIND("aceite", LOWER(Tabla112[[#This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IF(Tabla112[[#This Row],[Cantidad]] &gt; 0,CEILING(( Tabla112[[#This Row],[Cantidad]]*Tabla112[[#This Row],[Precio]]) - IF(ISNUMBER(FIND("x", LOWER(G50))), ( Tabla112[[#This Row],[Cantidad]]* Tabla112[[#This Row],[Precio]] * IF(ISNUMBER(FIND("aceite", LOWER(Tabla112[[#This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IF(Tabla112[[#This Row],[Cantidad]] &gt; 0,CEILING(( Tabla112[[#This Row],[Cantidad]]*Tabla112[[#This Row],[Precio]]) - IF(ISNUMBER(FIND("x", LOWER(G51))), ( Tabla112[[#This Row],[Cantidad]]* Tabla112[[#This Row],[Precio]] * IF(ISNUMBER(FIND("aceite", LOWER(Tabla112[[#This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IF(Tabla112[[#This Row],[Cantidad]] &gt; 0,CEILING(( Tabla112[[#This Row],[Cantidad]]*Tabla112[[#This Row],[Precio]]) - IF(ISNUMBER(FIND("x", LOWER(G52))), ( Tabla112[[#This Row],[Cantidad]]* Tabla112[[#This Row],[Precio]] * IF(ISNUMBER(FIND("aceite", LOWER(Tabla112[[#This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IF(Tabla112[[#This Row],[Cantidad]] &gt; 0,CEILING(( Tabla112[[#This Row],[Cantidad]]*Tabla112[[#This Row],[Precio]]) - IF(ISNUMBER(FIND("x", LOWER(G53))), ( Tabla112[[#This Row],[Cantidad]]* Tabla112[[#This Row],[Precio]] * IF(ISNUMBER(FIND("aceite", LOWER(Tabla112[[#This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IF(Tabla112[[#This Row],[Cantidad]] &gt; 0,CEILING(( Tabla112[[#This Row],[Cantidad]]*Tabla112[[#This Row],[Precio]]) - IF(ISNUMBER(FIND("x", LOWER(G54))), ( Tabla112[[#This Row],[Cantidad]]* Tabla112[[#This Row],[Precio]] * IF(ISNUMBER(FIND("aceite", LOWER(Tabla112[[#This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IF(Tabla112[[#This Row],[Cantidad]] &gt; 0,CEILING(( Tabla112[[#This Row],[Cantidad]]*Tabla112[[#This Row],[Precio]]) - IF(ISNUMBER(FIND("x", LOWER(G55))), ( Tabla112[[#This Row],[Cantidad]]* Tabla112[[#This Row],[Precio]] * IF(ISNUMBER(FIND("aceite", LOWER(Tabla112[[#This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IF(Tabla112[[#This Row],[Cantidad]] &gt; 0,CEILING(( Tabla112[[#This Row],[Cantidad]]*Tabla112[[#This Row],[Precio]]) - IF(ISNUMBER(FIND("x", LOWER(G56))), ( Tabla112[[#This Row],[Cantidad]]* Tabla112[[#This Row],[Precio]] * IF(ISNUMBER(FIND("aceite", LOWER(Tabla112[[#This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IF(Tabla112[[#This Row],[Cantidad]] &gt; 0,CEILING(( Tabla112[[#This Row],[Cantidad]]*Tabla112[[#This Row],[Precio]]) - IF(ISNUMBER(FIND("x", LOWER(G57))), ( Tabla112[[#This Row],[Cantidad]]* Tabla112[[#This Row],[Precio]] * IF(ISNUMBER(FIND("aceite", LOWER(Tabla112[[#This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IF(Tabla112[[#This Row],[Cantidad]] &gt; 0,CEILING(( Tabla112[[#This Row],[Cantidad]]*Tabla112[[#This Row],[Precio]]) - IF(ISNUMBER(FIND("x", LOWER(G58))), ( Tabla112[[#This Row],[Cantidad]]* Tabla112[[#This Row],[Precio]] * IF(ISNUMBER(FIND("aceite", LOWER(Tabla112[[#This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IF(Tabla112[[#This Row],[Cantidad]] &gt; 0,CEILING(( Tabla112[[#This Row],[Cantidad]]*Tabla112[[#This Row],[Precio]]) - IF(ISNUMBER(FIND("x", LOWER(G59))), ( Tabla112[[#This Row],[Cantidad]]* Tabla112[[#This Row],[Precio]] * IF(ISNUMBER(FIND("aceite", LOWER(Tabla112[[#This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IF(Tabla112[[#This Row],[Cantidad]] &gt; 0,CEILING(( Tabla112[[#This Row],[Cantidad]]*Tabla112[[#This Row],[Precio]]) - IF(ISNUMBER(FIND("x", LOWER(G60))), ( Tabla112[[#This Row],[Cantidad]]* Tabla112[[#This Row],[Precio]] * IF(ISNUMBER(FIND("aceite", LOWER(Tabla112[[#This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IF(Tabla112[[#This Row],[Cantidad]] &gt; 0,CEILING(( Tabla112[[#This Row],[Cantidad]]*Tabla112[[#This Row],[Precio]]) - IF(ISNUMBER(FIND("x", LOWER(G61))), ( Tabla112[[#This Row],[Cantidad]]* Tabla112[[#This Row],[Precio]] * IF(ISNUMBER(FIND("aceite", LOWER(Tabla112[[#This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IF(Tabla112[[#This Row],[Cantidad]] &gt; 0,CEILING(( Tabla112[[#This Row],[Cantidad]]*Tabla112[[#This Row],[Precio]]) - IF(ISNUMBER(FIND("x", LOWER(G62))), ( Tabla112[[#This Row],[Cantidad]]* Tabla112[[#This Row],[Precio]] * IF(ISNUMBER(FIND("aceite", LOWER(Tabla112[[#This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IF(Tabla112[[#This Row],[Cantidad]] &gt; 0,CEILING(( Tabla112[[#This Row],[Cantidad]]*Tabla112[[#This Row],[Precio]]) - IF(ISNUMBER(FIND("x", LOWER(G63))), ( Tabla112[[#This Row],[Cantidad]]* Tabla112[[#This Row],[Precio]] * IF(ISNUMBER(FIND("aceite", LOWER(Tabla112[[#This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IF(Tabla112[[#This Row],[Cantidad]] &gt; 0,CEILING(( Tabla112[[#This Row],[Cantidad]]*Tabla112[[#This Row],[Precio]]) - IF(ISNUMBER(FIND("x", LOWER(G64))), ( Tabla112[[#This Row],[Cantidad]]* Tabla112[[#This Row],[Precio]] * IF(ISNUMBER(FIND("aceite", LOWER(Tabla112[[#This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IF(Tabla112[[#This Row],[Cantidad]] &gt; 0,CEILING(( Tabla112[[#This Row],[Cantidad]]*Tabla112[[#This Row],[Precio]]) - IF(ISNUMBER(FIND("x", LOWER(G65))), ( Tabla112[[#This Row],[Cantidad]]* Tabla112[[#This Row],[Precio]] * IF(ISNUMBER(FIND("aceite", LOWER(Tabla112[[#This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IF(Tabla112[[#This Row],[Cantidad]] &gt; 0,CEILING(( Tabla112[[#This Row],[Cantidad]]*Tabla112[[#This Row],[Precio]]) - IF(ISNUMBER(FIND("x", LOWER(G66))), ( Tabla112[[#This Row],[Cantidad]]* Tabla112[[#This Row],[Precio]] * IF(ISNUMBER(FIND("aceite", LOWER(Tabla112[[#This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IF(Tabla112[[#This Row],[Cantidad]] &gt; 0,CEILING(( Tabla112[[#This Row],[Cantidad]]*Tabla112[[#This Row],[Precio]]) - IF(ISNUMBER(FIND("x", LOWER(G67))), ( Tabla112[[#This Row],[Cantidad]]* Tabla112[[#This Row],[Precio]] * IF(ISNUMBER(FIND("aceite", LOWER(Tabla112[[#This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IF(Tabla112[[#This Row],[Cantidad]] &gt; 0,CEILING(( Tabla112[[#This Row],[Cantidad]]*Tabla112[[#This Row],[Precio]]) - IF(ISNUMBER(FIND("x", LOWER(G68))), ( Tabla112[[#This Row],[Cantidad]]* Tabla112[[#This Row],[Precio]] * IF(ISNUMBER(FIND("aceite", LOWER(Tabla112[[#This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IF(Tabla112[[#This Row],[Cantidad]] &gt; 0,CEILING(( Tabla112[[#This Row],[Cantidad]]*Tabla112[[#This Row],[Precio]]) - IF(ISNUMBER(FIND("x", LOWER(G69))), ( Tabla112[[#This Row],[Cantidad]]* Tabla112[[#This Row],[Precio]] * IF(ISNUMBER(FIND("aceite", LOWER(Tabla112[[#This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IF(Tabla112[[#This Row],[Cantidad]] &gt; 0,CEILING(( Tabla112[[#This Row],[Cantidad]]*Tabla112[[#This Row],[Precio]]) - IF(ISNUMBER(FIND("x", LOWER(G70))), ( Tabla112[[#This Row],[Cantidad]]* Tabla112[[#This Row],[Precio]] * IF(ISNUMBER(FIND("aceite", LOWER(Tabla112[[#This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IF(Tabla112[[#This Row],[Cantidad]] &gt; 0,CEILING(( Tabla112[[#This Row],[Cantidad]]*Tabla112[[#This Row],[Precio]]) - IF(ISNUMBER(FIND("x", LOWER(G71))), ( Tabla112[[#This Row],[Cantidad]]* Tabla112[[#This Row],[Precio]] * IF(ISNUMBER(FIND("aceite", LOWER(Tabla112[[#This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IF(Tabla112[[#This Row],[Cantidad]] &gt; 0,CEILING(( Tabla112[[#This Row],[Cantidad]]*Tabla112[[#This Row],[Precio]]) - IF(ISNUMBER(FIND("x", LOWER(G72))), ( Tabla112[[#This Row],[Cantidad]]* Tabla112[[#This Row],[Precio]] * IF(ISNUMBER(FIND("aceite", LOWER(Tabla112[[#This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IF(Tabla112[[#This Row],[Cantidad]] &gt; 0,CEILING(( Tabla112[[#This Row],[Cantidad]]*Tabla112[[#This Row],[Precio]]) - IF(ISNUMBER(FIND("x", LOWER(G73))), ( Tabla112[[#This Row],[Cantidad]]* Tabla112[[#This Row],[Precio]] * IF(ISNUMBER(FIND("aceite", LOWER(Tabla112[[#This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IF(Tabla112[[#This Row],[Cantidad]] &gt; 0,CEILING(( Tabla112[[#This Row],[Cantidad]]*Tabla112[[#This Row],[Precio]]) - IF(ISNUMBER(FIND("x", LOWER(G74))), ( Tabla112[[#This Row],[Cantidad]]* Tabla112[[#This Row],[Precio]] * IF(ISNUMBER(FIND("aceite", LOWER(Tabla112[[#This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IF(Tabla112[[#This Row],[Cantidad]] &gt; 0,CEILING(( Tabla112[[#This Row],[Cantidad]]*Tabla112[[#This Row],[Precio]]) - IF(ISNUMBER(FIND("x", LOWER(G75))), ( Tabla112[[#This Row],[Cantidad]]* Tabla112[[#This Row],[Precio]] * IF(ISNUMBER(FIND("aceite", LOWER(Tabla112[[#This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IF(Tabla112[[#This Row],[Cantidad]] &gt; 0,CEILING(( Tabla112[[#This Row],[Cantidad]]*Tabla112[[#This Row],[Precio]]) - IF(ISNUMBER(FIND("x", LOWER(G76))), ( Tabla112[[#This Row],[Cantidad]]* Tabla112[[#This Row],[Precio]] * IF(ISNUMBER(FIND("aceite", LOWER(Tabla112[[#This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IF(Tabla112[[#This Row],[Cantidad]] &gt; 0,CEILING(( Tabla112[[#This Row],[Cantidad]]*Tabla112[[#This Row],[Precio]]) - IF(ISNUMBER(FIND("x", LOWER(G77))), ( Tabla112[[#This Row],[Cantidad]]* Tabla112[[#This Row],[Precio]] * IF(ISNUMBER(FIND("aceite", LOWER(Tabla112[[#This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IF(Tabla112[[#This Row],[Cantidad]] &gt; 0,CEILING(( Tabla112[[#This Row],[Cantidad]]*Tabla112[[#This Row],[Precio]]) - IF(ISNUMBER(FIND("x", LOWER(G78))), ( Tabla112[[#This Row],[Cantidad]]* Tabla112[[#This Row],[Precio]] * IF(ISNUMBER(FIND("aceite", LOWER(Tabla112[[#This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IF(Tabla112[[#This Row],[Cantidad]] &gt; 0,CEILING(( Tabla112[[#This Row],[Cantidad]]*Tabla112[[#This Row],[Precio]]) - IF(ISNUMBER(FIND("x", LOWER(G79))), ( Tabla112[[#This Row],[Cantidad]]* Tabla112[[#This Row],[Precio]] * IF(ISNUMBER(FIND("aceite", LOWER(Tabla112[[#This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IF(Tabla112[[#This Row],[Cantidad]] &gt; 0,CEILING(( Tabla112[[#This Row],[Cantidad]]*Tabla112[[#This Row],[Precio]]) - IF(ISNUMBER(FIND("x", LOWER(G80))), ( Tabla112[[#This Row],[Cantidad]]* Tabla112[[#This Row],[Precio]] * IF(ISNUMBER(FIND("aceite", LOWER(Tabla112[[#This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IF(Tabla112[[#This Row],[Cantidad]] &gt; 0,CEILING(( Tabla112[[#This Row],[Cantidad]]*Tabla112[[#This Row],[Precio]]) - IF(ISNUMBER(FIND("x", LOWER(G81))), ( Tabla112[[#This Row],[Cantidad]]* Tabla112[[#This Row],[Precio]] * IF(ISNUMBER(FIND("aceite", LOWER(Tabla112[[#This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IF(Tabla112[[#This Row],[Cantidad]] &gt; 0,CEILING(( Tabla112[[#This Row],[Cantidad]]*Tabla112[[#This Row],[Precio]]) - IF(ISNUMBER(FIND("x", LOWER(G82))), ( Tabla112[[#This Row],[Cantidad]]* Tabla112[[#This Row],[Precio]] * IF(ISNUMBER(FIND("aceite", LOWER(Tabla112[[#This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IF(Tabla112[[#This Row],[Cantidad]] &gt; 0,CEILING(( Tabla112[[#This Row],[Cantidad]]*Tabla112[[#This Row],[Precio]]) - IF(ISNUMBER(FIND("x", LOWER(G83))), ( Tabla112[[#This Row],[Cantidad]]* Tabla112[[#This Row],[Precio]] * IF(ISNUMBER(FIND("aceite", LOWER(Tabla112[[#This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IF(Tabla112[[#This Row],[Cantidad]] &gt; 0,CEILING(( Tabla112[[#This Row],[Cantidad]]*Tabla112[[#This Row],[Precio]]) - IF(ISNUMBER(FIND("x", LOWER(G84))), ( Tabla112[[#This Row],[Cantidad]]* Tabla112[[#This Row],[Precio]] * IF(ISNUMBER(FIND("aceite", LOWER(Tabla112[[#This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IF(Tabla112[[#This Row],[Cantidad]] &gt; 0,CEILING(( Tabla112[[#This Row],[Cantidad]]*Tabla112[[#This Row],[Precio]]) - IF(ISNUMBER(FIND("x", LOWER(G85))), ( Tabla112[[#This Row],[Cantidad]]* Tabla112[[#This Row],[Precio]] * IF(ISNUMBER(FIND("aceite", LOWER(Tabla112[[#This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IF(Tabla112[[#This Row],[Cantidad]] &gt; 0,CEILING(( Tabla112[[#This Row],[Cantidad]]*Tabla112[[#This Row],[Precio]]) - IF(ISNUMBER(FIND("x", LOWER(G86))), ( Tabla112[[#This Row],[Cantidad]]* Tabla112[[#This Row],[Precio]] * IF(ISNUMBER(FIND("aceite", LOWER(Tabla112[[#This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IF(Tabla112[[#This Row],[Cantidad]] &gt; 0,CEILING(( Tabla112[[#This Row],[Cantidad]]*Tabla112[[#This Row],[Precio]]) - IF(ISNUMBER(FIND("x", LOWER(G87))), ( Tabla112[[#This Row],[Cantidad]]* Tabla112[[#This Row],[Precio]] * IF(ISNUMBER(FIND("aceite", LOWER(Tabla112[[#This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IF(Tabla112[[#This Row],[Cantidad]] &gt; 0,CEILING(( Tabla112[[#This Row],[Cantidad]]*Tabla112[[#This Row],[Precio]]) - IF(ISNUMBER(FIND("x", LOWER(G88))), ( Tabla112[[#This Row],[Cantidad]]* Tabla112[[#This Row],[Precio]] * IF(ISNUMBER(FIND("aceite", LOWER(Tabla112[[#This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IF(Tabla112[[#This Row],[Cantidad]] &gt; 0,CEILING(( Tabla112[[#This Row],[Cantidad]]*Tabla112[[#This Row],[Precio]]) - IF(ISNUMBER(FIND("x", LOWER(G89))), ( Tabla112[[#This Row],[Cantidad]]* Tabla112[[#This Row],[Precio]] * IF(ISNUMBER(FIND("aceite", LOWER(Tabla112[[#This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IF(Tabla112[[#This Row],[Cantidad]] &gt; 0,CEILING(( Tabla112[[#This Row],[Cantidad]]*Tabla112[[#This Row],[Precio]]) - IF(ISNUMBER(FIND("x", LOWER(G90))), ( Tabla112[[#This Row],[Cantidad]]* Tabla112[[#This Row],[Precio]] * IF(ISNUMBER(FIND("aceite", LOWER(Tabla112[[#This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IF(Tabla112[[#This Row],[Cantidad]] &gt; 0,CEILING(( Tabla112[[#This Row],[Cantidad]]*Tabla112[[#This Row],[Precio]]) - IF(ISNUMBER(FIND("x", LOWER(G91))), ( Tabla112[[#This Row],[Cantidad]]* Tabla112[[#This Row],[Precio]] * IF(ISNUMBER(FIND("aceite", LOWER(Tabla112[[#This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IF(Tabla112[[#This Row],[Cantidad]] &gt; 0,CEILING(( Tabla112[[#This Row],[Cantidad]]*Tabla112[[#This Row],[Precio]]) - IF(ISNUMBER(FIND("x", LOWER(G92))), ( Tabla112[[#This Row],[Cantidad]]* Tabla112[[#This Row],[Precio]] * IF(ISNUMBER(FIND("aceite", LOWER(Tabla112[[#This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IF(Tabla112[[#This Row],[Cantidad]] &gt; 0,CEILING(( Tabla112[[#This Row],[Cantidad]]*Tabla112[[#This Row],[Precio]]) - IF(ISNUMBER(FIND("x", LOWER(G93))), ( Tabla112[[#This Row],[Cantidad]]* Tabla112[[#This Row],[Precio]] * IF(ISNUMBER(FIND("aceite", LOWER(Tabla112[[#This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IF(Tabla112[[#This Row],[Cantidad]] &gt; 0,CEILING(( Tabla112[[#This Row],[Cantidad]]*Tabla112[[#This Row],[Precio]]) - IF(ISNUMBER(FIND("x", LOWER(G94))), ( Tabla112[[#This Row],[Cantidad]]* Tabla112[[#This Row],[Precio]] * IF(ISNUMBER(FIND("aceite", LOWER(Tabla112[[#This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IF(Tabla112[[#This Row],[Cantidad]] &gt; 0,CEILING(( Tabla112[[#This Row],[Cantidad]]*Tabla112[[#This Row],[Precio]]) - IF(ISNUMBER(FIND("x", LOWER(G95))), ( Tabla112[[#This Row],[Cantidad]]* Tabla112[[#This Row],[Precio]] * IF(ISNUMBER(FIND("aceite", LOWER(Tabla112[[#This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IF(Tabla112[[#This Row],[Cantidad]] &gt; 0,CEILING(( Tabla112[[#This Row],[Cantidad]]*Tabla112[[#This Row],[Precio]]) - IF(ISNUMBER(FIND("x", LOWER(G96))), ( Tabla112[[#This Row],[Cantidad]]* Tabla112[[#This Row],[Precio]] * IF(ISNUMBER(FIND("aceite", LOWER(Tabla112[[#This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IF(Tabla112[[#This Row],[Cantidad]] &gt; 0,CEILING(( Tabla112[[#This Row],[Cantidad]]*Tabla112[[#This Row],[Precio]]) - IF(ISNUMBER(FIND("x", LOWER(G97))), ( Tabla112[[#This Row],[Cantidad]]* Tabla112[[#This Row],[Precio]] * IF(ISNUMBER(FIND("aceite", LOWER(Tabla112[[#This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IF(Tabla112[[#This Row],[Cantidad]] &gt; 0,CEILING(( Tabla112[[#This Row],[Cantidad]]*Tabla112[[#This Row],[Precio]]) - IF(ISNUMBER(FIND("x", LOWER(G98))), ( Tabla112[[#This Row],[Cantidad]]* Tabla112[[#This Row],[Precio]] * IF(ISNUMBER(FIND("aceite", LOWER(Tabla112[[#This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IF(Tabla112[[#This Row],[Cantidad]] &gt; 0,CEILING(( Tabla112[[#This Row],[Cantidad]]*Tabla112[[#This Row],[Precio]]) - IF(ISNUMBER(FIND("x", LOWER(G99))), ( Tabla112[[#This Row],[Cantidad]]* Tabla112[[#This Row],[Precio]] * IF(ISNUMBER(FIND("aceite", LOWER(Tabla112[[#This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IF(Tabla112[[#This Row],[Cantidad]] &gt; 0,CEILING(( Tabla112[[#This Row],[Cantidad]]*Tabla112[[#This Row],[Precio]]) - IF(ISNUMBER(FIND("x", LOWER(G100))), ( Tabla112[[#This Row],[Cantidad]]* Tabla112[[#This Row],[Precio]] * IF(ISNUMBER(FIND("aceite", LOWER(Tabla112[[#This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IF(Tabla112[[#This Row],[Cantidad]] &gt; 0,CEILING(( Tabla112[[#This Row],[Cantidad]]*Tabla112[[#This Row],[Precio]]) - IF(ISNUMBER(FIND("x", LOWER(G101))), ( Tabla112[[#This Row],[Cantidad]]* Tabla112[[#This Row],[Precio]] * IF(ISNUMBER(FIND("aceite", LOWER(Tabla112[[#This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IF(Tabla112[[#This Row],[Cantidad]] &gt; 0,CEILING(( Tabla112[[#This Row],[Cantidad]]*Tabla112[[#This Row],[Precio]]) - IF(ISNUMBER(FIND("x", LOWER(G102))), ( Tabla112[[#This Row],[Cantidad]]* Tabla112[[#This Row],[Precio]] * IF(ISNUMBER(FIND("aceite", LOWER(Tabla112[[#This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IF(Tabla112[[#This Row],[Cantidad]] &gt; 0,CEILING(( Tabla112[[#This Row],[Cantidad]]*Tabla112[[#This Row],[Precio]]) - IF(ISNUMBER(FIND("x", LOWER(G103))), ( Tabla112[[#This Row],[Cantidad]]* Tabla112[[#This Row],[Precio]] * IF(ISNUMBER(FIND("aceite", LOWER(Tabla112[[#This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5" priority="2">
      <formula>E5&gt;0&amp;ISBLANK(D5)</formula>
    </cfRule>
  </conditionalFormatting>
  <conditionalFormatting sqref="B5:B103">
    <cfRule type="expression" dxfId="14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R103"/>
  <sheetViews>
    <sheetView zoomScale="85" zoomScaleNormal="85" workbookViewId="0">
      <selection activeCell="D22" sqref="D22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76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SUM(Tabla113[Importa])</f>
        <v>1442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17</v>
      </c>
      <c r="M4" s="18" t="s">
        <v>114</v>
      </c>
      <c r="N4" s="18"/>
      <c r="O4" s="18"/>
      <c r="P4" s="18"/>
      <c r="Q4" s="18"/>
      <c r="R4" s="18"/>
    </row>
    <row r="5" spans="2:18" ht="15" customHeight="1" x14ac:dyDescent="0.25">
      <c r="B5" s="13">
        <v>46297.400543981479</v>
      </c>
      <c r="C5">
        <f t="shared" ref="C5:C68" si="0">IF(ISNUMBER(E5), IF(ISNUMBER(C4), C4+1, 1), "")</f>
        <v>1</v>
      </c>
      <c r="D5" t="s">
        <v>57</v>
      </c>
      <c r="E5">
        <v>2</v>
      </c>
      <c r="F5">
        <v>5</v>
      </c>
      <c r="H5" s="4">
        <f>IF(Tabla113[[#This Row],[Cantidad]] &gt; 0,CEILING(( Tabla113[[#This Row],[Cantidad]]*Tabla113[[#This Row],[Precio]]) - IF(ISNUMBER(FIND("x", LOWER(G5))), ( Tabla113[[#This Row],[Cantidad]]* Tabla113[[#This Row],[Precio]] * IF(ISNUMBER(FIND("aceite", LOWER(Tabla113[[#This Row],[Producto]]))), 0.05, 0.1)), 0), 0.5), "")</f>
        <v>10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46297.508437500001</v>
      </c>
      <c r="C6">
        <f t="shared" si="0"/>
        <v>2</v>
      </c>
      <c r="D6" t="s">
        <v>85</v>
      </c>
      <c r="E6">
        <v>1</v>
      </c>
      <c r="F6">
        <v>20</v>
      </c>
      <c r="H6" s="4">
        <f>IF(Tabla113[[#This Row],[Cantidad]] &gt; 0,CEILING(( Tabla113[[#This Row],[Cantidad]]*Tabla113[[#This Row],[Precio]]) - IF(ISNUMBER(FIND("x", LOWER(G6))), ( Tabla113[[#This Row],[Cantidad]]* Tabla113[[#This Row],[Precio]] * IF(ISNUMBER(FIND("aceite", LOWER(Tabla113[[#This Row],[Producto]]))), 0.05, 0.1)), 0), 0.5), "")</f>
        <v>20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46297.537511574075</v>
      </c>
      <c r="C7">
        <f t="shared" si="0"/>
        <v>3</v>
      </c>
      <c r="D7" t="s">
        <v>49</v>
      </c>
      <c r="E7">
        <v>1</v>
      </c>
      <c r="F7">
        <v>130</v>
      </c>
      <c r="G7" t="s">
        <v>38</v>
      </c>
      <c r="H7" s="4">
        <f>IF(Tabla113[[#This Row],[Cantidad]] &gt; 0,CEILING(( Tabla113[[#This Row],[Cantidad]]*Tabla113[[#This Row],[Precio]]) - IF(ISNUMBER(FIND("x", LOWER(G7))), ( Tabla113[[#This Row],[Cantidad]]* Tabla113[[#This Row],[Precio]] * IF(ISNUMBER(FIND("aceite", LOWER(Tabla113[[#This Row],[Producto]]))), 0.05, 0.1)), 0), 0.5), "")</f>
        <v>123.5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46297.537604166668</v>
      </c>
      <c r="C8">
        <f t="shared" si="0"/>
        <v>4</v>
      </c>
      <c r="D8" t="s">
        <v>101</v>
      </c>
      <c r="E8">
        <v>1</v>
      </c>
      <c r="F8">
        <v>50</v>
      </c>
      <c r="G8" t="s">
        <v>38</v>
      </c>
      <c r="H8" s="4">
        <f>IF(Tabla113[[#This Row],[Cantidad]] &gt; 0,CEILING(( Tabla113[[#This Row],[Cantidad]]*Tabla113[[#This Row],[Precio]]) - IF(ISNUMBER(FIND("x", LOWER(G8))), ( Tabla113[[#This Row],[Cantidad]]* Tabla113[[#This Row],[Precio]] * IF(ISNUMBER(FIND("aceite", LOWER(Tabla113[[#This Row],[Producto]]))), 0.05, 0.1)), 0), 0.5), "")</f>
        <v>45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46297.537731481483</v>
      </c>
      <c r="C9">
        <f t="shared" si="0"/>
        <v>5</v>
      </c>
      <c r="D9" t="s">
        <v>102</v>
      </c>
      <c r="E9">
        <v>1</v>
      </c>
      <c r="F9">
        <v>15</v>
      </c>
      <c r="G9" t="s">
        <v>38</v>
      </c>
      <c r="H9" s="4">
        <f>IF(Tabla113[[#This Row],[Cantidad]] &gt; 0,CEILING(( Tabla113[[#This Row],[Cantidad]]*Tabla113[[#This Row],[Precio]]) - IF(ISNUMBER(FIND("x", LOWER(G9))), ( Tabla113[[#This Row],[Cantidad]]* Tabla113[[#This Row],[Precio]] * IF(ISNUMBER(FIND("aceite", LOWER(Tabla113[[#This Row],[Producto]]))), 0.05, 0.1)), 0), 0.5), "")</f>
        <v>13.5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46297.537905092591</v>
      </c>
      <c r="C10">
        <f t="shared" si="0"/>
        <v>6</v>
      </c>
      <c r="D10" t="s">
        <v>103</v>
      </c>
      <c r="E10">
        <v>1</v>
      </c>
      <c r="F10">
        <v>78</v>
      </c>
      <c r="G10" t="s">
        <v>38</v>
      </c>
      <c r="H10" s="4">
        <f>IF(Tabla113[[#This Row],[Cantidad]] &gt; 0,CEILING(( Tabla113[[#This Row],[Cantidad]]*Tabla113[[#This Row],[Precio]]) - IF(ISNUMBER(FIND("x", LOWER(G10))), ( Tabla113[[#This Row],[Cantidad]]* Tabla113[[#This Row],[Precio]] * IF(ISNUMBER(FIND("aceite", LOWER(Tabla113[[#This Row],[Producto]]))), 0.05, 0.1)), 0), 0.5), "")</f>
        <v>70.5</v>
      </c>
      <c r="J10" s="30" t="s">
        <v>31</v>
      </c>
      <c r="K10" s="32">
        <f>IF(K4&lt;&gt;0,COUNTIF(G5:G103, "x")/K4, "")</f>
        <v>0.6470588235294118</v>
      </c>
      <c r="M10" s="18"/>
      <c r="N10" s="18"/>
      <c r="O10" s="18"/>
      <c r="P10" s="18"/>
      <c r="Q10" s="18"/>
      <c r="R10" s="18"/>
    </row>
    <row r="11" spans="2:18" x14ac:dyDescent="0.25">
      <c r="B11" s="13">
        <v>46297.53833333333</v>
      </c>
      <c r="C11">
        <f t="shared" si="0"/>
        <v>7</v>
      </c>
      <c r="D11" t="s">
        <v>104</v>
      </c>
      <c r="E11">
        <v>1</v>
      </c>
      <c r="F11">
        <v>150</v>
      </c>
      <c r="G11" t="s">
        <v>38</v>
      </c>
      <c r="H11" s="4">
        <f>IF(Tabla113[[#This Row],[Cantidad]] &gt; 0,CEILING(( Tabla113[[#This Row],[Cantidad]]*Tabla113[[#This Row],[Precio]]) - IF(ISNUMBER(FIND("x", LOWER(G11))), ( Tabla113[[#This Row],[Cantidad]]* Tabla113[[#This Row],[Precio]] * IF(ISNUMBER(FIND("aceite", LOWER(Tabla113[[#This Row],[Producto]]))), 0.05, 0.1)), 0), 0.5), "")</f>
        <v>135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46297.539270833331</v>
      </c>
      <c r="C12">
        <f t="shared" si="0"/>
        <v>8</v>
      </c>
      <c r="D12" t="s">
        <v>105</v>
      </c>
      <c r="E12">
        <v>2</v>
      </c>
      <c r="F12">
        <v>10</v>
      </c>
      <c r="G12" t="s">
        <v>38</v>
      </c>
      <c r="H12" s="4">
        <f>IF(Tabla113[[#This Row],[Cantidad]] &gt; 0,CEILING(( Tabla113[[#This Row],[Cantidad]]*Tabla113[[#This Row],[Precio]]) - IF(ISNUMBER(FIND("x", LOWER(G12))), ( Tabla113[[#This Row],[Cantidad]]* Tabla113[[#This Row],[Precio]] * IF(ISNUMBER(FIND("aceite", LOWER(Tabla113[[#This Row],[Producto]]))), 0.05, 0.1)), 0), 0.5), "")</f>
        <v>18</v>
      </c>
      <c r="J12" s="30" t="s">
        <v>32</v>
      </c>
      <c r="K12" s="32">
        <f>IF(K4&lt;&gt;0,(K4-COUNTIF(G5:G103,"x"))/K4,"")</f>
        <v>0.35294117647058826</v>
      </c>
      <c r="M12" s="18"/>
      <c r="N12" s="18"/>
      <c r="O12" s="18"/>
      <c r="P12" s="18"/>
      <c r="Q12" s="18"/>
      <c r="R12" s="18"/>
    </row>
    <row r="13" spans="2:18" x14ac:dyDescent="0.25">
      <c r="B13" s="13">
        <v>46297.5466087963</v>
      </c>
      <c r="C13">
        <f t="shared" si="0"/>
        <v>9</v>
      </c>
      <c r="D13" t="s">
        <v>106</v>
      </c>
      <c r="E13">
        <v>1</v>
      </c>
      <c r="F13">
        <v>310</v>
      </c>
      <c r="H13" s="4">
        <f>IF(Tabla113[[#This Row],[Cantidad]] &gt; 0,CEILING(( Tabla113[[#This Row],[Cantidad]]*Tabla113[[#This Row],[Precio]]) - IF(ISNUMBER(FIND("x", LOWER(G13))), ( Tabla113[[#This Row],[Cantidad]]* Tabla113[[#This Row],[Precio]] * IF(ISNUMBER(FIND("aceite", LOWER(Tabla113[[#This Row],[Producto]]))), 0.05, 0.1)), 0), 0.5), "")</f>
        <v>310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46297.651412037034</v>
      </c>
      <c r="C14">
        <f t="shared" si="0"/>
        <v>10</v>
      </c>
      <c r="D14" t="s">
        <v>107</v>
      </c>
      <c r="E14">
        <v>1</v>
      </c>
      <c r="F14">
        <v>144</v>
      </c>
      <c r="H14" s="4">
        <f>IF(Tabla113[[#This Row],[Cantidad]] &gt; 0,CEILING(( Tabla113[[#This Row],[Cantidad]]*Tabla113[[#This Row],[Precio]]) - IF(ISNUMBER(FIND("x", LOWER(G14))), ( Tabla113[[#This Row],[Cantidad]]* Tabla113[[#This Row],[Precio]] * IF(ISNUMBER(FIND("aceite", LOWER(Tabla113[[#This Row],[Producto]]))), 0.05, 0.1)), 0), 0.5), "")</f>
        <v>144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46297.723368055558</v>
      </c>
      <c r="C15">
        <f t="shared" si="0"/>
        <v>11</v>
      </c>
      <c r="D15" t="s">
        <v>108</v>
      </c>
      <c r="E15">
        <v>2</v>
      </c>
      <c r="F15">
        <v>22</v>
      </c>
      <c r="G15" t="s">
        <v>38</v>
      </c>
      <c r="H15" s="4">
        <f>IF(Tabla113[[#This Row],[Cantidad]] &gt; 0,CEILING(( Tabla113[[#This Row],[Cantidad]]*Tabla113[[#This Row],[Precio]]) - IF(ISNUMBER(FIND("x", LOWER(G15))), ( Tabla113[[#This Row],[Cantidad]]* Tabla113[[#This Row],[Precio]] * IF(ISNUMBER(FIND("aceite", LOWER(Tabla113[[#This Row],[Producto]]))), 0.05, 0.1)), 0), 0.5), "")</f>
        <v>40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46297.723495370374</v>
      </c>
      <c r="C16">
        <f t="shared" si="0"/>
        <v>12</v>
      </c>
      <c r="D16" t="s">
        <v>109</v>
      </c>
      <c r="E16">
        <v>1</v>
      </c>
      <c r="F16">
        <v>130</v>
      </c>
      <c r="G16" t="s">
        <v>38</v>
      </c>
      <c r="H16" s="4">
        <f>IF(Tabla113[[#This Row],[Cantidad]] &gt; 0,CEILING(( Tabla113[[#This Row],[Cantidad]]*Tabla113[[#This Row],[Precio]]) - IF(ISNUMBER(FIND("x", LOWER(G16))), ( Tabla113[[#This Row],[Cantidad]]* Tabla113[[#This Row],[Precio]] * IF(ISNUMBER(FIND("aceite", LOWER(Tabla113[[#This Row],[Producto]]))), 0.05, 0.1)), 0), 0.5), "")</f>
        <v>117</v>
      </c>
      <c r="J16" s="20" t="s">
        <v>26</v>
      </c>
      <c r="K16" s="22">
        <v>23303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46297.723599537036</v>
      </c>
      <c r="C17">
        <f t="shared" si="0"/>
        <v>13</v>
      </c>
      <c r="D17" t="s">
        <v>109</v>
      </c>
      <c r="E17">
        <v>1</v>
      </c>
      <c r="F17">
        <v>130</v>
      </c>
      <c r="G17" t="s">
        <v>38</v>
      </c>
      <c r="H17" s="4">
        <f>IF(Tabla113[[#This Row],[Cantidad]] &gt; 0,CEILING(( Tabla113[[#This Row],[Cantidad]]*Tabla113[[#This Row],[Precio]]) - IF(ISNUMBER(FIND("x", LOWER(G17))), ( Tabla113[[#This Row],[Cantidad]]* Tabla113[[#This Row],[Precio]] * IF(ISNUMBER(FIND("aceite", LOWER(Tabla113[[#This Row],[Producto]]))), 0.05, 0.1)), 0), 0.5), "")</f>
        <v>117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46297.724340277775</v>
      </c>
      <c r="C18">
        <f t="shared" si="0"/>
        <v>14</v>
      </c>
      <c r="D18" t="s">
        <v>110</v>
      </c>
      <c r="E18">
        <v>1</v>
      </c>
      <c r="F18">
        <v>183</v>
      </c>
      <c r="G18" t="s">
        <v>38</v>
      </c>
      <c r="H18" s="4">
        <f>IF(Tabla113[[#This Row],[Cantidad]] &gt; 0,CEILING(( Tabla113[[#This Row],[Cantidad]]*Tabla113[[#This Row],[Precio]]) - IF(ISNUMBER(FIND("x", LOWER(G18))), ( Tabla113[[#This Row],[Cantidad]]* Tabla113[[#This Row],[Precio]] * IF(ISNUMBER(FIND("aceite", LOWER(Tabla113[[#This Row],[Producto]]))), 0.05, 0.1)), 0), 0.5), "")</f>
        <v>165</v>
      </c>
      <c r="J18" s="23" t="s">
        <v>27</v>
      </c>
      <c r="K18" s="25">
        <f>SUM(O27:O52)</f>
        <v>13683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46297.762523148151</v>
      </c>
      <c r="C19">
        <f t="shared" si="0"/>
        <v>15</v>
      </c>
      <c r="D19" t="s">
        <v>111</v>
      </c>
      <c r="E19">
        <v>1</v>
      </c>
      <c r="F19">
        <v>15</v>
      </c>
      <c r="G19" t="s">
        <v>38</v>
      </c>
      <c r="H19" s="4">
        <f>IF(Tabla113[[#This Row],[Cantidad]] &gt; 0,CEILING(( Tabla113[[#This Row],[Cantidad]]*Tabla113[[#This Row],[Precio]]) - IF(ISNUMBER(FIND("x", LOWER(G19))), ( Tabla113[[#This Row],[Cantidad]]* Tabla113[[#This Row],[Precio]] * IF(ISNUMBER(FIND("aceite", LOWER(Tabla113[[#This Row],[Producto]]))), 0.05, 0.1)), 0), 0.5), "")</f>
        <v>13.5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46297.800810185188</v>
      </c>
      <c r="C20">
        <f t="shared" si="0"/>
        <v>16</v>
      </c>
      <c r="D20" t="s">
        <v>113</v>
      </c>
      <c r="E20">
        <v>1</v>
      </c>
      <c r="F20">
        <v>60</v>
      </c>
      <c r="H20" s="4">
        <f>IF(Tabla113[[#This Row],[Cantidad]] &gt; 0,CEILING(( Tabla113[[#This Row],[Cantidad]]*Tabla113[[#This Row],[Precio]]) - IF(ISNUMBER(FIND("x", LOWER(G20))), ( Tabla113[[#This Row],[Cantidad]]* Tabla113[[#This Row],[Precio]] * IF(ISNUMBER(FIND("aceite", LOWER(Tabla113[[#This Row],[Producto]]))), 0.05, 0.1)), 0), 0.5), "")</f>
        <v>60</v>
      </c>
      <c r="J20" s="26" t="s">
        <v>29</v>
      </c>
      <c r="K20" s="28">
        <f>K16-K18</f>
        <v>9620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46297.800891203704</v>
      </c>
      <c r="C21">
        <f t="shared" si="0"/>
        <v>17</v>
      </c>
      <c r="D21" t="s">
        <v>57</v>
      </c>
      <c r="E21">
        <v>8</v>
      </c>
      <c r="F21">
        <v>5</v>
      </c>
      <c r="H21" s="4">
        <f>IF(Tabla113[[#This Row],[Cantidad]] &gt; 0,CEILING(( Tabla113[[#This Row],[Cantidad]]*Tabla113[[#This Row],[Precio]]) - IF(ISNUMBER(FIND("x", LOWER(G21))), ( Tabla113[[#This Row],[Cantidad]]* Tabla113[[#This Row],[Precio]] * IF(ISNUMBER(FIND("aceite", LOWER(Tabla113[[#This Row],[Producto]]))), 0.05, 0.1)), 0), 0.5), "")</f>
        <v>40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IF(Tabla113[[#This Row],[Cantidad]] &gt; 0,CEILING(( Tabla113[[#This Row],[Cantidad]]*Tabla113[[#This Row],[Precio]]) - IF(ISNUMBER(FIND("x", LOWER(G22))), ( Tabla113[[#This Row],[Cantidad]]* Tabla113[[#This Row],[Precio]] * IF(ISNUMBER(FIND("aceite", LOWER(Tabla113[[#This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IF(Tabla113[[#This Row],[Cantidad]] &gt; 0,CEILING(( Tabla113[[#This Row],[Cantidad]]*Tabla113[[#This Row],[Precio]]) - IF(ISNUMBER(FIND("x", LOWER(G23))), ( Tabla113[[#This Row],[Cantidad]]* Tabla113[[#This Row],[Precio]] * IF(ISNUMBER(FIND("aceite", LOWER(Tabla113[[#This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IF(Tabla113[[#This Row],[Cantidad]] &gt; 0,CEILING(( Tabla113[[#This Row],[Cantidad]]*Tabla113[[#This Row],[Precio]]) - IF(ISNUMBER(FIND("x", LOWER(G24))), ( Tabla113[[#This Row],[Cantidad]]* Tabla113[[#This Row],[Precio]] * IF(ISNUMBER(FIND("aceite", LOWER(Tabla113[[#This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IF(Tabla113[[#This Row],[Cantidad]] &gt; 0,CEILING(( Tabla113[[#This Row],[Cantidad]]*Tabla113[[#This Row],[Precio]]) - IF(ISNUMBER(FIND("x", LOWER(G25))), ( Tabla113[[#This Row],[Cantidad]]* Tabla113[[#This Row],[Precio]] * IF(ISNUMBER(FIND("aceite", LOWER(Tabla113[[#This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IF(Tabla113[[#This Row],[Cantidad]] &gt; 0,CEILING(( Tabla113[[#This Row],[Cantidad]]*Tabla113[[#This Row],[Precio]]) - IF(ISNUMBER(FIND("x", LOWER(G26))), ( Tabla113[[#This Row],[Cantidad]]* Tabla113[[#This Row],[Precio]] * IF(ISNUMBER(FIND("aceite", LOWER(Tabla113[[#This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IF(Tabla113[[#This Row],[Cantidad]] &gt; 0,CEILING(( Tabla113[[#This Row],[Cantidad]]*Tabla113[[#This Row],[Precio]]) - IF(ISNUMBER(FIND("x", LOWER(G27))), ( Tabla113[[#This Row],[Cantidad]]* Tabla113[[#This Row],[Precio]] * IF(ISNUMBER(FIND("aceite", LOWER(Tabla113[[#This Row],[Producto]]))), 0.05, 0.1)), 0), 0.5), "")</f>
        <v/>
      </c>
      <c r="M27" s="44" t="s">
        <v>36</v>
      </c>
      <c r="N27" s="45"/>
      <c r="O27" s="33">
        <v>3270</v>
      </c>
      <c r="P27" s="35" t="s">
        <v>78</v>
      </c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IF(Tabla113[[#This Row],[Cantidad]] &gt; 0,CEILING(( Tabla113[[#This Row],[Cantidad]]*Tabla113[[#This Row],[Precio]]) - IF(ISNUMBER(FIND("x", LOWER(G28))), ( Tabla113[[#This Row],[Cantidad]]* Tabla113[[#This Row],[Precio]] * IF(ISNUMBER(FIND("aceite", LOWER(Tabla113[[#This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IF(Tabla113[[#This Row],[Cantidad]] &gt; 0,CEILING(( Tabla113[[#This Row],[Cantidad]]*Tabla113[[#This Row],[Precio]]) - IF(ISNUMBER(FIND("x", LOWER(G29))), ( Tabla113[[#This Row],[Cantidad]]* Tabla113[[#This Row],[Precio]] * IF(ISNUMBER(FIND("aceite", LOWER(Tabla113[[#This Row],[Producto]]))), 0.05, 0.1)), 0), 0.5), "")</f>
        <v/>
      </c>
      <c r="M29" s="44" t="s">
        <v>79</v>
      </c>
      <c r="N29" s="45"/>
      <c r="O29" s="33">
        <v>9</v>
      </c>
      <c r="P29" s="35" t="s">
        <v>78</v>
      </c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IF(Tabla113[[#This Row],[Cantidad]] &gt; 0,CEILING(( Tabla113[[#This Row],[Cantidad]]*Tabla113[[#This Row],[Precio]]) - IF(ISNUMBER(FIND("x", LOWER(G30))), ( Tabla113[[#This Row],[Cantidad]]* Tabla113[[#This Row],[Precio]] * IF(ISNUMBER(FIND("aceite", LOWER(Tabla113[[#This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IF(Tabla113[[#This Row],[Cantidad]] &gt; 0,CEILING(( Tabla113[[#This Row],[Cantidad]]*Tabla113[[#This Row],[Precio]]) - IF(ISNUMBER(FIND("x", LOWER(G31))), ( Tabla113[[#This Row],[Cantidad]]* Tabla113[[#This Row],[Precio]] * IF(ISNUMBER(FIND("aceite", LOWER(Tabla113[[#This Row],[Producto]]))), 0.05, 0.1)), 0), 0.5), "")</f>
        <v/>
      </c>
      <c r="M31" s="44" t="s">
        <v>49</v>
      </c>
      <c r="N31" s="45"/>
      <c r="O31" s="33">
        <v>1247</v>
      </c>
      <c r="P31" s="35" t="s">
        <v>78</v>
      </c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IF(Tabla113[[#This Row],[Cantidad]] &gt; 0,CEILING(( Tabla113[[#This Row],[Cantidad]]*Tabla113[[#This Row],[Precio]]) - IF(ISNUMBER(FIND("x", LOWER(G32))), ( Tabla113[[#This Row],[Cantidad]]* Tabla113[[#This Row],[Precio]] * IF(ISNUMBER(FIND("aceite", LOWER(Tabla113[[#This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IF(Tabla113[[#This Row],[Cantidad]] &gt; 0,CEILING(( Tabla113[[#This Row],[Cantidad]]*Tabla113[[#This Row],[Precio]]) - IF(ISNUMBER(FIND("x", LOWER(G33))), ( Tabla113[[#This Row],[Cantidad]]* Tabla113[[#This Row],[Precio]] * IF(ISNUMBER(FIND("aceite", LOWER(Tabla113[[#This Row],[Producto]]))), 0.05, 0.1)), 0), 0.5), "")</f>
        <v/>
      </c>
      <c r="M33" s="44" t="s">
        <v>54</v>
      </c>
      <c r="N33" s="45"/>
      <c r="O33" s="33">
        <v>5161</v>
      </c>
      <c r="P33" s="35" t="s">
        <v>78</v>
      </c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IF(Tabla113[[#This Row],[Cantidad]] &gt; 0,CEILING(( Tabla113[[#This Row],[Cantidad]]*Tabla113[[#This Row],[Precio]]) - IF(ISNUMBER(FIND("x", LOWER(G34))), ( Tabla113[[#This Row],[Cantidad]]* Tabla113[[#This Row],[Precio]] * IF(ISNUMBER(FIND("aceite", LOWER(Tabla113[[#This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IF(Tabla113[[#This Row],[Cantidad]] &gt; 0,CEILING(( Tabla113[[#This Row],[Cantidad]]*Tabla113[[#This Row],[Precio]]) - IF(ISNUMBER(FIND("x", LOWER(G35))), ( Tabla113[[#This Row],[Cantidad]]* Tabla113[[#This Row],[Precio]] * IF(ISNUMBER(FIND("aceite", LOWER(Tabla113[[#This Row],[Producto]]))), 0.05, 0.1)), 0), 0.5), "")</f>
        <v/>
      </c>
      <c r="M35" s="44" t="s">
        <v>69</v>
      </c>
      <c r="N35" s="45"/>
      <c r="O35" s="33">
        <v>2356</v>
      </c>
      <c r="P35" s="35" t="s">
        <v>80</v>
      </c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IF(Tabla113[[#This Row],[Cantidad]] &gt; 0,CEILING(( Tabla113[[#This Row],[Cantidad]]*Tabla113[[#This Row],[Precio]]) - IF(ISNUMBER(FIND("x", LOWER(G36))), ( Tabla113[[#This Row],[Cantidad]]* Tabla113[[#This Row],[Precio]] * IF(ISNUMBER(FIND("aceite", LOWER(Tabla113[[#This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IF(Tabla113[[#This Row],[Cantidad]] &gt; 0,CEILING(( Tabla113[[#This Row],[Cantidad]]*Tabla113[[#This Row],[Precio]]) - IF(ISNUMBER(FIND("x", LOWER(G37))), ( Tabla113[[#This Row],[Cantidad]]* Tabla113[[#This Row],[Precio]] * IF(ISNUMBER(FIND("aceite", LOWER(Tabla113[[#This Row],[Producto]]))), 0.05, 0.1)), 0), 0.5), "")</f>
        <v/>
      </c>
      <c r="M37" s="44" t="s">
        <v>81</v>
      </c>
      <c r="N37" s="45"/>
      <c r="O37" s="33">
        <v>440</v>
      </c>
      <c r="P37" s="35" t="s">
        <v>82</v>
      </c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IF(Tabla113[[#This Row],[Cantidad]] &gt; 0,CEILING(( Tabla113[[#This Row],[Cantidad]]*Tabla113[[#This Row],[Precio]]) - IF(ISNUMBER(FIND("x", LOWER(G38))), ( Tabla113[[#This Row],[Cantidad]]* Tabla113[[#This Row],[Precio]] * IF(ISNUMBER(FIND("aceite", LOWER(Tabla113[[#This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IF(Tabla113[[#This Row],[Cantidad]] &gt; 0,CEILING(( Tabla113[[#This Row],[Cantidad]]*Tabla113[[#This Row],[Precio]]) - IF(ISNUMBER(FIND("x", LOWER(G39))), ( Tabla113[[#This Row],[Cantidad]]* Tabla113[[#This Row],[Precio]] * IF(ISNUMBER(FIND("aceite", LOWER(Tabla113[[#This Row],[Producto]]))), 0.05, 0.1)), 0), 0.5), "")</f>
        <v/>
      </c>
      <c r="M39" s="44" t="s">
        <v>99</v>
      </c>
      <c r="N39" s="45"/>
      <c r="O39" s="33">
        <v>1200</v>
      </c>
      <c r="P39" s="35" t="s">
        <v>100</v>
      </c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IF(Tabla113[[#This Row],[Cantidad]] &gt; 0,CEILING(( Tabla113[[#This Row],[Cantidad]]*Tabla113[[#This Row],[Precio]]) - IF(ISNUMBER(FIND("x", LOWER(G40))), ( Tabla113[[#This Row],[Cantidad]]* Tabla113[[#This Row],[Precio]] * IF(ISNUMBER(FIND("aceite", LOWER(Tabla113[[#This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IF(Tabla113[[#This Row],[Cantidad]] &gt; 0,CEILING(( Tabla113[[#This Row],[Cantidad]]*Tabla113[[#This Row],[Precio]]) - IF(ISNUMBER(FIND("x", LOWER(G41))), ( Tabla113[[#This Row],[Cantidad]]* Tabla113[[#This Row],[Precio]] * IF(ISNUMBER(FIND("aceite", LOWER(Tabla113[[#This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IF(Tabla113[[#This Row],[Cantidad]] &gt; 0,CEILING(( Tabla113[[#This Row],[Cantidad]]*Tabla113[[#This Row],[Precio]]) - IF(ISNUMBER(FIND("x", LOWER(G42))), ( Tabla113[[#This Row],[Cantidad]]* Tabla113[[#This Row],[Precio]] * IF(ISNUMBER(FIND("aceite", LOWER(Tabla113[[#This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IF(Tabla113[[#This Row],[Cantidad]] &gt; 0,CEILING(( Tabla113[[#This Row],[Cantidad]]*Tabla113[[#This Row],[Precio]]) - IF(ISNUMBER(FIND("x", LOWER(G43))), ( Tabla113[[#This Row],[Cantidad]]* Tabla113[[#This Row],[Precio]] * IF(ISNUMBER(FIND("aceite", LOWER(Tabla113[[#This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IF(Tabla113[[#This Row],[Cantidad]] &gt; 0,CEILING(( Tabla113[[#This Row],[Cantidad]]*Tabla113[[#This Row],[Precio]]) - IF(ISNUMBER(FIND("x", LOWER(G44))), ( Tabla113[[#This Row],[Cantidad]]* Tabla113[[#This Row],[Precio]] * IF(ISNUMBER(FIND("aceite", LOWER(Tabla113[[#This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IF(Tabla113[[#This Row],[Cantidad]] &gt; 0,CEILING(( Tabla113[[#This Row],[Cantidad]]*Tabla113[[#This Row],[Precio]]) - IF(ISNUMBER(FIND("x", LOWER(G45))), ( Tabla113[[#This Row],[Cantidad]]* Tabla113[[#This Row],[Precio]] * IF(ISNUMBER(FIND("aceite", LOWER(Tabla113[[#This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IF(Tabla113[[#This Row],[Cantidad]] &gt; 0,CEILING(( Tabla113[[#This Row],[Cantidad]]*Tabla113[[#This Row],[Precio]]) - IF(ISNUMBER(FIND("x", LOWER(G46))), ( Tabla113[[#This Row],[Cantidad]]* Tabla113[[#This Row],[Precio]] * IF(ISNUMBER(FIND("aceite", LOWER(Tabla113[[#This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IF(Tabla113[[#This Row],[Cantidad]] &gt; 0,CEILING(( Tabla113[[#This Row],[Cantidad]]*Tabla113[[#This Row],[Precio]]) - IF(ISNUMBER(FIND("x", LOWER(G47))), ( Tabla113[[#This Row],[Cantidad]]* Tabla113[[#This Row],[Precio]] * IF(ISNUMBER(FIND("aceite", LOWER(Tabla113[[#This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IF(Tabla113[[#This Row],[Cantidad]] &gt; 0,CEILING(( Tabla113[[#This Row],[Cantidad]]*Tabla113[[#This Row],[Precio]]) - IF(ISNUMBER(FIND("x", LOWER(G48))), ( Tabla113[[#This Row],[Cantidad]]* Tabla113[[#This Row],[Precio]] * IF(ISNUMBER(FIND("aceite", LOWER(Tabla113[[#This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IF(Tabla113[[#This Row],[Cantidad]] &gt; 0,CEILING(( Tabla113[[#This Row],[Cantidad]]*Tabla113[[#This Row],[Precio]]) - IF(ISNUMBER(FIND("x", LOWER(G49))), ( Tabla113[[#This Row],[Cantidad]]* Tabla113[[#This Row],[Precio]] * IF(ISNUMBER(FIND("aceite", LOWER(Tabla113[[#This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IF(Tabla113[[#This Row],[Cantidad]] &gt; 0,CEILING(( Tabla113[[#This Row],[Cantidad]]*Tabla113[[#This Row],[Precio]]) - IF(ISNUMBER(FIND("x", LOWER(G50))), ( Tabla113[[#This Row],[Cantidad]]* Tabla113[[#This Row],[Precio]] * IF(ISNUMBER(FIND("aceite", LOWER(Tabla113[[#This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IF(Tabla113[[#This Row],[Cantidad]] &gt; 0,CEILING(( Tabla113[[#This Row],[Cantidad]]*Tabla113[[#This Row],[Precio]]) - IF(ISNUMBER(FIND("x", LOWER(G51))), ( Tabla113[[#This Row],[Cantidad]]* Tabla113[[#This Row],[Precio]] * IF(ISNUMBER(FIND("aceite", LOWER(Tabla113[[#This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IF(Tabla113[[#This Row],[Cantidad]] &gt; 0,CEILING(( Tabla113[[#This Row],[Cantidad]]*Tabla113[[#This Row],[Precio]]) - IF(ISNUMBER(FIND("x", LOWER(G52))), ( Tabla113[[#This Row],[Cantidad]]* Tabla113[[#This Row],[Precio]] * IF(ISNUMBER(FIND("aceite", LOWER(Tabla113[[#This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IF(Tabla113[[#This Row],[Cantidad]] &gt; 0,CEILING(( Tabla113[[#This Row],[Cantidad]]*Tabla113[[#This Row],[Precio]]) - IF(ISNUMBER(FIND("x", LOWER(G53))), ( Tabla113[[#This Row],[Cantidad]]* Tabla113[[#This Row],[Precio]] * IF(ISNUMBER(FIND("aceite", LOWER(Tabla113[[#This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IF(Tabla113[[#This Row],[Cantidad]] &gt; 0,CEILING(( Tabla113[[#This Row],[Cantidad]]*Tabla113[[#This Row],[Precio]]) - IF(ISNUMBER(FIND("x", LOWER(G54))), ( Tabla113[[#This Row],[Cantidad]]* Tabla113[[#This Row],[Precio]] * IF(ISNUMBER(FIND("aceite", LOWER(Tabla113[[#This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IF(Tabla113[[#This Row],[Cantidad]] &gt; 0,CEILING(( Tabla113[[#This Row],[Cantidad]]*Tabla113[[#This Row],[Precio]]) - IF(ISNUMBER(FIND("x", LOWER(G55))), ( Tabla113[[#This Row],[Cantidad]]* Tabla113[[#This Row],[Precio]] * IF(ISNUMBER(FIND("aceite", LOWER(Tabla113[[#This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IF(Tabla113[[#This Row],[Cantidad]] &gt; 0,CEILING(( Tabla113[[#This Row],[Cantidad]]*Tabla113[[#This Row],[Precio]]) - IF(ISNUMBER(FIND("x", LOWER(G56))), ( Tabla113[[#This Row],[Cantidad]]* Tabla113[[#This Row],[Precio]] * IF(ISNUMBER(FIND("aceite", LOWER(Tabla113[[#This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IF(Tabla113[[#This Row],[Cantidad]] &gt; 0,CEILING(( Tabla113[[#This Row],[Cantidad]]*Tabla113[[#This Row],[Precio]]) - IF(ISNUMBER(FIND("x", LOWER(G57))), ( Tabla113[[#This Row],[Cantidad]]* Tabla113[[#This Row],[Precio]] * IF(ISNUMBER(FIND("aceite", LOWER(Tabla113[[#This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IF(Tabla113[[#This Row],[Cantidad]] &gt; 0,CEILING(( Tabla113[[#This Row],[Cantidad]]*Tabla113[[#This Row],[Precio]]) - IF(ISNUMBER(FIND("x", LOWER(G58))), ( Tabla113[[#This Row],[Cantidad]]* Tabla113[[#This Row],[Precio]] * IF(ISNUMBER(FIND("aceite", LOWER(Tabla113[[#This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IF(Tabla113[[#This Row],[Cantidad]] &gt; 0,CEILING(( Tabla113[[#This Row],[Cantidad]]*Tabla113[[#This Row],[Precio]]) - IF(ISNUMBER(FIND("x", LOWER(G59))), ( Tabla113[[#This Row],[Cantidad]]* Tabla113[[#This Row],[Precio]] * IF(ISNUMBER(FIND("aceite", LOWER(Tabla113[[#This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IF(Tabla113[[#This Row],[Cantidad]] &gt; 0,CEILING(( Tabla113[[#This Row],[Cantidad]]*Tabla113[[#This Row],[Precio]]) - IF(ISNUMBER(FIND("x", LOWER(G60))), ( Tabla113[[#This Row],[Cantidad]]* Tabla113[[#This Row],[Precio]] * IF(ISNUMBER(FIND("aceite", LOWER(Tabla113[[#This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IF(Tabla113[[#This Row],[Cantidad]] &gt; 0,CEILING(( Tabla113[[#This Row],[Cantidad]]*Tabla113[[#This Row],[Precio]]) - IF(ISNUMBER(FIND("x", LOWER(G61))), ( Tabla113[[#This Row],[Cantidad]]* Tabla113[[#This Row],[Precio]] * IF(ISNUMBER(FIND("aceite", LOWER(Tabla113[[#This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IF(Tabla113[[#This Row],[Cantidad]] &gt; 0,CEILING(( Tabla113[[#This Row],[Cantidad]]*Tabla113[[#This Row],[Precio]]) - IF(ISNUMBER(FIND("x", LOWER(G62))), ( Tabla113[[#This Row],[Cantidad]]* Tabla113[[#This Row],[Precio]] * IF(ISNUMBER(FIND("aceite", LOWER(Tabla113[[#This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IF(Tabla113[[#This Row],[Cantidad]] &gt; 0,CEILING(( Tabla113[[#This Row],[Cantidad]]*Tabla113[[#This Row],[Precio]]) - IF(ISNUMBER(FIND("x", LOWER(G63))), ( Tabla113[[#This Row],[Cantidad]]* Tabla113[[#This Row],[Precio]] * IF(ISNUMBER(FIND("aceite", LOWER(Tabla113[[#This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IF(Tabla113[[#This Row],[Cantidad]] &gt; 0,CEILING(( Tabla113[[#This Row],[Cantidad]]*Tabla113[[#This Row],[Precio]]) - IF(ISNUMBER(FIND("x", LOWER(G64))), ( Tabla113[[#This Row],[Cantidad]]* Tabla113[[#This Row],[Precio]] * IF(ISNUMBER(FIND("aceite", LOWER(Tabla113[[#This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IF(Tabla113[[#This Row],[Cantidad]] &gt; 0,CEILING(( Tabla113[[#This Row],[Cantidad]]*Tabla113[[#This Row],[Precio]]) - IF(ISNUMBER(FIND("x", LOWER(G65))), ( Tabla113[[#This Row],[Cantidad]]* Tabla113[[#This Row],[Precio]] * IF(ISNUMBER(FIND("aceite", LOWER(Tabla113[[#This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IF(Tabla113[[#This Row],[Cantidad]] &gt; 0,CEILING(( Tabla113[[#This Row],[Cantidad]]*Tabla113[[#This Row],[Precio]]) - IF(ISNUMBER(FIND("x", LOWER(G66))), ( Tabla113[[#This Row],[Cantidad]]* Tabla113[[#This Row],[Precio]] * IF(ISNUMBER(FIND("aceite", LOWER(Tabla113[[#This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IF(Tabla113[[#This Row],[Cantidad]] &gt; 0,CEILING(( Tabla113[[#This Row],[Cantidad]]*Tabla113[[#This Row],[Precio]]) - IF(ISNUMBER(FIND("x", LOWER(G67))), ( Tabla113[[#This Row],[Cantidad]]* Tabla113[[#This Row],[Precio]] * IF(ISNUMBER(FIND("aceite", LOWER(Tabla113[[#This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IF(Tabla113[[#This Row],[Cantidad]] &gt; 0,CEILING(( Tabla113[[#This Row],[Cantidad]]*Tabla113[[#This Row],[Precio]]) - IF(ISNUMBER(FIND("x", LOWER(G68))), ( Tabla113[[#This Row],[Cantidad]]* Tabla113[[#This Row],[Precio]] * IF(ISNUMBER(FIND("aceite", LOWER(Tabla113[[#This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IF(Tabla113[[#This Row],[Cantidad]] &gt; 0,CEILING(( Tabla113[[#This Row],[Cantidad]]*Tabla113[[#This Row],[Precio]]) - IF(ISNUMBER(FIND("x", LOWER(G69))), ( Tabla113[[#This Row],[Cantidad]]* Tabla113[[#This Row],[Precio]] * IF(ISNUMBER(FIND("aceite", LOWER(Tabla113[[#This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IF(Tabla113[[#This Row],[Cantidad]] &gt; 0,CEILING(( Tabla113[[#This Row],[Cantidad]]*Tabla113[[#This Row],[Precio]]) - IF(ISNUMBER(FIND("x", LOWER(G70))), ( Tabla113[[#This Row],[Cantidad]]* Tabla113[[#This Row],[Precio]] * IF(ISNUMBER(FIND("aceite", LOWER(Tabla113[[#This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IF(Tabla113[[#This Row],[Cantidad]] &gt; 0,CEILING(( Tabla113[[#This Row],[Cantidad]]*Tabla113[[#This Row],[Precio]]) - IF(ISNUMBER(FIND("x", LOWER(G71))), ( Tabla113[[#This Row],[Cantidad]]* Tabla113[[#This Row],[Precio]] * IF(ISNUMBER(FIND("aceite", LOWER(Tabla113[[#This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IF(Tabla113[[#This Row],[Cantidad]] &gt; 0,CEILING(( Tabla113[[#This Row],[Cantidad]]*Tabla113[[#This Row],[Precio]]) - IF(ISNUMBER(FIND("x", LOWER(G72))), ( Tabla113[[#This Row],[Cantidad]]* Tabla113[[#This Row],[Precio]] * IF(ISNUMBER(FIND("aceite", LOWER(Tabla113[[#This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IF(Tabla113[[#This Row],[Cantidad]] &gt; 0,CEILING(( Tabla113[[#This Row],[Cantidad]]*Tabla113[[#This Row],[Precio]]) - IF(ISNUMBER(FIND("x", LOWER(G73))), ( Tabla113[[#This Row],[Cantidad]]* Tabla113[[#This Row],[Precio]] * IF(ISNUMBER(FIND("aceite", LOWER(Tabla113[[#This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IF(Tabla113[[#This Row],[Cantidad]] &gt; 0,CEILING(( Tabla113[[#This Row],[Cantidad]]*Tabla113[[#This Row],[Precio]]) - IF(ISNUMBER(FIND("x", LOWER(G74))), ( Tabla113[[#This Row],[Cantidad]]* Tabla113[[#This Row],[Precio]] * IF(ISNUMBER(FIND("aceite", LOWER(Tabla113[[#This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IF(Tabla113[[#This Row],[Cantidad]] &gt; 0,CEILING(( Tabla113[[#This Row],[Cantidad]]*Tabla113[[#This Row],[Precio]]) - IF(ISNUMBER(FIND("x", LOWER(G75))), ( Tabla113[[#This Row],[Cantidad]]* Tabla113[[#This Row],[Precio]] * IF(ISNUMBER(FIND("aceite", LOWER(Tabla113[[#This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IF(Tabla113[[#This Row],[Cantidad]] &gt; 0,CEILING(( Tabla113[[#This Row],[Cantidad]]*Tabla113[[#This Row],[Precio]]) - IF(ISNUMBER(FIND("x", LOWER(G76))), ( Tabla113[[#This Row],[Cantidad]]* Tabla113[[#This Row],[Precio]] * IF(ISNUMBER(FIND("aceite", LOWER(Tabla113[[#This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IF(Tabla113[[#This Row],[Cantidad]] &gt; 0,CEILING(( Tabla113[[#This Row],[Cantidad]]*Tabla113[[#This Row],[Precio]]) - IF(ISNUMBER(FIND("x", LOWER(G77))), ( Tabla113[[#This Row],[Cantidad]]* Tabla113[[#This Row],[Precio]] * IF(ISNUMBER(FIND("aceite", LOWER(Tabla113[[#This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IF(Tabla113[[#This Row],[Cantidad]] &gt; 0,CEILING(( Tabla113[[#This Row],[Cantidad]]*Tabla113[[#This Row],[Precio]]) - IF(ISNUMBER(FIND("x", LOWER(G78))), ( Tabla113[[#This Row],[Cantidad]]* Tabla113[[#This Row],[Precio]] * IF(ISNUMBER(FIND("aceite", LOWER(Tabla113[[#This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IF(Tabla113[[#This Row],[Cantidad]] &gt; 0,CEILING(( Tabla113[[#This Row],[Cantidad]]*Tabla113[[#This Row],[Precio]]) - IF(ISNUMBER(FIND("x", LOWER(G79))), ( Tabla113[[#This Row],[Cantidad]]* Tabla113[[#This Row],[Precio]] * IF(ISNUMBER(FIND("aceite", LOWER(Tabla113[[#This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IF(Tabla113[[#This Row],[Cantidad]] &gt; 0,CEILING(( Tabla113[[#This Row],[Cantidad]]*Tabla113[[#This Row],[Precio]]) - IF(ISNUMBER(FIND("x", LOWER(G80))), ( Tabla113[[#This Row],[Cantidad]]* Tabla113[[#This Row],[Precio]] * IF(ISNUMBER(FIND("aceite", LOWER(Tabla113[[#This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IF(Tabla113[[#This Row],[Cantidad]] &gt; 0,CEILING(( Tabla113[[#This Row],[Cantidad]]*Tabla113[[#This Row],[Precio]]) - IF(ISNUMBER(FIND("x", LOWER(G81))), ( Tabla113[[#This Row],[Cantidad]]* Tabla113[[#This Row],[Precio]] * IF(ISNUMBER(FIND("aceite", LOWER(Tabla113[[#This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IF(Tabla113[[#This Row],[Cantidad]] &gt; 0,CEILING(( Tabla113[[#This Row],[Cantidad]]*Tabla113[[#This Row],[Precio]]) - IF(ISNUMBER(FIND("x", LOWER(G82))), ( Tabla113[[#This Row],[Cantidad]]* Tabla113[[#This Row],[Precio]] * IF(ISNUMBER(FIND("aceite", LOWER(Tabla113[[#This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IF(Tabla113[[#This Row],[Cantidad]] &gt; 0,CEILING(( Tabla113[[#This Row],[Cantidad]]*Tabla113[[#This Row],[Precio]]) - IF(ISNUMBER(FIND("x", LOWER(G83))), ( Tabla113[[#This Row],[Cantidad]]* Tabla113[[#This Row],[Precio]] * IF(ISNUMBER(FIND("aceite", LOWER(Tabla113[[#This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IF(Tabla113[[#This Row],[Cantidad]] &gt; 0,CEILING(( Tabla113[[#This Row],[Cantidad]]*Tabla113[[#This Row],[Precio]]) - IF(ISNUMBER(FIND("x", LOWER(G84))), ( Tabla113[[#This Row],[Cantidad]]* Tabla113[[#This Row],[Precio]] * IF(ISNUMBER(FIND("aceite", LOWER(Tabla113[[#This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IF(Tabla113[[#This Row],[Cantidad]] &gt; 0,CEILING(( Tabla113[[#This Row],[Cantidad]]*Tabla113[[#This Row],[Precio]]) - IF(ISNUMBER(FIND("x", LOWER(G85))), ( Tabla113[[#This Row],[Cantidad]]* Tabla113[[#This Row],[Precio]] * IF(ISNUMBER(FIND("aceite", LOWER(Tabla113[[#This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IF(Tabla113[[#This Row],[Cantidad]] &gt; 0,CEILING(( Tabla113[[#This Row],[Cantidad]]*Tabla113[[#This Row],[Precio]]) - IF(ISNUMBER(FIND("x", LOWER(G86))), ( Tabla113[[#This Row],[Cantidad]]* Tabla113[[#This Row],[Precio]] * IF(ISNUMBER(FIND("aceite", LOWER(Tabla113[[#This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IF(Tabla113[[#This Row],[Cantidad]] &gt; 0,CEILING(( Tabla113[[#This Row],[Cantidad]]*Tabla113[[#This Row],[Precio]]) - IF(ISNUMBER(FIND("x", LOWER(G87))), ( Tabla113[[#This Row],[Cantidad]]* Tabla113[[#This Row],[Precio]] * IF(ISNUMBER(FIND("aceite", LOWER(Tabla113[[#This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IF(Tabla113[[#This Row],[Cantidad]] &gt; 0,CEILING(( Tabla113[[#This Row],[Cantidad]]*Tabla113[[#This Row],[Precio]]) - IF(ISNUMBER(FIND("x", LOWER(G88))), ( Tabla113[[#This Row],[Cantidad]]* Tabla113[[#This Row],[Precio]] * IF(ISNUMBER(FIND("aceite", LOWER(Tabla113[[#This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IF(Tabla113[[#This Row],[Cantidad]] &gt; 0,CEILING(( Tabla113[[#This Row],[Cantidad]]*Tabla113[[#This Row],[Precio]]) - IF(ISNUMBER(FIND("x", LOWER(G89))), ( Tabla113[[#This Row],[Cantidad]]* Tabla113[[#This Row],[Precio]] * IF(ISNUMBER(FIND("aceite", LOWER(Tabla113[[#This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IF(Tabla113[[#This Row],[Cantidad]] &gt; 0,CEILING(( Tabla113[[#This Row],[Cantidad]]*Tabla113[[#This Row],[Precio]]) - IF(ISNUMBER(FIND("x", LOWER(G90))), ( Tabla113[[#This Row],[Cantidad]]* Tabla113[[#This Row],[Precio]] * IF(ISNUMBER(FIND("aceite", LOWER(Tabla113[[#This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IF(Tabla113[[#This Row],[Cantidad]] &gt; 0,CEILING(( Tabla113[[#This Row],[Cantidad]]*Tabla113[[#This Row],[Precio]]) - IF(ISNUMBER(FIND("x", LOWER(G91))), ( Tabla113[[#This Row],[Cantidad]]* Tabla113[[#This Row],[Precio]] * IF(ISNUMBER(FIND("aceite", LOWER(Tabla113[[#This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IF(Tabla113[[#This Row],[Cantidad]] &gt; 0,CEILING(( Tabla113[[#This Row],[Cantidad]]*Tabla113[[#This Row],[Precio]]) - IF(ISNUMBER(FIND("x", LOWER(G92))), ( Tabla113[[#This Row],[Cantidad]]* Tabla113[[#This Row],[Precio]] * IF(ISNUMBER(FIND("aceite", LOWER(Tabla113[[#This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IF(Tabla113[[#This Row],[Cantidad]] &gt; 0,CEILING(( Tabla113[[#This Row],[Cantidad]]*Tabla113[[#This Row],[Precio]]) - IF(ISNUMBER(FIND("x", LOWER(G93))), ( Tabla113[[#This Row],[Cantidad]]* Tabla113[[#This Row],[Precio]] * IF(ISNUMBER(FIND("aceite", LOWER(Tabla113[[#This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IF(Tabla113[[#This Row],[Cantidad]] &gt; 0,CEILING(( Tabla113[[#This Row],[Cantidad]]*Tabla113[[#This Row],[Precio]]) - IF(ISNUMBER(FIND("x", LOWER(G94))), ( Tabla113[[#This Row],[Cantidad]]* Tabla113[[#This Row],[Precio]] * IF(ISNUMBER(FIND("aceite", LOWER(Tabla113[[#This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IF(Tabla113[[#This Row],[Cantidad]] &gt; 0,CEILING(( Tabla113[[#This Row],[Cantidad]]*Tabla113[[#This Row],[Precio]]) - IF(ISNUMBER(FIND("x", LOWER(G95))), ( Tabla113[[#This Row],[Cantidad]]* Tabla113[[#This Row],[Precio]] * IF(ISNUMBER(FIND("aceite", LOWER(Tabla113[[#This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IF(Tabla113[[#This Row],[Cantidad]] &gt; 0,CEILING(( Tabla113[[#This Row],[Cantidad]]*Tabla113[[#This Row],[Precio]]) - IF(ISNUMBER(FIND("x", LOWER(G96))), ( Tabla113[[#This Row],[Cantidad]]* Tabla113[[#This Row],[Precio]] * IF(ISNUMBER(FIND("aceite", LOWER(Tabla113[[#This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IF(Tabla113[[#This Row],[Cantidad]] &gt; 0,CEILING(( Tabla113[[#This Row],[Cantidad]]*Tabla113[[#This Row],[Precio]]) - IF(ISNUMBER(FIND("x", LOWER(G97))), ( Tabla113[[#This Row],[Cantidad]]* Tabla113[[#This Row],[Precio]] * IF(ISNUMBER(FIND("aceite", LOWER(Tabla113[[#This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IF(Tabla113[[#This Row],[Cantidad]] &gt; 0,CEILING(( Tabla113[[#This Row],[Cantidad]]*Tabla113[[#This Row],[Precio]]) - IF(ISNUMBER(FIND("x", LOWER(G98))), ( Tabla113[[#This Row],[Cantidad]]* Tabla113[[#This Row],[Precio]] * IF(ISNUMBER(FIND("aceite", LOWER(Tabla113[[#This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IF(Tabla113[[#This Row],[Cantidad]] &gt; 0,CEILING(( Tabla113[[#This Row],[Cantidad]]*Tabla113[[#This Row],[Precio]]) - IF(ISNUMBER(FIND("x", LOWER(G99))), ( Tabla113[[#This Row],[Cantidad]]* Tabla113[[#This Row],[Precio]] * IF(ISNUMBER(FIND("aceite", LOWER(Tabla113[[#This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IF(Tabla113[[#This Row],[Cantidad]] &gt; 0,CEILING(( Tabla113[[#This Row],[Cantidad]]*Tabla113[[#This Row],[Precio]]) - IF(ISNUMBER(FIND("x", LOWER(G100))), ( Tabla113[[#This Row],[Cantidad]]* Tabla113[[#This Row],[Precio]] * IF(ISNUMBER(FIND("aceite", LOWER(Tabla113[[#This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IF(Tabla113[[#This Row],[Cantidad]] &gt; 0,CEILING(( Tabla113[[#This Row],[Cantidad]]*Tabla113[[#This Row],[Precio]]) - IF(ISNUMBER(FIND("x", LOWER(G101))), ( Tabla113[[#This Row],[Cantidad]]* Tabla113[[#This Row],[Precio]] * IF(ISNUMBER(FIND("aceite", LOWER(Tabla113[[#This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IF(Tabla113[[#This Row],[Cantidad]] &gt; 0,CEILING(( Tabla113[[#This Row],[Cantidad]]*Tabla113[[#This Row],[Precio]]) - IF(ISNUMBER(FIND("x", LOWER(G102))), ( Tabla113[[#This Row],[Cantidad]]* Tabla113[[#This Row],[Precio]] * IF(ISNUMBER(FIND("aceite", LOWER(Tabla113[[#This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IF(Tabla113[[#This Row],[Cantidad]] &gt; 0,CEILING(( Tabla113[[#This Row],[Cantidad]]*Tabla113[[#This Row],[Precio]]) - IF(ISNUMBER(FIND("x", LOWER(G103))), ( Tabla113[[#This Row],[Cantidad]]* Tabla113[[#This Row],[Precio]] * IF(ISNUMBER(FIND("aceite", LOWER(Tabla113[[#This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1" priority="2">
      <formula>E5&gt;0&amp;ISBLANK(D5)</formula>
    </cfRule>
  </conditionalFormatting>
  <conditionalFormatting sqref="B5:B103">
    <cfRule type="expression" dxfId="10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R103"/>
  <sheetViews>
    <sheetView tabSelected="1" zoomScale="85" zoomScaleNormal="85" workbookViewId="0">
      <selection activeCell="D17" sqref="D17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112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SUM(Tabla114[Importa])</f>
        <v>1253.5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12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46298.417187500003</v>
      </c>
      <c r="C5">
        <f t="shared" ref="C5:C68" si="0">IF(ISNUMBER(E5), IF(ISNUMBER(C4), C4+1, 1), "")</f>
        <v>1</v>
      </c>
      <c r="D5" t="s">
        <v>115</v>
      </c>
      <c r="E5">
        <v>1</v>
      </c>
      <c r="F5">
        <v>138</v>
      </c>
      <c r="G5" t="s">
        <v>38</v>
      </c>
      <c r="H5" s="4">
        <f>IF(Tabla114[[#This Row],[Cantidad]] &gt; 0,CEILING(( Tabla114[[#This Row],[Cantidad]]*Tabla114[[#This Row],[Precio]]) - IF(ISNUMBER(FIND("x", LOWER(G5))), ( Tabla114[[#This Row],[Cantidad]]* Tabla114[[#This Row],[Precio]] * IF(ISNUMBER(FIND("aceite", LOWER(Tabla114[[#This Row],[Producto]]))), 0.05, 0.1)), 0), 0.5), "")</f>
        <v>124.5</v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46298.417291666665</v>
      </c>
      <c r="C6">
        <f t="shared" si="0"/>
        <v>2</v>
      </c>
      <c r="D6" t="s">
        <v>115</v>
      </c>
      <c r="E6">
        <v>1</v>
      </c>
      <c r="F6">
        <v>138</v>
      </c>
      <c r="G6" t="s">
        <v>38</v>
      </c>
      <c r="H6" s="4">
        <f>IF(Tabla114[[#This Row],[Cantidad]] &gt; 0,CEILING(( Tabla114[[#This Row],[Cantidad]]*Tabla114[[#This Row],[Precio]]) - IF(ISNUMBER(FIND("x", LOWER(G6))), ( Tabla114[[#This Row],[Cantidad]]* Tabla114[[#This Row],[Precio]] * IF(ISNUMBER(FIND("aceite", LOWER(Tabla114[[#This Row],[Producto]]))), 0.05, 0.1)), 0), 0.5), "")</f>
        <v>124.5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46298.650821759256</v>
      </c>
      <c r="C7">
        <f t="shared" si="0"/>
        <v>3</v>
      </c>
      <c r="D7" t="s">
        <v>116</v>
      </c>
      <c r="E7">
        <v>1</v>
      </c>
      <c r="F7">
        <v>34</v>
      </c>
      <c r="G7" t="s">
        <v>38</v>
      </c>
      <c r="H7" s="4">
        <f>IF(Tabla114[[#This Row],[Cantidad]] &gt; 0,CEILING(( Tabla114[[#This Row],[Cantidad]]*Tabla114[[#This Row],[Precio]]) - IF(ISNUMBER(FIND("x", LOWER(G7))), ( Tabla114[[#This Row],[Cantidad]]* Tabla114[[#This Row],[Precio]] * IF(ISNUMBER(FIND("aceite", LOWER(Tabla114[[#This Row],[Producto]]))), 0.05, 0.1)), 0), 0.5), "")</f>
        <v>31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46298.667060185187</v>
      </c>
      <c r="C8">
        <f t="shared" si="0"/>
        <v>4</v>
      </c>
      <c r="D8" t="s">
        <v>117</v>
      </c>
      <c r="E8">
        <v>1</v>
      </c>
      <c r="F8">
        <v>65</v>
      </c>
      <c r="G8" t="s">
        <v>38</v>
      </c>
      <c r="H8" s="4">
        <f>IF(Tabla114[[#This Row],[Cantidad]] &gt; 0,CEILING(( Tabla114[[#This Row],[Cantidad]]*Tabla114[[#This Row],[Precio]]) - IF(ISNUMBER(FIND("x", LOWER(G8))), ( Tabla114[[#This Row],[Cantidad]]* Tabla114[[#This Row],[Precio]] * IF(ISNUMBER(FIND("aceite", LOWER(Tabla114[[#This Row],[Producto]]))), 0.05, 0.1)), 0), 0.5), "")</f>
        <v>58.5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46298.667268518519</v>
      </c>
      <c r="C9">
        <f t="shared" si="0"/>
        <v>5</v>
      </c>
      <c r="D9" t="s">
        <v>118</v>
      </c>
      <c r="E9">
        <v>1</v>
      </c>
      <c r="F9">
        <v>75</v>
      </c>
      <c r="G9" t="s">
        <v>38</v>
      </c>
      <c r="H9" s="4">
        <f>IF(Tabla114[[#This Row],[Cantidad]] &gt; 0,CEILING(( Tabla114[[#This Row],[Cantidad]]*Tabla114[[#This Row],[Precio]]) - IF(ISNUMBER(FIND("x", LOWER(G9))), ( Tabla114[[#This Row],[Cantidad]]* Tabla114[[#This Row],[Precio]] * IF(ISNUMBER(FIND("aceite", LOWER(Tabla114[[#This Row],[Producto]]))), 0.05, 0.1)), 0), 0.5), "")</f>
        <v>67.5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46298.671273148146</v>
      </c>
      <c r="C10">
        <f t="shared" si="0"/>
        <v>6</v>
      </c>
      <c r="D10" t="s">
        <v>119</v>
      </c>
      <c r="E10">
        <v>1</v>
      </c>
      <c r="F10">
        <v>70</v>
      </c>
      <c r="G10" t="s">
        <v>38</v>
      </c>
      <c r="H10" s="4">
        <f>IF(Tabla114[[#This Row],[Cantidad]] &gt; 0,CEILING(( Tabla114[[#This Row],[Cantidad]]*Tabla114[[#This Row],[Precio]]) - IF(ISNUMBER(FIND("x", LOWER(G10))), ( Tabla114[[#This Row],[Cantidad]]* Tabla114[[#This Row],[Precio]] * IF(ISNUMBER(FIND("aceite", LOWER(Tabla114[[#This Row],[Producto]]))), 0.05, 0.1)), 0), 0.5), "")</f>
        <v>63</v>
      </c>
      <c r="J10" s="30" t="s">
        <v>31</v>
      </c>
      <c r="K10" s="32">
        <f>IF(K4&lt;&gt;0,COUNTIF(G5:G103, "x")/K4, "")</f>
        <v>0.75</v>
      </c>
      <c r="M10" s="18"/>
      <c r="N10" s="18"/>
      <c r="O10" s="18"/>
      <c r="P10" s="18"/>
      <c r="Q10" s="18"/>
      <c r="R10" s="18"/>
    </row>
    <row r="11" spans="2:18" x14ac:dyDescent="0.25">
      <c r="B11" s="13">
        <v>46298.672372685185</v>
      </c>
      <c r="C11">
        <f t="shared" si="0"/>
        <v>7</v>
      </c>
      <c r="D11" t="s">
        <v>120</v>
      </c>
      <c r="E11">
        <v>1</v>
      </c>
      <c r="F11">
        <v>50</v>
      </c>
      <c r="G11" t="s">
        <v>38</v>
      </c>
      <c r="H11" s="4">
        <f>IF(Tabla114[[#This Row],[Cantidad]] &gt; 0,CEILING(( Tabla114[[#This Row],[Cantidad]]*Tabla114[[#This Row],[Precio]]) - IF(ISNUMBER(FIND("x", LOWER(G11))), ( Tabla114[[#This Row],[Cantidad]]* Tabla114[[#This Row],[Precio]] * IF(ISNUMBER(FIND("aceite", LOWER(Tabla114[[#This Row],[Producto]]))), 0.05, 0.1)), 0), 0.5), "")</f>
        <v>45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46298.672453703701</v>
      </c>
      <c r="C12">
        <f t="shared" si="0"/>
        <v>8</v>
      </c>
      <c r="D12" t="s">
        <v>121</v>
      </c>
      <c r="E12">
        <v>1</v>
      </c>
      <c r="F12">
        <v>95</v>
      </c>
      <c r="G12" t="s">
        <v>38</v>
      </c>
      <c r="H12" s="4">
        <f>IF(Tabla114[[#This Row],[Cantidad]] &gt; 0,CEILING(( Tabla114[[#This Row],[Cantidad]]*Tabla114[[#This Row],[Precio]]) - IF(ISNUMBER(FIND("x", LOWER(G12))), ( Tabla114[[#This Row],[Cantidad]]* Tabla114[[#This Row],[Precio]] * IF(ISNUMBER(FIND("aceite", LOWER(Tabla114[[#This Row],[Producto]]))), 0.05, 0.1)), 0), 0.5), "")</f>
        <v>90.5</v>
      </c>
      <c r="J12" s="30" t="s">
        <v>32</v>
      </c>
      <c r="K12" s="32">
        <f>IF(K4&lt;&gt;0,(K4-COUNTIF(G5:G103,"x"))/K4,"")</f>
        <v>0.25</v>
      </c>
      <c r="M12" s="18"/>
      <c r="N12" s="18"/>
      <c r="O12" s="18"/>
      <c r="P12" s="18"/>
      <c r="Q12" s="18"/>
      <c r="R12" s="18"/>
    </row>
    <row r="13" spans="2:18" x14ac:dyDescent="0.25">
      <c r="B13" s="13">
        <v>46298.672581018516</v>
      </c>
      <c r="C13">
        <f t="shared" si="0"/>
        <v>9</v>
      </c>
      <c r="D13" t="s">
        <v>122</v>
      </c>
      <c r="E13">
        <v>1</v>
      </c>
      <c r="F13">
        <v>71</v>
      </c>
      <c r="G13" t="s">
        <v>38</v>
      </c>
      <c r="H13" s="4">
        <f>IF(Tabla114[[#This Row],[Cantidad]] &gt; 0,CEILING(( Tabla114[[#This Row],[Cantidad]]*Tabla114[[#This Row],[Precio]]) - IF(ISNUMBER(FIND("x", LOWER(G13))), ( Tabla114[[#This Row],[Cantidad]]* Tabla114[[#This Row],[Precio]] * IF(ISNUMBER(FIND("aceite", LOWER(Tabla114[[#This Row],[Producto]]))), 0.05, 0.1)), 0), 0.5), "")</f>
        <v>64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46298.736562500002</v>
      </c>
      <c r="C14">
        <f t="shared" si="0"/>
        <v>10</v>
      </c>
      <c r="D14" t="s">
        <v>123</v>
      </c>
      <c r="E14">
        <v>2</v>
      </c>
      <c r="F14">
        <v>30</v>
      </c>
      <c r="H14" s="4">
        <f>IF(Tabla114[[#This Row],[Cantidad]] &gt; 0,CEILING(( Tabla114[[#This Row],[Cantidad]]*Tabla114[[#This Row],[Precio]]) - IF(ISNUMBER(FIND("x", LOWER(G14))), ( Tabla114[[#This Row],[Cantidad]]* Tabla114[[#This Row],[Precio]] * IF(ISNUMBER(FIND("aceite", LOWER(Tabla114[[#This Row],[Producto]]))), 0.05, 0.1)), 0), 0.5), "")</f>
        <v>60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46298.747037037036</v>
      </c>
      <c r="C15">
        <f t="shared" si="0"/>
        <v>11</v>
      </c>
      <c r="D15" t="s">
        <v>124</v>
      </c>
      <c r="E15">
        <v>1</v>
      </c>
      <c r="F15">
        <v>510</v>
      </c>
      <c r="H15" s="4">
        <f>IF(Tabla114[[#This Row],[Cantidad]] &gt; 0,CEILING(( Tabla114[[#This Row],[Cantidad]]*Tabla114[[#This Row],[Precio]]) - IF(ISNUMBER(FIND("x", LOWER(G15))), ( Tabla114[[#This Row],[Cantidad]]* Tabla114[[#This Row],[Precio]] * IF(ISNUMBER(FIND("aceite", LOWER(Tabla114[[#This Row],[Producto]]))), 0.05, 0.1)), 0), 0.5), "")</f>
        <v>510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46298.764027777775</v>
      </c>
      <c r="C16">
        <f t="shared" si="0"/>
        <v>12</v>
      </c>
      <c r="D16" t="s">
        <v>57</v>
      </c>
      <c r="E16">
        <v>3</v>
      </c>
      <c r="F16">
        <v>5</v>
      </c>
      <c r="H16" s="4">
        <f>IF(Tabla114[[#This Row],[Cantidad]] &gt; 0,CEILING(( Tabla114[[#This Row],[Cantidad]]*Tabla114[[#This Row],[Precio]]) - IF(ISNUMBER(FIND("x", LOWER(G16))), ( Tabla114[[#This Row],[Cantidad]]* Tabla114[[#This Row],[Precio]] * IF(ISNUMBER(FIND("aceite", LOWER(Tabla114[[#This Row],[Producto]]))), 0.05, 0.1)), 0), 0.5), "")</f>
        <v>15</v>
      </c>
      <c r="J16" s="20" t="s">
        <v>26</v>
      </c>
      <c r="K16" s="22">
        <v>10873.5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 t="str">
        <f t="shared" si="0"/>
        <v/>
      </c>
      <c r="H17" s="4" t="str">
        <f>IF(Tabla114[[#This Row],[Cantidad]] &gt; 0,CEILING(( Tabla114[[#This Row],[Cantidad]]*Tabla114[[#This Row],[Precio]]) - IF(ISNUMBER(FIND("x", LOWER(G17))), ( Tabla114[[#This Row],[Cantidad]]* Tabla114[[#This Row],[Precio]] * IF(ISNUMBER(FIND("aceite", LOWER(Tabla114[[#This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 t="str">
        <f t="shared" si="0"/>
        <v/>
      </c>
      <c r="H18" s="4" t="str">
        <f>IF(Tabla114[[#This Row],[Cantidad]] &gt; 0,CEILING(( Tabla114[[#This Row],[Cantidad]]*Tabla114[[#This Row],[Precio]]) - IF(ISNUMBER(FIND("x", LOWER(G18))), ( Tabla114[[#This Row],[Cantidad]]* Tabla114[[#This Row],[Precio]] * IF(ISNUMBER(FIND("aceite", LOWER(Tabla114[[#This Row],[Producto]]))), 0.05, 0.1)), 0), 0.5), "")</f>
        <v/>
      </c>
      <c r="J18" s="23" t="s">
        <v>27</v>
      </c>
      <c r="K18" s="25">
        <f>SUM(O27:O52)</f>
        <v>300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0"/>
        <v/>
      </c>
      <c r="H19" s="4" t="str">
        <f>IF(Tabla114[[#This Row],[Cantidad]] &gt; 0,CEILING(( Tabla114[[#This Row],[Cantidad]]*Tabla114[[#This Row],[Precio]]) - IF(ISNUMBER(FIND("x", LOWER(G19))), ( Tabla114[[#This Row],[Cantidad]]* Tabla114[[#This Row],[Precio]] * IF(ISNUMBER(FIND("aceite", LOWER(Tabla114[[#This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IF(Tabla114[[#This Row],[Cantidad]] &gt; 0,CEILING(( Tabla114[[#This Row],[Cantidad]]*Tabla114[[#This Row],[Precio]]) - IF(ISNUMBER(FIND("x", LOWER(G20))), ( Tabla114[[#This Row],[Cantidad]]* Tabla114[[#This Row],[Precio]] * IF(ISNUMBER(FIND("aceite", LOWER(Tabla114[[#This Row],[Producto]]))), 0.05, 0.1)), 0), 0.5), "")</f>
        <v/>
      </c>
      <c r="J20" s="26" t="s">
        <v>29</v>
      </c>
      <c r="K20" s="28">
        <f>K16-K18</f>
        <v>10573.5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IF(Tabla114[[#This Row],[Cantidad]] &gt; 0,CEILING(( Tabla114[[#This Row],[Cantidad]]*Tabla114[[#This Row],[Precio]]) - IF(ISNUMBER(FIND("x", LOWER(G21))), ( Tabla114[[#This Row],[Cantidad]]* Tabla114[[#This Row],[Precio]] * IF(ISNUMBER(FIND("aceite", LOWER(Tabla114[[#This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IF(Tabla114[[#This Row],[Cantidad]] &gt; 0,CEILING(( Tabla114[[#This Row],[Cantidad]]*Tabla114[[#This Row],[Precio]]) - IF(ISNUMBER(FIND("x", LOWER(G22))), ( Tabla114[[#This Row],[Cantidad]]* Tabla114[[#This Row],[Precio]] * IF(ISNUMBER(FIND("aceite", LOWER(Tabla114[[#This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IF(Tabla114[[#This Row],[Cantidad]] &gt; 0,CEILING(( Tabla114[[#This Row],[Cantidad]]*Tabla114[[#This Row],[Precio]]) - IF(ISNUMBER(FIND("x", LOWER(G23))), ( Tabla114[[#This Row],[Cantidad]]* Tabla114[[#This Row],[Precio]] * IF(ISNUMBER(FIND("aceite", LOWER(Tabla114[[#This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IF(Tabla114[[#This Row],[Cantidad]] &gt; 0,CEILING(( Tabla114[[#This Row],[Cantidad]]*Tabla114[[#This Row],[Precio]]) - IF(ISNUMBER(FIND("x", LOWER(G24))), ( Tabla114[[#This Row],[Cantidad]]* Tabla114[[#This Row],[Precio]] * IF(ISNUMBER(FIND("aceite", LOWER(Tabla114[[#This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IF(Tabla114[[#This Row],[Cantidad]] &gt; 0,CEILING(( Tabla114[[#This Row],[Cantidad]]*Tabla114[[#This Row],[Precio]]) - IF(ISNUMBER(FIND("x", LOWER(G25))), ( Tabla114[[#This Row],[Cantidad]]* Tabla114[[#This Row],[Precio]] * IF(ISNUMBER(FIND("aceite", LOWER(Tabla114[[#This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IF(Tabla114[[#This Row],[Cantidad]] &gt; 0,CEILING(( Tabla114[[#This Row],[Cantidad]]*Tabla114[[#This Row],[Precio]]) - IF(ISNUMBER(FIND("x", LOWER(G26))), ( Tabla114[[#This Row],[Cantidad]]* Tabla114[[#This Row],[Precio]] * IF(ISNUMBER(FIND("aceite", LOWER(Tabla114[[#This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IF(Tabla114[[#This Row],[Cantidad]] &gt; 0,CEILING(( Tabla114[[#This Row],[Cantidad]]*Tabla114[[#This Row],[Precio]]) - IF(ISNUMBER(FIND("x", LOWER(G27))), ( Tabla114[[#This Row],[Cantidad]]* Tabla114[[#This Row],[Precio]] * IF(ISNUMBER(FIND("aceite", LOWER(Tabla114[[#This Row],[Producto]]))), 0.05, 0.1)), 0), 0.5), "")</f>
        <v/>
      </c>
      <c r="M27" s="44" t="s">
        <v>125</v>
      </c>
      <c r="N27" s="45"/>
      <c r="O27" s="33">
        <v>300</v>
      </c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IF(Tabla114[[#This Row],[Cantidad]] &gt; 0,CEILING(( Tabla114[[#This Row],[Cantidad]]*Tabla114[[#This Row],[Precio]]) - IF(ISNUMBER(FIND("x", LOWER(G28))), ( Tabla114[[#This Row],[Cantidad]]* Tabla114[[#This Row],[Precio]] * IF(ISNUMBER(FIND("aceite", LOWER(Tabla114[[#This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IF(Tabla114[[#This Row],[Cantidad]] &gt; 0,CEILING(( Tabla114[[#This Row],[Cantidad]]*Tabla114[[#This Row],[Precio]]) - IF(ISNUMBER(FIND("x", LOWER(G29))), ( Tabla114[[#This Row],[Cantidad]]* Tabla114[[#This Row],[Precio]] * IF(ISNUMBER(FIND("aceite", LOWER(Tabla114[[#This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IF(Tabla114[[#This Row],[Cantidad]] &gt; 0,CEILING(( Tabla114[[#This Row],[Cantidad]]*Tabla114[[#This Row],[Precio]]) - IF(ISNUMBER(FIND("x", LOWER(G30))), ( Tabla114[[#This Row],[Cantidad]]* Tabla114[[#This Row],[Precio]] * IF(ISNUMBER(FIND("aceite", LOWER(Tabla114[[#This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IF(Tabla114[[#This Row],[Cantidad]] &gt; 0,CEILING(( Tabla114[[#This Row],[Cantidad]]*Tabla114[[#This Row],[Precio]]) - IF(ISNUMBER(FIND("x", LOWER(G31))), ( Tabla114[[#This Row],[Cantidad]]* Tabla114[[#This Row],[Precio]] * IF(ISNUMBER(FIND("aceite", LOWER(Tabla114[[#This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IF(Tabla114[[#This Row],[Cantidad]] &gt; 0,CEILING(( Tabla114[[#This Row],[Cantidad]]*Tabla114[[#This Row],[Precio]]) - IF(ISNUMBER(FIND("x", LOWER(G32))), ( Tabla114[[#This Row],[Cantidad]]* Tabla114[[#This Row],[Precio]] * IF(ISNUMBER(FIND("aceite", LOWER(Tabla114[[#This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IF(Tabla114[[#This Row],[Cantidad]] &gt; 0,CEILING(( Tabla114[[#This Row],[Cantidad]]*Tabla114[[#This Row],[Precio]]) - IF(ISNUMBER(FIND("x", LOWER(G33))), ( Tabla114[[#This Row],[Cantidad]]* Tabla114[[#This Row],[Precio]] * IF(ISNUMBER(FIND("aceite", LOWER(Tabla114[[#This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IF(Tabla114[[#This Row],[Cantidad]] &gt; 0,CEILING(( Tabla114[[#This Row],[Cantidad]]*Tabla114[[#This Row],[Precio]]) - IF(ISNUMBER(FIND("x", LOWER(G34))), ( Tabla114[[#This Row],[Cantidad]]* Tabla114[[#This Row],[Precio]] * IF(ISNUMBER(FIND("aceite", LOWER(Tabla114[[#This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IF(Tabla114[[#This Row],[Cantidad]] &gt; 0,CEILING(( Tabla114[[#This Row],[Cantidad]]*Tabla114[[#This Row],[Precio]]) - IF(ISNUMBER(FIND("x", LOWER(G35))), ( Tabla114[[#This Row],[Cantidad]]* Tabla114[[#This Row],[Precio]] * IF(ISNUMBER(FIND("aceite", LOWER(Tabla114[[#This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IF(Tabla114[[#This Row],[Cantidad]] &gt; 0,CEILING(( Tabla114[[#This Row],[Cantidad]]*Tabla114[[#This Row],[Precio]]) - IF(ISNUMBER(FIND("x", LOWER(G36))), ( Tabla114[[#This Row],[Cantidad]]* Tabla114[[#This Row],[Precio]] * IF(ISNUMBER(FIND("aceite", LOWER(Tabla114[[#This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IF(Tabla114[[#This Row],[Cantidad]] &gt; 0,CEILING(( Tabla114[[#This Row],[Cantidad]]*Tabla114[[#This Row],[Precio]]) - IF(ISNUMBER(FIND("x", LOWER(G37))), ( Tabla114[[#This Row],[Cantidad]]* Tabla114[[#This Row],[Precio]] * IF(ISNUMBER(FIND("aceite", LOWER(Tabla114[[#This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IF(Tabla114[[#This Row],[Cantidad]] &gt; 0,CEILING(( Tabla114[[#This Row],[Cantidad]]*Tabla114[[#This Row],[Precio]]) - IF(ISNUMBER(FIND("x", LOWER(G38))), ( Tabla114[[#This Row],[Cantidad]]* Tabla114[[#This Row],[Precio]] * IF(ISNUMBER(FIND("aceite", LOWER(Tabla114[[#This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IF(Tabla114[[#This Row],[Cantidad]] &gt; 0,CEILING(( Tabla114[[#This Row],[Cantidad]]*Tabla114[[#This Row],[Precio]]) - IF(ISNUMBER(FIND("x", LOWER(G39))), ( Tabla114[[#This Row],[Cantidad]]* Tabla114[[#This Row],[Precio]] * IF(ISNUMBER(FIND("aceite", LOWER(Tabla114[[#This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IF(Tabla114[[#This Row],[Cantidad]] &gt; 0,CEILING(( Tabla114[[#This Row],[Cantidad]]*Tabla114[[#This Row],[Precio]]) - IF(ISNUMBER(FIND("x", LOWER(G40))), ( Tabla114[[#This Row],[Cantidad]]* Tabla114[[#This Row],[Precio]] * IF(ISNUMBER(FIND("aceite", LOWER(Tabla114[[#This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IF(Tabla114[[#This Row],[Cantidad]] &gt; 0,CEILING(( Tabla114[[#This Row],[Cantidad]]*Tabla114[[#This Row],[Precio]]) - IF(ISNUMBER(FIND("x", LOWER(G41))), ( Tabla114[[#This Row],[Cantidad]]* Tabla114[[#This Row],[Precio]] * IF(ISNUMBER(FIND("aceite", LOWER(Tabla114[[#This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IF(Tabla114[[#This Row],[Cantidad]] &gt; 0,CEILING(( Tabla114[[#This Row],[Cantidad]]*Tabla114[[#This Row],[Precio]]) - IF(ISNUMBER(FIND("x", LOWER(G42))), ( Tabla114[[#This Row],[Cantidad]]* Tabla114[[#This Row],[Precio]] * IF(ISNUMBER(FIND("aceite", LOWER(Tabla114[[#This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IF(Tabla114[[#This Row],[Cantidad]] &gt; 0,CEILING(( Tabla114[[#This Row],[Cantidad]]*Tabla114[[#This Row],[Precio]]) - IF(ISNUMBER(FIND("x", LOWER(G43))), ( Tabla114[[#This Row],[Cantidad]]* Tabla114[[#This Row],[Precio]] * IF(ISNUMBER(FIND("aceite", LOWER(Tabla114[[#This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IF(Tabla114[[#This Row],[Cantidad]] &gt; 0,CEILING(( Tabla114[[#This Row],[Cantidad]]*Tabla114[[#This Row],[Precio]]) - IF(ISNUMBER(FIND("x", LOWER(G44))), ( Tabla114[[#This Row],[Cantidad]]* Tabla114[[#This Row],[Precio]] * IF(ISNUMBER(FIND("aceite", LOWER(Tabla114[[#This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IF(Tabla114[[#This Row],[Cantidad]] &gt; 0,CEILING(( Tabla114[[#This Row],[Cantidad]]*Tabla114[[#This Row],[Precio]]) - IF(ISNUMBER(FIND("x", LOWER(G45))), ( Tabla114[[#This Row],[Cantidad]]* Tabla114[[#This Row],[Precio]] * IF(ISNUMBER(FIND("aceite", LOWER(Tabla114[[#This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IF(Tabla114[[#This Row],[Cantidad]] &gt; 0,CEILING(( Tabla114[[#This Row],[Cantidad]]*Tabla114[[#This Row],[Precio]]) - IF(ISNUMBER(FIND("x", LOWER(G46))), ( Tabla114[[#This Row],[Cantidad]]* Tabla114[[#This Row],[Precio]] * IF(ISNUMBER(FIND("aceite", LOWER(Tabla114[[#This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IF(Tabla114[[#This Row],[Cantidad]] &gt; 0,CEILING(( Tabla114[[#This Row],[Cantidad]]*Tabla114[[#This Row],[Precio]]) - IF(ISNUMBER(FIND("x", LOWER(G47))), ( Tabla114[[#This Row],[Cantidad]]* Tabla114[[#This Row],[Precio]] * IF(ISNUMBER(FIND("aceite", LOWER(Tabla114[[#This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IF(Tabla114[[#This Row],[Cantidad]] &gt; 0,CEILING(( Tabla114[[#This Row],[Cantidad]]*Tabla114[[#This Row],[Precio]]) - IF(ISNUMBER(FIND("x", LOWER(G48))), ( Tabla114[[#This Row],[Cantidad]]* Tabla114[[#This Row],[Precio]] * IF(ISNUMBER(FIND("aceite", LOWER(Tabla114[[#This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IF(Tabla114[[#This Row],[Cantidad]] &gt; 0,CEILING(( Tabla114[[#This Row],[Cantidad]]*Tabla114[[#This Row],[Precio]]) - IF(ISNUMBER(FIND("x", LOWER(G49))), ( Tabla114[[#This Row],[Cantidad]]* Tabla114[[#This Row],[Precio]] * IF(ISNUMBER(FIND("aceite", LOWER(Tabla114[[#This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IF(Tabla114[[#This Row],[Cantidad]] &gt; 0,CEILING(( Tabla114[[#This Row],[Cantidad]]*Tabla114[[#This Row],[Precio]]) - IF(ISNUMBER(FIND("x", LOWER(G50))), ( Tabla114[[#This Row],[Cantidad]]* Tabla114[[#This Row],[Precio]] * IF(ISNUMBER(FIND("aceite", LOWER(Tabla114[[#This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IF(Tabla114[[#This Row],[Cantidad]] &gt; 0,CEILING(( Tabla114[[#This Row],[Cantidad]]*Tabla114[[#This Row],[Precio]]) - IF(ISNUMBER(FIND("x", LOWER(G51))), ( Tabla114[[#This Row],[Cantidad]]* Tabla114[[#This Row],[Precio]] * IF(ISNUMBER(FIND("aceite", LOWER(Tabla114[[#This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IF(Tabla114[[#This Row],[Cantidad]] &gt; 0,CEILING(( Tabla114[[#This Row],[Cantidad]]*Tabla114[[#This Row],[Precio]]) - IF(ISNUMBER(FIND("x", LOWER(G52))), ( Tabla114[[#This Row],[Cantidad]]* Tabla114[[#This Row],[Precio]] * IF(ISNUMBER(FIND("aceite", LOWER(Tabla114[[#This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IF(Tabla114[[#This Row],[Cantidad]] &gt; 0,CEILING(( Tabla114[[#This Row],[Cantidad]]*Tabla114[[#This Row],[Precio]]) - IF(ISNUMBER(FIND("x", LOWER(G53))), ( Tabla114[[#This Row],[Cantidad]]* Tabla114[[#This Row],[Precio]] * IF(ISNUMBER(FIND("aceite", LOWER(Tabla114[[#This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IF(Tabla114[[#This Row],[Cantidad]] &gt; 0,CEILING(( Tabla114[[#This Row],[Cantidad]]*Tabla114[[#This Row],[Precio]]) - IF(ISNUMBER(FIND("x", LOWER(G54))), ( Tabla114[[#This Row],[Cantidad]]* Tabla114[[#This Row],[Precio]] * IF(ISNUMBER(FIND("aceite", LOWER(Tabla114[[#This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IF(Tabla114[[#This Row],[Cantidad]] &gt; 0,CEILING(( Tabla114[[#This Row],[Cantidad]]*Tabla114[[#This Row],[Precio]]) - IF(ISNUMBER(FIND("x", LOWER(G55))), ( Tabla114[[#This Row],[Cantidad]]* Tabla114[[#This Row],[Precio]] * IF(ISNUMBER(FIND("aceite", LOWER(Tabla114[[#This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IF(Tabla114[[#This Row],[Cantidad]] &gt; 0,CEILING(( Tabla114[[#This Row],[Cantidad]]*Tabla114[[#This Row],[Precio]]) - IF(ISNUMBER(FIND("x", LOWER(G56))), ( Tabla114[[#This Row],[Cantidad]]* Tabla114[[#This Row],[Precio]] * IF(ISNUMBER(FIND("aceite", LOWER(Tabla114[[#This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IF(Tabla114[[#This Row],[Cantidad]] &gt; 0,CEILING(( Tabla114[[#This Row],[Cantidad]]*Tabla114[[#This Row],[Precio]]) - IF(ISNUMBER(FIND("x", LOWER(G57))), ( Tabla114[[#This Row],[Cantidad]]* Tabla114[[#This Row],[Precio]] * IF(ISNUMBER(FIND("aceite", LOWER(Tabla114[[#This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IF(Tabla114[[#This Row],[Cantidad]] &gt; 0,CEILING(( Tabla114[[#This Row],[Cantidad]]*Tabla114[[#This Row],[Precio]]) - IF(ISNUMBER(FIND("x", LOWER(G58))), ( Tabla114[[#This Row],[Cantidad]]* Tabla114[[#This Row],[Precio]] * IF(ISNUMBER(FIND("aceite", LOWER(Tabla114[[#This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IF(Tabla114[[#This Row],[Cantidad]] &gt; 0,CEILING(( Tabla114[[#This Row],[Cantidad]]*Tabla114[[#This Row],[Precio]]) - IF(ISNUMBER(FIND("x", LOWER(G59))), ( Tabla114[[#This Row],[Cantidad]]* Tabla114[[#This Row],[Precio]] * IF(ISNUMBER(FIND("aceite", LOWER(Tabla114[[#This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IF(Tabla114[[#This Row],[Cantidad]] &gt; 0,CEILING(( Tabla114[[#This Row],[Cantidad]]*Tabla114[[#This Row],[Precio]]) - IF(ISNUMBER(FIND("x", LOWER(G60))), ( Tabla114[[#This Row],[Cantidad]]* Tabla114[[#This Row],[Precio]] * IF(ISNUMBER(FIND("aceite", LOWER(Tabla114[[#This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IF(Tabla114[[#This Row],[Cantidad]] &gt; 0,CEILING(( Tabla114[[#This Row],[Cantidad]]*Tabla114[[#This Row],[Precio]]) - IF(ISNUMBER(FIND("x", LOWER(G61))), ( Tabla114[[#This Row],[Cantidad]]* Tabla114[[#This Row],[Precio]] * IF(ISNUMBER(FIND("aceite", LOWER(Tabla114[[#This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IF(Tabla114[[#This Row],[Cantidad]] &gt; 0,CEILING(( Tabla114[[#This Row],[Cantidad]]*Tabla114[[#This Row],[Precio]]) - IF(ISNUMBER(FIND("x", LOWER(G62))), ( Tabla114[[#This Row],[Cantidad]]* Tabla114[[#This Row],[Precio]] * IF(ISNUMBER(FIND("aceite", LOWER(Tabla114[[#This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IF(Tabla114[[#This Row],[Cantidad]] &gt; 0,CEILING(( Tabla114[[#This Row],[Cantidad]]*Tabla114[[#This Row],[Precio]]) - IF(ISNUMBER(FIND("x", LOWER(G63))), ( Tabla114[[#This Row],[Cantidad]]* Tabla114[[#This Row],[Precio]] * IF(ISNUMBER(FIND("aceite", LOWER(Tabla114[[#This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IF(Tabla114[[#This Row],[Cantidad]] &gt; 0,CEILING(( Tabla114[[#This Row],[Cantidad]]*Tabla114[[#This Row],[Precio]]) - IF(ISNUMBER(FIND("x", LOWER(G64))), ( Tabla114[[#This Row],[Cantidad]]* Tabla114[[#This Row],[Precio]] * IF(ISNUMBER(FIND("aceite", LOWER(Tabla114[[#This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IF(Tabla114[[#This Row],[Cantidad]] &gt; 0,CEILING(( Tabla114[[#This Row],[Cantidad]]*Tabla114[[#This Row],[Precio]]) - IF(ISNUMBER(FIND("x", LOWER(G65))), ( Tabla114[[#This Row],[Cantidad]]* Tabla114[[#This Row],[Precio]] * IF(ISNUMBER(FIND("aceite", LOWER(Tabla114[[#This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IF(Tabla114[[#This Row],[Cantidad]] &gt; 0,CEILING(( Tabla114[[#This Row],[Cantidad]]*Tabla114[[#This Row],[Precio]]) - IF(ISNUMBER(FIND("x", LOWER(G66))), ( Tabla114[[#This Row],[Cantidad]]* Tabla114[[#This Row],[Precio]] * IF(ISNUMBER(FIND("aceite", LOWER(Tabla114[[#This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IF(Tabla114[[#This Row],[Cantidad]] &gt; 0,CEILING(( Tabla114[[#This Row],[Cantidad]]*Tabla114[[#This Row],[Precio]]) - IF(ISNUMBER(FIND("x", LOWER(G67))), ( Tabla114[[#This Row],[Cantidad]]* Tabla114[[#This Row],[Precio]] * IF(ISNUMBER(FIND("aceite", LOWER(Tabla114[[#This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IF(Tabla114[[#This Row],[Cantidad]] &gt; 0,CEILING(( Tabla114[[#This Row],[Cantidad]]*Tabla114[[#This Row],[Precio]]) - IF(ISNUMBER(FIND("x", LOWER(G68))), ( Tabla114[[#This Row],[Cantidad]]* Tabla114[[#This Row],[Precio]] * IF(ISNUMBER(FIND("aceite", LOWER(Tabla114[[#This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IF(Tabla114[[#This Row],[Cantidad]] &gt; 0,CEILING(( Tabla114[[#This Row],[Cantidad]]*Tabla114[[#This Row],[Precio]]) - IF(ISNUMBER(FIND("x", LOWER(G69))), ( Tabla114[[#This Row],[Cantidad]]* Tabla114[[#This Row],[Precio]] * IF(ISNUMBER(FIND("aceite", LOWER(Tabla114[[#This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IF(Tabla114[[#This Row],[Cantidad]] &gt; 0,CEILING(( Tabla114[[#This Row],[Cantidad]]*Tabla114[[#This Row],[Precio]]) - IF(ISNUMBER(FIND("x", LOWER(G70))), ( Tabla114[[#This Row],[Cantidad]]* Tabla114[[#This Row],[Precio]] * IF(ISNUMBER(FIND("aceite", LOWER(Tabla114[[#This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IF(Tabla114[[#This Row],[Cantidad]] &gt; 0,CEILING(( Tabla114[[#This Row],[Cantidad]]*Tabla114[[#This Row],[Precio]]) - IF(ISNUMBER(FIND("x", LOWER(G71))), ( Tabla114[[#This Row],[Cantidad]]* Tabla114[[#This Row],[Precio]] * IF(ISNUMBER(FIND("aceite", LOWER(Tabla114[[#This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IF(Tabla114[[#This Row],[Cantidad]] &gt; 0,CEILING(( Tabla114[[#This Row],[Cantidad]]*Tabla114[[#This Row],[Precio]]) - IF(ISNUMBER(FIND("x", LOWER(G72))), ( Tabla114[[#This Row],[Cantidad]]* Tabla114[[#This Row],[Precio]] * IF(ISNUMBER(FIND("aceite", LOWER(Tabla114[[#This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IF(Tabla114[[#This Row],[Cantidad]] &gt; 0,CEILING(( Tabla114[[#This Row],[Cantidad]]*Tabla114[[#This Row],[Precio]]) - IF(ISNUMBER(FIND("x", LOWER(G73))), ( Tabla114[[#This Row],[Cantidad]]* Tabla114[[#This Row],[Precio]] * IF(ISNUMBER(FIND("aceite", LOWER(Tabla114[[#This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IF(Tabla114[[#This Row],[Cantidad]] &gt; 0,CEILING(( Tabla114[[#This Row],[Cantidad]]*Tabla114[[#This Row],[Precio]]) - IF(ISNUMBER(FIND("x", LOWER(G74))), ( Tabla114[[#This Row],[Cantidad]]* Tabla114[[#This Row],[Precio]] * IF(ISNUMBER(FIND("aceite", LOWER(Tabla114[[#This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IF(Tabla114[[#This Row],[Cantidad]] &gt; 0,CEILING(( Tabla114[[#This Row],[Cantidad]]*Tabla114[[#This Row],[Precio]]) - IF(ISNUMBER(FIND("x", LOWER(G75))), ( Tabla114[[#This Row],[Cantidad]]* Tabla114[[#This Row],[Precio]] * IF(ISNUMBER(FIND("aceite", LOWER(Tabla114[[#This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IF(Tabla114[[#This Row],[Cantidad]] &gt; 0,CEILING(( Tabla114[[#This Row],[Cantidad]]*Tabla114[[#This Row],[Precio]]) - IF(ISNUMBER(FIND("x", LOWER(G76))), ( Tabla114[[#This Row],[Cantidad]]* Tabla114[[#This Row],[Precio]] * IF(ISNUMBER(FIND("aceite", LOWER(Tabla114[[#This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IF(Tabla114[[#This Row],[Cantidad]] &gt; 0,CEILING(( Tabla114[[#This Row],[Cantidad]]*Tabla114[[#This Row],[Precio]]) - IF(ISNUMBER(FIND("x", LOWER(G77))), ( Tabla114[[#This Row],[Cantidad]]* Tabla114[[#This Row],[Precio]] * IF(ISNUMBER(FIND("aceite", LOWER(Tabla114[[#This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IF(Tabla114[[#This Row],[Cantidad]] &gt; 0,CEILING(( Tabla114[[#This Row],[Cantidad]]*Tabla114[[#This Row],[Precio]]) - IF(ISNUMBER(FIND("x", LOWER(G78))), ( Tabla114[[#This Row],[Cantidad]]* Tabla114[[#This Row],[Precio]] * IF(ISNUMBER(FIND("aceite", LOWER(Tabla114[[#This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IF(Tabla114[[#This Row],[Cantidad]] &gt; 0,CEILING(( Tabla114[[#This Row],[Cantidad]]*Tabla114[[#This Row],[Precio]]) - IF(ISNUMBER(FIND("x", LOWER(G79))), ( Tabla114[[#This Row],[Cantidad]]* Tabla114[[#This Row],[Precio]] * IF(ISNUMBER(FIND("aceite", LOWER(Tabla114[[#This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IF(Tabla114[[#This Row],[Cantidad]] &gt; 0,CEILING(( Tabla114[[#This Row],[Cantidad]]*Tabla114[[#This Row],[Precio]]) - IF(ISNUMBER(FIND("x", LOWER(G80))), ( Tabla114[[#This Row],[Cantidad]]* Tabla114[[#This Row],[Precio]] * IF(ISNUMBER(FIND("aceite", LOWER(Tabla114[[#This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IF(Tabla114[[#This Row],[Cantidad]] &gt; 0,CEILING(( Tabla114[[#This Row],[Cantidad]]*Tabla114[[#This Row],[Precio]]) - IF(ISNUMBER(FIND("x", LOWER(G81))), ( Tabla114[[#This Row],[Cantidad]]* Tabla114[[#This Row],[Precio]] * IF(ISNUMBER(FIND("aceite", LOWER(Tabla114[[#This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IF(Tabla114[[#This Row],[Cantidad]] &gt; 0,CEILING(( Tabla114[[#This Row],[Cantidad]]*Tabla114[[#This Row],[Precio]]) - IF(ISNUMBER(FIND("x", LOWER(G82))), ( Tabla114[[#This Row],[Cantidad]]* Tabla114[[#This Row],[Precio]] * IF(ISNUMBER(FIND("aceite", LOWER(Tabla114[[#This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IF(Tabla114[[#This Row],[Cantidad]] &gt; 0,CEILING(( Tabla114[[#This Row],[Cantidad]]*Tabla114[[#This Row],[Precio]]) - IF(ISNUMBER(FIND("x", LOWER(G83))), ( Tabla114[[#This Row],[Cantidad]]* Tabla114[[#This Row],[Precio]] * IF(ISNUMBER(FIND("aceite", LOWER(Tabla114[[#This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IF(Tabla114[[#This Row],[Cantidad]] &gt; 0,CEILING(( Tabla114[[#This Row],[Cantidad]]*Tabla114[[#This Row],[Precio]]) - IF(ISNUMBER(FIND("x", LOWER(G84))), ( Tabla114[[#This Row],[Cantidad]]* Tabla114[[#This Row],[Precio]] * IF(ISNUMBER(FIND("aceite", LOWER(Tabla114[[#This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IF(Tabla114[[#This Row],[Cantidad]] &gt; 0,CEILING(( Tabla114[[#This Row],[Cantidad]]*Tabla114[[#This Row],[Precio]]) - IF(ISNUMBER(FIND("x", LOWER(G85))), ( Tabla114[[#This Row],[Cantidad]]* Tabla114[[#This Row],[Precio]] * IF(ISNUMBER(FIND("aceite", LOWER(Tabla114[[#This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IF(Tabla114[[#This Row],[Cantidad]] &gt; 0,CEILING(( Tabla114[[#This Row],[Cantidad]]*Tabla114[[#This Row],[Precio]]) - IF(ISNUMBER(FIND("x", LOWER(G86))), ( Tabla114[[#This Row],[Cantidad]]* Tabla114[[#This Row],[Precio]] * IF(ISNUMBER(FIND("aceite", LOWER(Tabla114[[#This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IF(Tabla114[[#This Row],[Cantidad]] &gt; 0,CEILING(( Tabla114[[#This Row],[Cantidad]]*Tabla114[[#This Row],[Precio]]) - IF(ISNUMBER(FIND("x", LOWER(G87))), ( Tabla114[[#This Row],[Cantidad]]* Tabla114[[#This Row],[Precio]] * IF(ISNUMBER(FIND("aceite", LOWER(Tabla114[[#This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IF(Tabla114[[#This Row],[Cantidad]] &gt; 0,CEILING(( Tabla114[[#This Row],[Cantidad]]*Tabla114[[#This Row],[Precio]]) - IF(ISNUMBER(FIND("x", LOWER(G88))), ( Tabla114[[#This Row],[Cantidad]]* Tabla114[[#This Row],[Precio]] * IF(ISNUMBER(FIND("aceite", LOWER(Tabla114[[#This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IF(Tabla114[[#This Row],[Cantidad]] &gt; 0,CEILING(( Tabla114[[#This Row],[Cantidad]]*Tabla114[[#This Row],[Precio]]) - IF(ISNUMBER(FIND("x", LOWER(G89))), ( Tabla114[[#This Row],[Cantidad]]* Tabla114[[#This Row],[Precio]] * IF(ISNUMBER(FIND("aceite", LOWER(Tabla114[[#This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IF(Tabla114[[#This Row],[Cantidad]] &gt; 0,CEILING(( Tabla114[[#This Row],[Cantidad]]*Tabla114[[#This Row],[Precio]]) - IF(ISNUMBER(FIND("x", LOWER(G90))), ( Tabla114[[#This Row],[Cantidad]]* Tabla114[[#This Row],[Precio]] * IF(ISNUMBER(FIND("aceite", LOWER(Tabla114[[#This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IF(Tabla114[[#This Row],[Cantidad]] &gt; 0,CEILING(( Tabla114[[#This Row],[Cantidad]]*Tabla114[[#This Row],[Precio]]) - IF(ISNUMBER(FIND("x", LOWER(G91))), ( Tabla114[[#This Row],[Cantidad]]* Tabla114[[#This Row],[Precio]] * IF(ISNUMBER(FIND("aceite", LOWER(Tabla114[[#This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IF(Tabla114[[#This Row],[Cantidad]] &gt; 0,CEILING(( Tabla114[[#This Row],[Cantidad]]*Tabla114[[#This Row],[Precio]]) - IF(ISNUMBER(FIND("x", LOWER(G92))), ( Tabla114[[#This Row],[Cantidad]]* Tabla114[[#This Row],[Precio]] * IF(ISNUMBER(FIND("aceite", LOWER(Tabla114[[#This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IF(Tabla114[[#This Row],[Cantidad]] &gt; 0,CEILING(( Tabla114[[#This Row],[Cantidad]]*Tabla114[[#This Row],[Precio]]) - IF(ISNUMBER(FIND("x", LOWER(G93))), ( Tabla114[[#This Row],[Cantidad]]* Tabla114[[#This Row],[Precio]] * IF(ISNUMBER(FIND("aceite", LOWER(Tabla114[[#This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IF(Tabla114[[#This Row],[Cantidad]] &gt; 0,CEILING(( Tabla114[[#This Row],[Cantidad]]*Tabla114[[#This Row],[Precio]]) - IF(ISNUMBER(FIND("x", LOWER(G94))), ( Tabla114[[#This Row],[Cantidad]]* Tabla114[[#This Row],[Precio]] * IF(ISNUMBER(FIND("aceite", LOWER(Tabla114[[#This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IF(Tabla114[[#This Row],[Cantidad]] &gt; 0,CEILING(( Tabla114[[#This Row],[Cantidad]]*Tabla114[[#This Row],[Precio]]) - IF(ISNUMBER(FIND("x", LOWER(G95))), ( Tabla114[[#This Row],[Cantidad]]* Tabla114[[#This Row],[Precio]] * IF(ISNUMBER(FIND("aceite", LOWER(Tabla114[[#This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IF(Tabla114[[#This Row],[Cantidad]] &gt; 0,CEILING(( Tabla114[[#This Row],[Cantidad]]*Tabla114[[#This Row],[Precio]]) - IF(ISNUMBER(FIND("x", LOWER(G96))), ( Tabla114[[#This Row],[Cantidad]]* Tabla114[[#This Row],[Precio]] * IF(ISNUMBER(FIND("aceite", LOWER(Tabla114[[#This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IF(Tabla114[[#This Row],[Cantidad]] &gt; 0,CEILING(( Tabla114[[#This Row],[Cantidad]]*Tabla114[[#This Row],[Precio]]) - IF(ISNUMBER(FIND("x", LOWER(G97))), ( Tabla114[[#This Row],[Cantidad]]* Tabla114[[#This Row],[Precio]] * IF(ISNUMBER(FIND("aceite", LOWER(Tabla114[[#This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IF(Tabla114[[#This Row],[Cantidad]] &gt; 0,CEILING(( Tabla114[[#This Row],[Cantidad]]*Tabla114[[#This Row],[Precio]]) - IF(ISNUMBER(FIND("x", LOWER(G98))), ( Tabla114[[#This Row],[Cantidad]]* Tabla114[[#This Row],[Precio]] * IF(ISNUMBER(FIND("aceite", LOWER(Tabla114[[#This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IF(Tabla114[[#This Row],[Cantidad]] &gt; 0,CEILING(( Tabla114[[#This Row],[Cantidad]]*Tabla114[[#This Row],[Precio]]) - IF(ISNUMBER(FIND("x", LOWER(G99))), ( Tabla114[[#This Row],[Cantidad]]* Tabla114[[#This Row],[Precio]] * IF(ISNUMBER(FIND("aceite", LOWER(Tabla114[[#This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IF(Tabla114[[#This Row],[Cantidad]] &gt; 0,CEILING(( Tabla114[[#This Row],[Cantidad]]*Tabla114[[#This Row],[Precio]]) - IF(ISNUMBER(FIND("x", LOWER(G100))), ( Tabla114[[#This Row],[Cantidad]]* Tabla114[[#This Row],[Precio]] * IF(ISNUMBER(FIND("aceite", LOWER(Tabla114[[#This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IF(Tabla114[[#This Row],[Cantidad]] &gt; 0,CEILING(( Tabla114[[#This Row],[Cantidad]]*Tabla114[[#This Row],[Precio]]) - IF(ISNUMBER(FIND("x", LOWER(G101))), ( Tabla114[[#This Row],[Cantidad]]* Tabla114[[#This Row],[Precio]] * IF(ISNUMBER(FIND("aceite", LOWER(Tabla114[[#This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IF(Tabla114[[#This Row],[Cantidad]] &gt; 0,CEILING(( Tabla114[[#This Row],[Cantidad]]*Tabla114[[#This Row],[Precio]]) - IF(ISNUMBER(FIND("x", LOWER(G102))), ( Tabla114[[#This Row],[Cantidad]]* Tabla114[[#This Row],[Precio]] * IF(ISNUMBER(FIND("aceite", LOWER(Tabla114[[#This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IF(Tabla114[[#This Row],[Cantidad]] &gt; 0,CEILING(( Tabla114[[#This Row],[Cantidad]]*Tabla114[[#This Row],[Precio]]) - IF(ISNUMBER(FIND("x", LOWER(G103))), ( Tabla114[[#This Row],[Cantidad]]* Tabla114[[#This Row],[Precio]] * IF(ISNUMBER(FIND("aceite", LOWER(Tabla114[[#This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7" priority="2">
      <formula>E5&gt;0&amp;ISBLANK(D5)</formula>
    </cfRule>
  </conditionalFormatting>
  <conditionalFormatting sqref="B5:B103">
    <cfRule type="expression" dxfId="6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R103"/>
  <sheetViews>
    <sheetView zoomScale="85" zoomScaleNormal="85" workbookViewId="0">
      <selection activeCell="D5" sqref="D5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15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18</v>
      </c>
      <c r="K3" s="5">
        <f>SUM(Tabla115[Importa])</f>
        <v>0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24</v>
      </c>
      <c r="C4" t="s">
        <v>16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19</v>
      </c>
      <c r="K4" s="8">
        <f>COUNTIF(C5:C103,"&gt;0")</f>
        <v>0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 t="str">
        <f t="shared" ref="C5:C68" si="0">IF(ISNUMBER(E5), IF(ISNUMBER(C4), C4+1, 1), "")</f>
        <v/>
      </c>
      <c r="H5" s="4" t="str">
        <f>IF(Tabla115[[#This Row],[Cantidad]] &gt; 0,CEILING(( Tabla115[[#This Row],[Cantidad]]*Tabla115[[#This Row],[Precio]]) - IF(ISNUMBER(FIND("x", LOWER(G5))), ( Tabla115[[#This Row],[Cantidad]]* Tabla115[[#This Row],[Precio]] * IF(ISNUMBER(FIND("aceite", LOWER(Tabla115[[#This Row],[Producto]]))), 0.05, 0.1)), 0), 0.5), "")</f>
        <v/>
      </c>
      <c r="J5" s="29" t="s">
        <v>12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 t="str">
        <f t="shared" si="0"/>
        <v/>
      </c>
      <c r="H6" s="4" t="str">
        <f>IF(Tabla115[[#This Row],[Cantidad]] &gt; 0,CEILING(( Tabla115[[#This Row],[Cantidad]]*Tabla115[[#This Row],[Precio]]) - IF(ISNUMBER(FIND("x", LOWER(G6))), ( Tabla115[[#This Row],[Cantidad]]* Tabla115[[#This Row],[Precio]] * IF(ISNUMBER(FIND("aceite", LOWER(Tabla115[[#This Row],[Producto]]))), 0.05, 0.1)), 0), 0.5), "")</f>
        <v/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 t="str">
        <f t="shared" si="0"/>
        <v/>
      </c>
      <c r="H7" s="4" t="str">
        <f>IF(Tabla115[[#This Row],[Cantidad]] &gt; 0,CEILING(( Tabla115[[#This Row],[Cantidad]]*Tabla115[[#This Row],[Precio]]) - IF(ISNUMBER(FIND("x", LOWER(G7))), ( Tabla115[[#This Row],[Cantidad]]* Tabla115[[#This Row],[Precio]] * IF(ISNUMBER(FIND("aceite", LOWER(Tabla115[[#This Row],[Producto]]))), 0.05, 0.1)), 0), 0.5), "")</f>
        <v/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 t="str">
        <f t="shared" si="0"/>
        <v/>
      </c>
      <c r="H8" s="4" t="str">
        <f>IF(Tabla115[[#This Row],[Cantidad]] &gt; 0,CEILING(( Tabla115[[#This Row],[Cantidad]]*Tabla115[[#This Row],[Precio]]) - IF(ISNUMBER(FIND("x", LOWER(G8))), ( Tabla115[[#This Row],[Cantidad]]* Tabla115[[#This Row],[Precio]] * IF(ISNUMBER(FIND("aceite", LOWER(Tabla115[[#This Row],[Producto]]))), 0.05, 0.1)), 0), 0.5), "")</f>
        <v/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 t="str">
        <f t="shared" si="0"/>
        <v/>
      </c>
      <c r="H9" s="4" t="str">
        <f>IF(Tabla115[[#This Row],[Cantidad]] &gt; 0,CEILING(( Tabla115[[#This Row],[Cantidad]]*Tabla115[[#This Row],[Precio]]) - IF(ISNUMBER(FIND("x", LOWER(G9))), ( Tabla115[[#This Row],[Cantidad]]* Tabla115[[#This Row],[Precio]] * IF(ISNUMBER(FIND("aceite", LOWER(Tabla115[[#This Row],[Producto]]))), 0.05, 0.1)), 0), 0.5), "")</f>
        <v/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/>
      <c r="C10" t="str">
        <f t="shared" si="0"/>
        <v/>
      </c>
      <c r="H10" s="4" t="str">
        <f>IF(Tabla115[[#This Row],[Cantidad]] &gt; 0,CEILING(( Tabla115[[#This Row],[Cantidad]]*Tabla115[[#This Row],[Precio]]) - IF(ISNUMBER(FIND("x", LOWER(G10))), ( Tabla115[[#This Row],[Cantidad]]* Tabla115[[#This Row],[Precio]] * IF(ISNUMBER(FIND("aceite", LOWER(Tabla115[[#This Row],[Producto]]))), 0.05, 0.1)), 0), 0.5), "")</f>
        <v/>
      </c>
      <c r="J10" s="30" t="s">
        <v>31</v>
      </c>
      <c r="K10" s="32" t="str">
        <f>IF(K4&lt;&gt;0,COUNTIF(G5:G103, "x")/K4, "")</f>
        <v/>
      </c>
      <c r="M10" s="18"/>
      <c r="N10" s="18"/>
      <c r="O10" s="18"/>
      <c r="P10" s="18"/>
      <c r="Q10" s="18"/>
      <c r="R10" s="18"/>
    </row>
    <row r="11" spans="2:18" x14ac:dyDescent="0.25">
      <c r="B11" s="13"/>
      <c r="C11" t="str">
        <f t="shared" si="0"/>
        <v/>
      </c>
      <c r="H11" s="4" t="str">
        <f>IF(Tabla115[[#This Row],[Cantidad]] &gt; 0,CEILING(( Tabla115[[#This Row],[Cantidad]]*Tabla115[[#This Row],[Precio]]) - IF(ISNUMBER(FIND("x", LOWER(G11))), ( Tabla115[[#This Row],[Cantidad]]* Tabla115[[#This Row],[Precio]] * IF(ISNUMBER(FIND("aceite", LOWER(Tabla115[[#This Row],[Producto]]))), 0.05, 0.1)), 0), 0.5), "")</f>
        <v/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/>
      <c r="C12" t="str">
        <f t="shared" si="0"/>
        <v/>
      </c>
      <c r="H12" s="4" t="str">
        <f>IF(Tabla115[[#This Row],[Cantidad]] &gt; 0,CEILING(( Tabla115[[#This Row],[Cantidad]]*Tabla115[[#This Row],[Precio]]) - IF(ISNUMBER(FIND("x", LOWER(G12))), ( Tabla115[[#This Row],[Cantidad]]* Tabla115[[#This Row],[Precio]] * IF(ISNUMBER(FIND("aceite", LOWER(Tabla115[[#This Row],[Producto]]))), 0.05, 0.1)), 0), 0.5), "")</f>
        <v/>
      </c>
      <c r="J12" s="30" t="s">
        <v>32</v>
      </c>
      <c r="K12" s="32" t="str">
        <f>IF(K4&lt;&gt;0,(K4-COUNTIF(G5:G103,"x"))/K4,"")</f>
        <v/>
      </c>
      <c r="M12" s="18"/>
      <c r="N12" s="18"/>
      <c r="O12" s="18"/>
      <c r="P12" s="18"/>
      <c r="Q12" s="18"/>
      <c r="R12" s="18"/>
    </row>
    <row r="13" spans="2:18" x14ac:dyDescent="0.25">
      <c r="B13" s="13"/>
      <c r="C13" t="str">
        <f t="shared" si="0"/>
        <v/>
      </c>
      <c r="H13" s="4" t="str">
        <f>IF(Tabla115[[#This Row],[Cantidad]] &gt; 0,CEILING(( Tabla115[[#This Row],[Cantidad]]*Tabla115[[#This Row],[Precio]]) - IF(ISNUMBER(FIND("x", LOWER(G13))), ( Tabla115[[#This Row],[Cantidad]]* Tabla115[[#This Row],[Precio]] * IF(ISNUMBER(FIND("aceite", LOWER(Tabla115[[#This Row],[Producto]]))), 0.05, 0.1)), 0), 0.5), "")</f>
        <v/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 t="str">
        <f t="shared" si="0"/>
        <v/>
      </c>
      <c r="H14" s="4" t="str">
        <f>IF(Tabla115[[#This Row],[Cantidad]] &gt; 0,CEILING(( Tabla115[[#This Row],[Cantidad]]*Tabla115[[#This Row],[Precio]]) - IF(ISNUMBER(FIND("x", LOWER(G14))), ( Tabla115[[#This Row],[Cantidad]]* Tabla115[[#This Row],[Precio]] * IF(ISNUMBER(FIND("aceite", LOWER(Tabla115[[#This Row],[Producto]]))), 0.05, 0.1)), 0), 0.5), "")</f>
        <v/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0"/>
        <v/>
      </c>
      <c r="H15" s="4" t="str">
        <f>IF(Tabla115[[#This Row],[Cantidad]] &gt; 0,CEILING(( Tabla115[[#This Row],[Cantidad]]*Tabla115[[#This Row],[Precio]]) - IF(ISNUMBER(FIND("x", LOWER(G15))), ( Tabla115[[#This Row],[Cantidad]]* Tabla115[[#This Row],[Precio]] * IF(ISNUMBER(FIND("aceite", LOWER(Tabla115[[#This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/>
      <c r="C16" t="str">
        <f t="shared" si="0"/>
        <v/>
      </c>
      <c r="H16" s="4" t="str">
        <f>IF(Tabla115[[#This Row],[Cantidad]] &gt; 0,CEILING(( Tabla115[[#This Row],[Cantidad]]*Tabla115[[#This Row],[Precio]]) - IF(ISNUMBER(FIND("x", LOWER(G16))), ( Tabla115[[#This Row],[Cantidad]]* Tabla115[[#This Row],[Precio]] * IF(ISNUMBER(FIND("aceite", LOWER(Tabla115[[#This Row],[Producto]]))), 0.05, 0.1)), 0), 0.5), "")</f>
        <v/>
      </c>
      <c r="J16" s="20" t="s">
        <v>26</v>
      </c>
      <c r="K16" s="22"/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 t="str">
        <f t="shared" si="0"/>
        <v/>
      </c>
      <c r="H17" s="4" t="str">
        <f>IF(Tabla115[[#This Row],[Cantidad]] &gt; 0,CEILING(( Tabla115[[#This Row],[Cantidad]]*Tabla115[[#This Row],[Precio]]) - IF(ISNUMBER(FIND("x", LOWER(G17))), ( Tabla115[[#This Row],[Cantidad]]* Tabla115[[#This Row],[Precio]] * IF(ISNUMBER(FIND("aceite", LOWER(Tabla115[[#This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 t="str">
        <f t="shared" si="0"/>
        <v/>
      </c>
      <c r="H18" s="4" t="str">
        <f>IF(Tabla115[[#This Row],[Cantidad]] &gt; 0,CEILING(( Tabla115[[#This Row],[Cantidad]]*Tabla115[[#This Row],[Precio]]) - IF(ISNUMBER(FIND("x", LOWER(G18))), ( Tabla115[[#This Row],[Cantidad]]* Tabla115[[#This Row],[Precio]] * IF(ISNUMBER(FIND("aceite", LOWER(Tabla115[[#This Row],[Producto]]))), 0.05, 0.1)), 0), 0.5), "")</f>
        <v/>
      </c>
      <c r="J18" s="23" t="s">
        <v>27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0"/>
        <v/>
      </c>
      <c r="H19" s="4" t="str">
        <f>IF(Tabla115[[#This Row],[Cantidad]] &gt; 0,CEILING(( Tabla115[[#This Row],[Cantidad]]*Tabla115[[#This Row],[Precio]]) - IF(ISNUMBER(FIND("x", LOWER(G19))), ( Tabla115[[#This Row],[Cantidad]]* Tabla115[[#This Row],[Precio]] * IF(ISNUMBER(FIND("aceite", LOWER(Tabla115[[#This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IF(Tabla115[[#This Row],[Cantidad]] &gt; 0,CEILING(( Tabla115[[#This Row],[Cantidad]]*Tabla115[[#This Row],[Precio]]) - IF(ISNUMBER(FIND("x", LOWER(G20))), ( Tabla115[[#This Row],[Cantidad]]* Tabla115[[#This Row],[Precio]] * IF(ISNUMBER(FIND("aceite", LOWER(Tabla115[[#This Row],[Producto]]))), 0.05, 0.1)), 0), 0.5), "")</f>
        <v/>
      </c>
      <c r="J20" s="26" t="s">
        <v>29</v>
      </c>
      <c r="K20" s="28">
        <f>K16-K18</f>
        <v>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IF(Tabla115[[#This Row],[Cantidad]] &gt; 0,CEILING(( Tabla115[[#This Row],[Cantidad]]*Tabla115[[#This Row],[Precio]]) - IF(ISNUMBER(FIND("x", LOWER(G21))), ( Tabla115[[#This Row],[Cantidad]]* Tabla115[[#This Row],[Precio]] * IF(ISNUMBER(FIND("aceite", LOWER(Tabla115[[#This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IF(Tabla115[[#This Row],[Cantidad]] &gt; 0,CEILING(( Tabla115[[#This Row],[Cantidad]]*Tabla115[[#This Row],[Precio]]) - IF(ISNUMBER(FIND("x", LOWER(G22))), ( Tabla115[[#This Row],[Cantidad]]* Tabla115[[#This Row],[Precio]] * IF(ISNUMBER(FIND("aceite", LOWER(Tabla115[[#This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IF(Tabla115[[#This Row],[Cantidad]] &gt; 0,CEILING(( Tabla115[[#This Row],[Cantidad]]*Tabla115[[#This Row],[Precio]]) - IF(ISNUMBER(FIND("x", LOWER(G23))), ( Tabla115[[#This Row],[Cantidad]]* Tabla115[[#This Row],[Precio]] * IF(ISNUMBER(FIND("aceite", LOWER(Tabla115[[#This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IF(Tabla115[[#This Row],[Cantidad]] &gt; 0,CEILING(( Tabla115[[#This Row],[Cantidad]]*Tabla115[[#This Row],[Precio]]) - IF(ISNUMBER(FIND("x", LOWER(G24))), ( Tabla115[[#This Row],[Cantidad]]* Tabla115[[#This Row],[Precio]] * IF(ISNUMBER(FIND("aceite", LOWER(Tabla115[[#This Row],[Producto]]))), 0.05, 0.1)), 0), 0.5), "")</f>
        <v/>
      </c>
      <c r="M24" s="41" t="s">
        <v>20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IF(Tabla115[[#This Row],[Cantidad]] &gt; 0,CEILING(( Tabla115[[#This Row],[Cantidad]]*Tabla115[[#This Row],[Precio]]) - IF(ISNUMBER(FIND("x", LOWER(G25))), ( Tabla115[[#This Row],[Cantidad]]* Tabla115[[#This Row],[Precio]] * IF(ISNUMBER(FIND("aceite", LOWER(Tabla115[[#This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IF(Tabla115[[#This Row],[Cantidad]] &gt; 0,CEILING(( Tabla115[[#This Row],[Cantidad]]*Tabla115[[#This Row],[Precio]]) - IF(ISNUMBER(FIND("x", LOWER(G26))), ( Tabla115[[#This Row],[Cantidad]]* Tabla115[[#This Row],[Precio]] * IF(ISNUMBER(FIND("aceite", LOWER(Tabla115[[#This Row],[Producto]]))), 0.05, 0.1)), 0), 0.5), "")</f>
        <v/>
      </c>
      <c r="M26" s="43" t="s">
        <v>21</v>
      </c>
      <c r="N26" s="43"/>
      <c r="O26" s="10" t="s">
        <v>22</v>
      </c>
      <c r="P26" s="43" t="s">
        <v>23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IF(Tabla115[[#This Row],[Cantidad]] &gt; 0,CEILING(( Tabla115[[#This Row],[Cantidad]]*Tabla115[[#This Row],[Precio]]) - IF(ISNUMBER(FIND("x", LOWER(G27))), ( Tabla115[[#This Row],[Cantidad]]* Tabla115[[#This Row],[Precio]] * IF(ISNUMBER(FIND("aceite", LOWER(Tabla115[[#This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IF(Tabla115[[#This Row],[Cantidad]] &gt; 0,CEILING(( Tabla115[[#This Row],[Cantidad]]*Tabla115[[#This Row],[Precio]]) - IF(ISNUMBER(FIND("x", LOWER(G28))), ( Tabla115[[#This Row],[Cantidad]]* Tabla115[[#This Row],[Precio]] * IF(ISNUMBER(FIND("aceite", LOWER(Tabla115[[#This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IF(Tabla115[[#This Row],[Cantidad]] &gt; 0,CEILING(( Tabla115[[#This Row],[Cantidad]]*Tabla115[[#This Row],[Precio]]) - IF(ISNUMBER(FIND("x", LOWER(G29))), ( Tabla115[[#This Row],[Cantidad]]* Tabla115[[#This Row],[Precio]] * IF(ISNUMBER(FIND("aceite", LOWER(Tabla115[[#This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IF(Tabla115[[#This Row],[Cantidad]] &gt; 0,CEILING(( Tabla115[[#This Row],[Cantidad]]*Tabla115[[#This Row],[Precio]]) - IF(ISNUMBER(FIND("x", LOWER(G30))), ( Tabla115[[#This Row],[Cantidad]]* Tabla115[[#This Row],[Precio]] * IF(ISNUMBER(FIND("aceite", LOWER(Tabla115[[#This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IF(Tabla115[[#This Row],[Cantidad]] &gt; 0,CEILING(( Tabla115[[#This Row],[Cantidad]]*Tabla115[[#This Row],[Precio]]) - IF(ISNUMBER(FIND("x", LOWER(G31))), ( Tabla115[[#This Row],[Cantidad]]* Tabla115[[#This Row],[Precio]] * IF(ISNUMBER(FIND("aceite", LOWER(Tabla115[[#This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IF(Tabla115[[#This Row],[Cantidad]] &gt; 0,CEILING(( Tabla115[[#This Row],[Cantidad]]*Tabla115[[#This Row],[Precio]]) - IF(ISNUMBER(FIND("x", LOWER(G32))), ( Tabla115[[#This Row],[Cantidad]]* Tabla115[[#This Row],[Precio]] * IF(ISNUMBER(FIND("aceite", LOWER(Tabla115[[#This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IF(Tabla115[[#This Row],[Cantidad]] &gt; 0,CEILING(( Tabla115[[#This Row],[Cantidad]]*Tabla115[[#This Row],[Precio]]) - IF(ISNUMBER(FIND("x", LOWER(G33))), ( Tabla115[[#This Row],[Cantidad]]* Tabla115[[#This Row],[Precio]] * IF(ISNUMBER(FIND("aceite", LOWER(Tabla115[[#This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IF(Tabla115[[#This Row],[Cantidad]] &gt; 0,CEILING(( Tabla115[[#This Row],[Cantidad]]*Tabla115[[#This Row],[Precio]]) - IF(ISNUMBER(FIND("x", LOWER(G34))), ( Tabla115[[#This Row],[Cantidad]]* Tabla115[[#This Row],[Precio]] * IF(ISNUMBER(FIND("aceite", LOWER(Tabla115[[#This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IF(Tabla115[[#This Row],[Cantidad]] &gt; 0,CEILING(( Tabla115[[#This Row],[Cantidad]]*Tabla115[[#This Row],[Precio]]) - IF(ISNUMBER(FIND("x", LOWER(G35))), ( Tabla115[[#This Row],[Cantidad]]* Tabla115[[#This Row],[Precio]] * IF(ISNUMBER(FIND("aceite", LOWER(Tabla115[[#This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IF(Tabla115[[#This Row],[Cantidad]] &gt; 0,CEILING(( Tabla115[[#This Row],[Cantidad]]*Tabla115[[#This Row],[Precio]]) - IF(ISNUMBER(FIND("x", LOWER(G36))), ( Tabla115[[#This Row],[Cantidad]]* Tabla115[[#This Row],[Precio]] * IF(ISNUMBER(FIND("aceite", LOWER(Tabla115[[#This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IF(Tabla115[[#This Row],[Cantidad]] &gt; 0,CEILING(( Tabla115[[#This Row],[Cantidad]]*Tabla115[[#This Row],[Precio]]) - IF(ISNUMBER(FIND("x", LOWER(G37))), ( Tabla115[[#This Row],[Cantidad]]* Tabla115[[#This Row],[Precio]] * IF(ISNUMBER(FIND("aceite", LOWER(Tabla115[[#This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IF(Tabla115[[#This Row],[Cantidad]] &gt; 0,CEILING(( Tabla115[[#This Row],[Cantidad]]*Tabla115[[#This Row],[Precio]]) - IF(ISNUMBER(FIND("x", LOWER(G38))), ( Tabla115[[#This Row],[Cantidad]]* Tabla115[[#This Row],[Precio]] * IF(ISNUMBER(FIND("aceite", LOWER(Tabla115[[#This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IF(Tabla115[[#This Row],[Cantidad]] &gt; 0,CEILING(( Tabla115[[#This Row],[Cantidad]]*Tabla115[[#This Row],[Precio]]) - IF(ISNUMBER(FIND("x", LOWER(G39))), ( Tabla115[[#This Row],[Cantidad]]* Tabla115[[#This Row],[Precio]] * IF(ISNUMBER(FIND("aceite", LOWER(Tabla115[[#This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IF(Tabla115[[#This Row],[Cantidad]] &gt; 0,CEILING(( Tabla115[[#This Row],[Cantidad]]*Tabla115[[#This Row],[Precio]]) - IF(ISNUMBER(FIND("x", LOWER(G40))), ( Tabla115[[#This Row],[Cantidad]]* Tabla115[[#This Row],[Precio]] * IF(ISNUMBER(FIND("aceite", LOWER(Tabla115[[#This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IF(Tabla115[[#This Row],[Cantidad]] &gt; 0,CEILING(( Tabla115[[#This Row],[Cantidad]]*Tabla115[[#This Row],[Precio]]) - IF(ISNUMBER(FIND("x", LOWER(G41))), ( Tabla115[[#This Row],[Cantidad]]* Tabla115[[#This Row],[Precio]] * IF(ISNUMBER(FIND("aceite", LOWER(Tabla115[[#This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IF(Tabla115[[#This Row],[Cantidad]] &gt; 0,CEILING(( Tabla115[[#This Row],[Cantidad]]*Tabla115[[#This Row],[Precio]]) - IF(ISNUMBER(FIND("x", LOWER(G42))), ( Tabla115[[#This Row],[Cantidad]]* Tabla115[[#This Row],[Precio]] * IF(ISNUMBER(FIND("aceite", LOWER(Tabla115[[#This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IF(Tabla115[[#This Row],[Cantidad]] &gt; 0,CEILING(( Tabla115[[#This Row],[Cantidad]]*Tabla115[[#This Row],[Precio]]) - IF(ISNUMBER(FIND("x", LOWER(G43))), ( Tabla115[[#This Row],[Cantidad]]* Tabla115[[#This Row],[Precio]] * IF(ISNUMBER(FIND("aceite", LOWER(Tabla115[[#This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IF(Tabla115[[#This Row],[Cantidad]] &gt; 0,CEILING(( Tabla115[[#This Row],[Cantidad]]*Tabla115[[#This Row],[Precio]]) - IF(ISNUMBER(FIND("x", LOWER(G44))), ( Tabla115[[#This Row],[Cantidad]]* Tabla115[[#This Row],[Precio]] * IF(ISNUMBER(FIND("aceite", LOWER(Tabla115[[#This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IF(Tabla115[[#This Row],[Cantidad]] &gt; 0,CEILING(( Tabla115[[#This Row],[Cantidad]]*Tabla115[[#This Row],[Precio]]) - IF(ISNUMBER(FIND("x", LOWER(G45))), ( Tabla115[[#This Row],[Cantidad]]* Tabla115[[#This Row],[Precio]] * IF(ISNUMBER(FIND("aceite", LOWER(Tabla115[[#This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IF(Tabla115[[#This Row],[Cantidad]] &gt; 0,CEILING(( Tabla115[[#This Row],[Cantidad]]*Tabla115[[#This Row],[Precio]]) - IF(ISNUMBER(FIND("x", LOWER(G46))), ( Tabla115[[#This Row],[Cantidad]]* Tabla115[[#This Row],[Precio]] * IF(ISNUMBER(FIND("aceite", LOWER(Tabla115[[#This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IF(Tabla115[[#This Row],[Cantidad]] &gt; 0,CEILING(( Tabla115[[#This Row],[Cantidad]]*Tabla115[[#This Row],[Precio]]) - IF(ISNUMBER(FIND("x", LOWER(G47))), ( Tabla115[[#This Row],[Cantidad]]* Tabla115[[#This Row],[Precio]] * IF(ISNUMBER(FIND("aceite", LOWER(Tabla115[[#This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IF(Tabla115[[#This Row],[Cantidad]] &gt; 0,CEILING(( Tabla115[[#This Row],[Cantidad]]*Tabla115[[#This Row],[Precio]]) - IF(ISNUMBER(FIND("x", LOWER(G48))), ( Tabla115[[#This Row],[Cantidad]]* Tabla115[[#This Row],[Precio]] * IF(ISNUMBER(FIND("aceite", LOWER(Tabla115[[#This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IF(Tabla115[[#This Row],[Cantidad]] &gt; 0,CEILING(( Tabla115[[#This Row],[Cantidad]]*Tabla115[[#This Row],[Precio]]) - IF(ISNUMBER(FIND("x", LOWER(G49))), ( Tabla115[[#This Row],[Cantidad]]* Tabla115[[#This Row],[Precio]] * IF(ISNUMBER(FIND("aceite", LOWER(Tabla115[[#This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IF(Tabla115[[#This Row],[Cantidad]] &gt; 0,CEILING(( Tabla115[[#This Row],[Cantidad]]*Tabla115[[#This Row],[Precio]]) - IF(ISNUMBER(FIND("x", LOWER(G50))), ( Tabla115[[#This Row],[Cantidad]]* Tabla115[[#This Row],[Precio]] * IF(ISNUMBER(FIND("aceite", LOWER(Tabla115[[#This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IF(Tabla115[[#This Row],[Cantidad]] &gt; 0,CEILING(( Tabla115[[#This Row],[Cantidad]]*Tabla115[[#This Row],[Precio]]) - IF(ISNUMBER(FIND("x", LOWER(G51))), ( Tabla115[[#This Row],[Cantidad]]* Tabla115[[#This Row],[Precio]] * IF(ISNUMBER(FIND("aceite", LOWER(Tabla115[[#This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IF(Tabla115[[#This Row],[Cantidad]] &gt; 0,CEILING(( Tabla115[[#This Row],[Cantidad]]*Tabla115[[#This Row],[Precio]]) - IF(ISNUMBER(FIND("x", LOWER(G52))), ( Tabla115[[#This Row],[Cantidad]]* Tabla115[[#This Row],[Precio]] * IF(ISNUMBER(FIND("aceite", LOWER(Tabla115[[#This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IF(Tabla115[[#This Row],[Cantidad]] &gt; 0,CEILING(( Tabla115[[#This Row],[Cantidad]]*Tabla115[[#This Row],[Precio]]) - IF(ISNUMBER(FIND("x", LOWER(G53))), ( Tabla115[[#This Row],[Cantidad]]* Tabla115[[#This Row],[Precio]] * IF(ISNUMBER(FIND("aceite", LOWER(Tabla115[[#This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IF(Tabla115[[#This Row],[Cantidad]] &gt; 0,CEILING(( Tabla115[[#This Row],[Cantidad]]*Tabla115[[#This Row],[Precio]]) - IF(ISNUMBER(FIND("x", LOWER(G54))), ( Tabla115[[#This Row],[Cantidad]]* Tabla115[[#This Row],[Precio]] * IF(ISNUMBER(FIND("aceite", LOWER(Tabla115[[#This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IF(Tabla115[[#This Row],[Cantidad]] &gt; 0,CEILING(( Tabla115[[#This Row],[Cantidad]]*Tabla115[[#This Row],[Precio]]) - IF(ISNUMBER(FIND("x", LOWER(G55))), ( Tabla115[[#This Row],[Cantidad]]* Tabla115[[#This Row],[Precio]] * IF(ISNUMBER(FIND("aceite", LOWER(Tabla115[[#This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IF(Tabla115[[#This Row],[Cantidad]] &gt; 0,CEILING(( Tabla115[[#This Row],[Cantidad]]*Tabla115[[#This Row],[Precio]]) - IF(ISNUMBER(FIND("x", LOWER(G56))), ( Tabla115[[#This Row],[Cantidad]]* Tabla115[[#This Row],[Precio]] * IF(ISNUMBER(FIND("aceite", LOWER(Tabla115[[#This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IF(Tabla115[[#This Row],[Cantidad]] &gt; 0,CEILING(( Tabla115[[#This Row],[Cantidad]]*Tabla115[[#This Row],[Precio]]) - IF(ISNUMBER(FIND("x", LOWER(G57))), ( Tabla115[[#This Row],[Cantidad]]* Tabla115[[#This Row],[Precio]] * IF(ISNUMBER(FIND("aceite", LOWER(Tabla115[[#This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IF(Tabla115[[#This Row],[Cantidad]] &gt; 0,CEILING(( Tabla115[[#This Row],[Cantidad]]*Tabla115[[#This Row],[Precio]]) - IF(ISNUMBER(FIND("x", LOWER(G58))), ( Tabla115[[#This Row],[Cantidad]]* Tabla115[[#This Row],[Precio]] * IF(ISNUMBER(FIND("aceite", LOWER(Tabla115[[#This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IF(Tabla115[[#This Row],[Cantidad]] &gt; 0,CEILING(( Tabla115[[#This Row],[Cantidad]]*Tabla115[[#This Row],[Precio]]) - IF(ISNUMBER(FIND("x", LOWER(G59))), ( Tabla115[[#This Row],[Cantidad]]* Tabla115[[#This Row],[Precio]] * IF(ISNUMBER(FIND("aceite", LOWER(Tabla115[[#This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IF(Tabla115[[#This Row],[Cantidad]] &gt; 0,CEILING(( Tabla115[[#This Row],[Cantidad]]*Tabla115[[#This Row],[Precio]]) - IF(ISNUMBER(FIND("x", LOWER(G60))), ( Tabla115[[#This Row],[Cantidad]]* Tabla115[[#This Row],[Precio]] * IF(ISNUMBER(FIND("aceite", LOWER(Tabla115[[#This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IF(Tabla115[[#This Row],[Cantidad]] &gt; 0,CEILING(( Tabla115[[#This Row],[Cantidad]]*Tabla115[[#This Row],[Precio]]) - IF(ISNUMBER(FIND("x", LOWER(G61))), ( Tabla115[[#This Row],[Cantidad]]* Tabla115[[#This Row],[Precio]] * IF(ISNUMBER(FIND("aceite", LOWER(Tabla115[[#This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IF(Tabla115[[#This Row],[Cantidad]] &gt; 0,CEILING(( Tabla115[[#This Row],[Cantidad]]*Tabla115[[#This Row],[Precio]]) - IF(ISNUMBER(FIND("x", LOWER(G62))), ( Tabla115[[#This Row],[Cantidad]]* Tabla115[[#This Row],[Precio]] * IF(ISNUMBER(FIND("aceite", LOWER(Tabla115[[#This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IF(Tabla115[[#This Row],[Cantidad]] &gt; 0,CEILING(( Tabla115[[#This Row],[Cantidad]]*Tabla115[[#This Row],[Precio]]) - IF(ISNUMBER(FIND("x", LOWER(G63))), ( Tabla115[[#This Row],[Cantidad]]* Tabla115[[#This Row],[Precio]] * IF(ISNUMBER(FIND("aceite", LOWER(Tabla115[[#This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IF(Tabla115[[#This Row],[Cantidad]] &gt; 0,CEILING(( Tabla115[[#This Row],[Cantidad]]*Tabla115[[#This Row],[Precio]]) - IF(ISNUMBER(FIND("x", LOWER(G64))), ( Tabla115[[#This Row],[Cantidad]]* Tabla115[[#This Row],[Precio]] * IF(ISNUMBER(FIND("aceite", LOWER(Tabla115[[#This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IF(Tabla115[[#This Row],[Cantidad]] &gt; 0,CEILING(( Tabla115[[#This Row],[Cantidad]]*Tabla115[[#This Row],[Precio]]) - IF(ISNUMBER(FIND("x", LOWER(G65))), ( Tabla115[[#This Row],[Cantidad]]* Tabla115[[#This Row],[Precio]] * IF(ISNUMBER(FIND("aceite", LOWER(Tabla115[[#This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IF(Tabla115[[#This Row],[Cantidad]] &gt; 0,CEILING(( Tabla115[[#This Row],[Cantidad]]*Tabla115[[#This Row],[Precio]]) - IF(ISNUMBER(FIND("x", LOWER(G66))), ( Tabla115[[#This Row],[Cantidad]]* Tabla115[[#This Row],[Precio]] * IF(ISNUMBER(FIND("aceite", LOWER(Tabla115[[#This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IF(Tabla115[[#This Row],[Cantidad]] &gt; 0,CEILING(( Tabla115[[#This Row],[Cantidad]]*Tabla115[[#This Row],[Precio]]) - IF(ISNUMBER(FIND("x", LOWER(G67))), ( Tabla115[[#This Row],[Cantidad]]* Tabla115[[#This Row],[Precio]] * IF(ISNUMBER(FIND("aceite", LOWER(Tabla115[[#This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IF(Tabla115[[#This Row],[Cantidad]] &gt; 0,CEILING(( Tabla115[[#This Row],[Cantidad]]*Tabla115[[#This Row],[Precio]]) - IF(ISNUMBER(FIND("x", LOWER(G68))), ( Tabla115[[#This Row],[Cantidad]]* Tabla115[[#This Row],[Precio]] * IF(ISNUMBER(FIND("aceite", LOWER(Tabla115[[#This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IF(Tabla115[[#This Row],[Cantidad]] &gt; 0,CEILING(( Tabla115[[#This Row],[Cantidad]]*Tabla115[[#This Row],[Precio]]) - IF(ISNUMBER(FIND("x", LOWER(G69))), ( Tabla115[[#This Row],[Cantidad]]* Tabla115[[#This Row],[Precio]] * IF(ISNUMBER(FIND("aceite", LOWER(Tabla115[[#This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IF(Tabla115[[#This Row],[Cantidad]] &gt; 0,CEILING(( Tabla115[[#This Row],[Cantidad]]*Tabla115[[#This Row],[Precio]]) - IF(ISNUMBER(FIND("x", LOWER(G70))), ( Tabla115[[#This Row],[Cantidad]]* Tabla115[[#This Row],[Precio]] * IF(ISNUMBER(FIND("aceite", LOWER(Tabla115[[#This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IF(Tabla115[[#This Row],[Cantidad]] &gt; 0,CEILING(( Tabla115[[#This Row],[Cantidad]]*Tabla115[[#This Row],[Precio]]) - IF(ISNUMBER(FIND("x", LOWER(G71))), ( Tabla115[[#This Row],[Cantidad]]* Tabla115[[#This Row],[Precio]] * IF(ISNUMBER(FIND("aceite", LOWER(Tabla115[[#This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IF(Tabla115[[#This Row],[Cantidad]] &gt; 0,CEILING(( Tabla115[[#This Row],[Cantidad]]*Tabla115[[#This Row],[Precio]]) - IF(ISNUMBER(FIND("x", LOWER(G72))), ( Tabla115[[#This Row],[Cantidad]]* Tabla115[[#This Row],[Precio]] * IF(ISNUMBER(FIND("aceite", LOWER(Tabla115[[#This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IF(Tabla115[[#This Row],[Cantidad]] &gt; 0,CEILING(( Tabla115[[#This Row],[Cantidad]]*Tabla115[[#This Row],[Precio]]) - IF(ISNUMBER(FIND("x", LOWER(G73))), ( Tabla115[[#This Row],[Cantidad]]* Tabla115[[#This Row],[Precio]] * IF(ISNUMBER(FIND("aceite", LOWER(Tabla115[[#This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IF(Tabla115[[#This Row],[Cantidad]] &gt; 0,CEILING(( Tabla115[[#This Row],[Cantidad]]*Tabla115[[#This Row],[Precio]]) - IF(ISNUMBER(FIND("x", LOWER(G74))), ( Tabla115[[#This Row],[Cantidad]]* Tabla115[[#This Row],[Precio]] * IF(ISNUMBER(FIND("aceite", LOWER(Tabla115[[#This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IF(Tabla115[[#This Row],[Cantidad]] &gt; 0,CEILING(( Tabla115[[#This Row],[Cantidad]]*Tabla115[[#This Row],[Precio]]) - IF(ISNUMBER(FIND("x", LOWER(G75))), ( Tabla115[[#This Row],[Cantidad]]* Tabla115[[#This Row],[Precio]] * IF(ISNUMBER(FIND("aceite", LOWER(Tabla115[[#This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IF(Tabla115[[#This Row],[Cantidad]] &gt; 0,CEILING(( Tabla115[[#This Row],[Cantidad]]*Tabla115[[#This Row],[Precio]]) - IF(ISNUMBER(FIND("x", LOWER(G76))), ( Tabla115[[#This Row],[Cantidad]]* Tabla115[[#This Row],[Precio]] * IF(ISNUMBER(FIND("aceite", LOWER(Tabla115[[#This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IF(Tabla115[[#This Row],[Cantidad]] &gt; 0,CEILING(( Tabla115[[#This Row],[Cantidad]]*Tabla115[[#This Row],[Precio]]) - IF(ISNUMBER(FIND("x", LOWER(G77))), ( Tabla115[[#This Row],[Cantidad]]* Tabla115[[#This Row],[Precio]] * IF(ISNUMBER(FIND("aceite", LOWER(Tabla115[[#This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IF(Tabla115[[#This Row],[Cantidad]] &gt; 0,CEILING(( Tabla115[[#This Row],[Cantidad]]*Tabla115[[#This Row],[Precio]]) - IF(ISNUMBER(FIND("x", LOWER(G78))), ( Tabla115[[#This Row],[Cantidad]]* Tabla115[[#This Row],[Precio]] * IF(ISNUMBER(FIND("aceite", LOWER(Tabla115[[#This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IF(Tabla115[[#This Row],[Cantidad]] &gt; 0,CEILING(( Tabla115[[#This Row],[Cantidad]]*Tabla115[[#This Row],[Precio]]) - IF(ISNUMBER(FIND("x", LOWER(G79))), ( Tabla115[[#This Row],[Cantidad]]* Tabla115[[#This Row],[Precio]] * IF(ISNUMBER(FIND("aceite", LOWER(Tabla115[[#This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IF(Tabla115[[#This Row],[Cantidad]] &gt; 0,CEILING(( Tabla115[[#This Row],[Cantidad]]*Tabla115[[#This Row],[Precio]]) - IF(ISNUMBER(FIND("x", LOWER(G80))), ( Tabla115[[#This Row],[Cantidad]]* Tabla115[[#This Row],[Precio]] * IF(ISNUMBER(FIND("aceite", LOWER(Tabla115[[#This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IF(Tabla115[[#This Row],[Cantidad]] &gt; 0,CEILING(( Tabla115[[#This Row],[Cantidad]]*Tabla115[[#This Row],[Precio]]) - IF(ISNUMBER(FIND("x", LOWER(G81))), ( Tabla115[[#This Row],[Cantidad]]* Tabla115[[#This Row],[Precio]] * IF(ISNUMBER(FIND("aceite", LOWER(Tabla115[[#This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IF(Tabla115[[#This Row],[Cantidad]] &gt; 0,CEILING(( Tabla115[[#This Row],[Cantidad]]*Tabla115[[#This Row],[Precio]]) - IF(ISNUMBER(FIND("x", LOWER(G82))), ( Tabla115[[#This Row],[Cantidad]]* Tabla115[[#This Row],[Precio]] * IF(ISNUMBER(FIND("aceite", LOWER(Tabla115[[#This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IF(Tabla115[[#This Row],[Cantidad]] &gt; 0,CEILING(( Tabla115[[#This Row],[Cantidad]]*Tabla115[[#This Row],[Precio]]) - IF(ISNUMBER(FIND("x", LOWER(G83))), ( Tabla115[[#This Row],[Cantidad]]* Tabla115[[#This Row],[Precio]] * IF(ISNUMBER(FIND("aceite", LOWER(Tabla115[[#This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IF(Tabla115[[#This Row],[Cantidad]] &gt; 0,CEILING(( Tabla115[[#This Row],[Cantidad]]*Tabla115[[#This Row],[Precio]]) - IF(ISNUMBER(FIND("x", LOWER(G84))), ( Tabla115[[#This Row],[Cantidad]]* Tabla115[[#This Row],[Precio]] * IF(ISNUMBER(FIND("aceite", LOWER(Tabla115[[#This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IF(Tabla115[[#This Row],[Cantidad]] &gt; 0,CEILING(( Tabla115[[#This Row],[Cantidad]]*Tabla115[[#This Row],[Precio]]) - IF(ISNUMBER(FIND("x", LOWER(G85))), ( Tabla115[[#This Row],[Cantidad]]* Tabla115[[#This Row],[Precio]] * IF(ISNUMBER(FIND("aceite", LOWER(Tabla115[[#This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IF(Tabla115[[#This Row],[Cantidad]] &gt; 0,CEILING(( Tabla115[[#This Row],[Cantidad]]*Tabla115[[#This Row],[Precio]]) - IF(ISNUMBER(FIND("x", LOWER(G86))), ( Tabla115[[#This Row],[Cantidad]]* Tabla115[[#This Row],[Precio]] * IF(ISNUMBER(FIND("aceite", LOWER(Tabla115[[#This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IF(Tabla115[[#This Row],[Cantidad]] &gt; 0,CEILING(( Tabla115[[#This Row],[Cantidad]]*Tabla115[[#This Row],[Precio]]) - IF(ISNUMBER(FIND("x", LOWER(G87))), ( Tabla115[[#This Row],[Cantidad]]* Tabla115[[#This Row],[Precio]] * IF(ISNUMBER(FIND("aceite", LOWER(Tabla115[[#This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IF(Tabla115[[#This Row],[Cantidad]] &gt; 0,CEILING(( Tabla115[[#This Row],[Cantidad]]*Tabla115[[#This Row],[Precio]]) - IF(ISNUMBER(FIND("x", LOWER(G88))), ( Tabla115[[#This Row],[Cantidad]]* Tabla115[[#This Row],[Precio]] * IF(ISNUMBER(FIND("aceite", LOWER(Tabla115[[#This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IF(Tabla115[[#This Row],[Cantidad]] &gt; 0,CEILING(( Tabla115[[#This Row],[Cantidad]]*Tabla115[[#This Row],[Precio]]) - IF(ISNUMBER(FIND("x", LOWER(G89))), ( Tabla115[[#This Row],[Cantidad]]* Tabla115[[#This Row],[Precio]] * IF(ISNUMBER(FIND("aceite", LOWER(Tabla115[[#This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IF(Tabla115[[#This Row],[Cantidad]] &gt; 0,CEILING(( Tabla115[[#This Row],[Cantidad]]*Tabla115[[#This Row],[Precio]]) - IF(ISNUMBER(FIND("x", LOWER(G90))), ( Tabla115[[#This Row],[Cantidad]]* Tabla115[[#This Row],[Precio]] * IF(ISNUMBER(FIND("aceite", LOWER(Tabla115[[#This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IF(Tabla115[[#This Row],[Cantidad]] &gt; 0,CEILING(( Tabla115[[#This Row],[Cantidad]]*Tabla115[[#This Row],[Precio]]) - IF(ISNUMBER(FIND("x", LOWER(G91))), ( Tabla115[[#This Row],[Cantidad]]* Tabla115[[#This Row],[Precio]] * IF(ISNUMBER(FIND("aceite", LOWER(Tabla115[[#This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IF(Tabla115[[#This Row],[Cantidad]] &gt; 0,CEILING(( Tabla115[[#This Row],[Cantidad]]*Tabla115[[#This Row],[Precio]]) - IF(ISNUMBER(FIND("x", LOWER(G92))), ( Tabla115[[#This Row],[Cantidad]]* Tabla115[[#This Row],[Precio]] * IF(ISNUMBER(FIND("aceite", LOWER(Tabla115[[#This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IF(Tabla115[[#This Row],[Cantidad]] &gt; 0,CEILING(( Tabla115[[#This Row],[Cantidad]]*Tabla115[[#This Row],[Precio]]) - IF(ISNUMBER(FIND("x", LOWER(G93))), ( Tabla115[[#This Row],[Cantidad]]* Tabla115[[#This Row],[Precio]] * IF(ISNUMBER(FIND("aceite", LOWER(Tabla115[[#This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IF(Tabla115[[#This Row],[Cantidad]] &gt; 0,CEILING(( Tabla115[[#This Row],[Cantidad]]*Tabla115[[#This Row],[Precio]]) - IF(ISNUMBER(FIND("x", LOWER(G94))), ( Tabla115[[#This Row],[Cantidad]]* Tabla115[[#This Row],[Precio]] * IF(ISNUMBER(FIND("aceite", LOWER(Tabla115[[#This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IF(Tabla115[[#This Row],[Cantidad]] &gt; 0,CEILING(( Tabla115[[#This Row],[Cantidad]]*Tabla115[[#This Row],[Precio]]) - IF(ISNUMBER(FIND("x", LOWER(G95))), ( Tabla115[[#This Row],[Cantidad]]* Tabla115[[#This Row],[Precio]] * IF(ISNUMBER(FIND("aceite", LOWER(Tabla115[[#This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IF(Tabla115[[#This Row],[Cantidad]] &gt; 0,CEILING(( Tabla115[[#This Row],[Cantidad]]*Tabla115[[#This Row],[Precio]]) - IF(ISNUMBER(FIND("x", LOWER(G96))), ( Tabla115[[#This Row],[Cantidad]]* Tabla115[[#This Row],[Precio]] * IF(ISNUMBER(FIND("aceite", LOWER(Tabla115[[#This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IF(Tabla115[[#This Row],[Cantidad]] &gt; 0,CEILING(( Tabla115[[#This Row],[Cantidad]]*Tabla115[[#This Row],[Precio]]) - IF(ISNUMBER(FIND("x", LOWER(G97))), ( Tabla115[[#This Row],[Cantidad]]* Tabla115[[#This Row],[Precio]] * IF(ISNUMBER(FIND("aceite", LOWER(Tabla115[[#This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IF(Tabla115[[#This Row],[Cantidad]] &gt; 0,CEILING(( Tabla115[[#This Row],[Cantidad]]*Tabla115[[#This Row],[Precio]]) - IF(ISNUMBER(FIND("x", LOWER(G98))), ( Tabla115[[#This Row],[Cantidad]]* Tabla115[[#This Row],[Precio]] * IF(ISNUMBER(FIND("aceite", LOWER(Tabla115[[#This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IF(Tabla115[[#This Row],[Cantidad]] &gt; 0,CEILING(( Tabla115[[#This Row],[Cantidad]]*Tabla115[[#This Row],[Precio]]) - IF(ISNUMBER(FIND("x", LOWER(G99))), ( Tabla115[[#This Row],[Cantidad]]* Tabla115[[#This Row],[Precio]] * IF(ISNUMBER(FIND("aceite", LOWER(Tabla115[[#This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IF(Tabla115[[#This Row],[Cantidad]] &gt; 0,CEILING(( Tabla115[[#This Row],[Cantidad]]*Tabla115[[#This Row],[Precio]]) - IF(ISNUMBER(FIND("x", LOWER(G100))), ( Tabla115[[#This Row],[Cantidad]]* Tabla115[[#This Row],[Precio]] * IF(ISNUMBER(FIND("aceite", LOWER(Tabla115[[#This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IF(Tabla115[[#This Row],[Cantidad]] &gt; 0,CEILING(( Tabla115[[#This Row],[Cantidad]]*Tabla115[[#This Row],[Precio]]) - IF(ISNUMBER(FIND("x", LOWER(G101))), ( Tabla115[[#This Row],[Cantidad]]* Tabla115[[#This Row],[Precio]] * IF(ISNUMBER(FIND("aceite", LOWER(Tabla115[[#This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IF(Tabla115[[#This Row],[Cantidad]] &gt; 0,CEILING(( Tabla115[[#This Row],[Cantidad]]*Tabla115[[#This Row],[Precio]]) - IF(ISNUMBER(FIND("x", LOWER(G102))), ( Tabla115[[#This Row],[Cantidad]]* Tabla115[[#This Row],[Precio]] * IF(ISNUMBER(FIND("aceite", LOWER(Tabla115[[#This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IF(Tabla115[[#This Row],[Cantidad]] &gt; 0,CEILING(( Tabla115[[#This Row],[Cantidad]]*Tabla115[[#This Row],[Precio]]) - IF(ISNUMBER(FIND("x", LOWER(G103))), ( Tabla115[[#This Row],[Cantidad]]* Tabla115[[#This Row],[Precio]] * IF(ISNUMBER(FIND("aceite", LOWER(Tabla115[[#This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3" priority="2">
      <formula>E5&gt;0&amp;ISBLANK(D5)</formula>
    </cfRule>
  </conditionalFormatting>
  <conditionalFormatting sqref="B5:B103">
    <cfRule type="expression" dxfId="2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3:E7"/>
  <sheetViews>
    <sheetView workbookViewId="0">
      <selection activeCell="D7" sqref="D7"/>
    </sheetView>
  </sheetViews>
  <sheetFormatPr baseColWidth="10" defaultRowHeight="15" x14ac:dyDescent="0.25"/>
  <cols>
    <col min="2" max="2" width="80.5703125" customWidth="1"/>
  </cols>
  <sheetData>
    <row r="3" spans="2:5" x14ac:dyDescent="0.25">
      <c r="B3" t="s">
        <v>9</v>
      </c>
      <c r="C3" t="s">
        <v>10</v>
      </c>
      <c r="D3" t="s">
        <v>11</v>
      </c>
    </row>
    <row r="4" spans="2:5" ht="30" x14ac:dyDescent="0.25">
      <c r="B4" s="3" t="s">
        <v>13</v>
      </c>
      <c r="C4" s="1">
        <v>45576</v>
      </c>
      <c r="D4" s="2">
        <v>1.1000000000000001</v>
      </c>
      <c r="E4" s="2"/>
    </row>
    <row r="5" spans="2:5" ht="45" x14ac:dyDescent="0.25">
      <c r="B5" s="6" t="s">
        <v>17</v>
      </c>
      <c r="C5" s="2" t="s">
        <v>14</v>
      </c>
      <c r="D5" s="2">
        <v>1.2</v>
      </c>
      <c r="E5" s="2"/>
    </row>
    <row r="6" spans="2:5" ht="30" x14ac:dyDescent="0.25">
      <c r="B6" s="6" t="s">
        <v>25</v>
      </c>
      <c r="C6" s="1">
        <v>45778</v>
      </c>
      <c r="D6" s="2">
        <v>1.3</v>
      </c>
      <c r="E6" s="2"/>
    </row>
    <row r="7" spans="2:5" ht="90" x14ac:dyDescent="0.25">
      <c r="B7" s="6" t="s">
        <v>33</v>
      </c>
      <c r="C7" s="2" t="s">
        <v>28</v>
      </c>
      <c r="D7" s="2">
        <v>1.4</v>
      </c>
      <c r="E7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Lunes 28-09-26</vt:lpstr>
      <vt:lpstr>Martes 29-09-26</vt:lpstr>
      <vt:lpstr>Miercoles</vt:lpstr>
      <vt:lpstr>Jueves 01-10-26</vt:lpstr>
      <vt:lpstr>VIERNES 02 -10-26</vt:lpstr>
      <vt:lpstr>Sabado03 DE OCTUBRE-26</vt:lpstr>
      <vt:lpstr>Domingo</vt:lpstr>
      <vt:lpstr>Cambios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2026-10-04T01:31:35Z</dcterms:modified>
</cp:coreProperties>
</file>