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9340044-8052-47B2-98D3-5525FE1E3D76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2-01-26" sheetId="1" r:id="rId1"/>
    <sheet name="Martes 13-01-26" sheetId="2" r:id="rId2"/>
    <sheet name="Miercoles 14-01-26" sheetId="3" r:id="rId3"/>
    <sheet name="Jueves 15-01-26" sheetId="4" r:id="rId4"/>
    <sheet name="Viernes 16-01-26" sheetId="5" r:id="rId5"/>
    <sheet name="Sabado 17-01-26" sheetId="6" r:id="rId6"/>
    <sheet name="Domingo" sheetId="8" r:id="rId7"/>
    <sheet name="Cambios" sheetId="7" r:id="rId8"/>
  </sheets>
  <definedNames>
    <definedName name="_xlnm._FilterDatabase" localSheetId="0" hidden="1">'Lunes 12-01-26'!$B$4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<sst xmlns="http://schemas.openxmlformats.org/spreadsheetml/2006/main" count="309" uniqueCount="128">
  <si>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</si>
  <si>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</si>
  <si>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</si>
  <si>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</si>
  <si>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</si>
  <si>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</si>
  <si>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</si>
  <si>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</si>
  <si>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</si>
  <si>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</si>
  <si>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</si>
  <si>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</si>
  <si>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</si>
  <si>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</si>
  <si>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</si>
  <si>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</si>
  <si>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</si>
  <si>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</si>
  <si>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</si>
  <si>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</si>
  <si>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</si>
  <si>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</si>
  <si>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</si>
  <si>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</si>
  <si>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</si>
  <si>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12- ENERO-26</t>
  </si>
  <si>
    <t>ESPEJOS DE ATV 200</t>
  </si>
  <si>
    <t>X</t>
  </si>
  <si>
    <t>CAPUCHON DE BUJIA FT150</t>
  </si>
  <si>
    <t>BARILLA DE FRENO FT150</t>
  </si>
  <si>
    <t>LEVA DE FRENO FT150</t>
  </si>
  <si>
    <t>ESPEJOS UNIVERSALES AZULES</t>
  </si>
  <si>
    <t>DIRECCIONAL UNIVES</t>
  </si>
  <si>
    <t>CHICOTED E CLUTH UNIVERSAL</t>
  </si>
  <si>
    <t>AORCADOR UNIVERSAL DE CLUTH</t>
  </si>
  <si>
    <t>RETEN DE VALVULA DS150</t>
  </si>
  <si>
    <t>ACEITE YAMALUBE</t>
  </si>
  <si>
    <t xml:space="preserve">MANUBRIO DE 3 PIEZAS </t>
  </si>
  <si>
    <t>PILA WAPEMEX 12N7-3B</t>
  </si>
  <si>
    <t>Martes 13 DE ENERO-26</t>
  </si>
  <si>
    <t>BANDA POWER LINK 743-20-30</t>
  </si>
  <si>
    <t>GOMAS DE IMPACTO BOXER 150</t>
  </si>
  <si>
    <t xml:space="preserve">ARNES DE 2 PINES </t>
  </si>
  <si>
    <t>FILTRO DE ESPONJA FT150</t>
  </si>
  <si>
    <t>CUBRE PUÑOS CON LUZ</t>
  </si>
  <si>
    <t>ACEITE MOTUL 5100 15W-50</t>
  </si>
  <si>
    <t>FILTRO DE AIRE YMR3</t>
  </si>
  <si>
    <t>BUJIAS C9</t>
  </si>
  <si>
    <t>FILTRO DE ACEI YAMAHA R3</t>
  </si>
  <si>
    <t>GOMA DE PARADOR CENTREAL DS150</t>
  </si>
  <si>
    <t>CAMARA 3.50-10</t>
  </si>
  <si>
    <t xml:space="preserve">BALATA DE TAMBOR </t>
  </si>
  <si>
    <t>ACEITE MOTUL 3000</t>
  </si>
  <si>
    <t>FILTRO DE AIRE 150Z</t>
  </si>
  <si>
    <t>BALATA DE TAMBOR GRANDE FT150</t>
  </si>
  <si>
    <t>FILTROS DE GASOLINA CARTON</t>
  </si>
  <si>
    <t>PILA YTX 7 MOTONETA WAPEMEX</t>
  </si>
  <si>
    <t>ACEITE AKRON</t>
  </si>
  <si>
    <t>ACEITE  REPSOL</t>
  </si>
  <si>
    <t>BALATA DE TAMBOR DS150</t>
  </si>
  <si>
    <t>BALATA DE DISCO DS150</t>
  </si>
  <si>
    <t>BALATA DE ROKEMAN 250</t>
  </si>
  <si>
    <t>BUJIA C7</t>
  </si>
  <si>
    <t>FOCO H6 LED</t>
  </si>
  <si>
    <t xml:space="preserve">LIMPIADOR DE CARBURADOR </t>
  </si>
  <si>
    <t xml:space="preserve">RED DE CASCO ROJA </t>
  </si>
  <si>
    <t>Miercoles 14 DE ENERO-26</t>
  </si>
  <si>
    <t>FILTRO DE GASOLINA CARTON</t>
  </si>
  <si>
    <t>FILTRO DE AIRE WS175</t>
  </si>
  <si>
    <t>BALATA DE TAMBOR GRANDE DS150</t>
  </si>
  <si>
    <t>BALATA DE TAMBOR CHICO CGL125</t>
  </si>
  <si>
    <t>STIKER</t>
  </si>
  <si>
    <t>CARBURADOR DE DS150</t>
  </si>
  <si>
    <t>FILTRO DE AIRE DM200</t>
  </si>
  <si>
    <t xml:space="preserve">TUERCA </t>
  </si>
  <si>
    <t>Jueves 15 DE ENERO-26</t>
  </si>
  <si>
    <t xml:space="preserve">FILTRO DE GASOLINA DE PIEDRA </t>
  </si>
  <si>
    <t xml:space="preserve">MANGUERA DE GASOLINA </t>
  </si>
  <si>
    <t xml:space="preserve">CUBRE LONA </t>
  </si>
  <si>
    <t>LLANTA 110-90-16</t>
  </si>
  <si>
    <t>CLAXON DS150</t>
  </si>
  <si>
    <t>SELENOIDE DE YBR125</t>
  </si>
  <si>
    <t>RETEN DE SUSPENSIÓN  FT150</t>
  </si>
  <si>
    <t>CADENA 428 X 116</t>
  </si>
  <si>
    <t xml:space="preserve">SELLOS DE VALVULA </t>
  </si>
  <si>
    <t xml:space="preserve">CADENA 428X 136 SENCILLA </t>
  </si>
  <si>
    <t>ACEITE MOTUL 5100 15-W-50</t>
  </si>
  <si>
    <t>MARCHA DE DS150</t>
  </si>
  <si>
    <t>Viernes 16 DE ENERO-26</t>
  </si>
  <si>
    <t>P.NASAKI</t>
  </si>
  <si>
    <t>VIERNES 16 DE ENERO-26</t>
  </si>
  <si>
    <t>P.LUBER</t>
  </si>
  <si>
    <t>PAGOYAS</t>
  </si>
  <si>
    <t>TOTAL</t>
  </si>
  <si>
    <t xml:space="preserve">TOTAL DE EGRESOS </t>
  </si>
  <si>
    <t>PILA YTX7 MOTONETA WAPEMEX</t>
  </si>
  <si>
    <t>FILTRO DE ACEI YAMAHA R15</t>
  </si>
  <si>
    <t>ESTATOR DE RC200 ITALIKA</t>
  </si>
  <si>
    <t>ACEITE REPSOL</t>
  </si>
  <si>
    <t>CHICOTE DE CLUTH UNIVERSAL</t>
  </si>
  <si>
    <t xml:space="preserve">JUNTA DE CUATRIMOTO </t>
  </si>
  <si>
    <t>LLANTA 130-70-17</t>
  </si>
  <si>
    <t>FILTRO ACEI PULSAR 200NS</t>
  </si>
  <si>
    <t>BARRA DE POSAP[IE DE FT150</t>
  </si>
  <si>
    <t>BALANCIN DE GTS175</t>
  </si>
  <si>
    <t>JUNTA DS150</t>
  </si>
  <si>
    <t xml:space="preserve">AUMENTO DE AMORTIGUADOR </t>
  </si>
  <si>
    <r>
      <rPr>
        <b/>
        <sz val="14"/>
        <color theme="1"/>
        <rFont val="Calibri"/>
        <family val="2"/>
        <scheme val="minor"/>
      </rPr>
      <t>CORTES DE LA SEMANA     CUENTA SEMANAP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12 DE ENERO-26                        $21067.5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$ 1595              MENOS    $ 6700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13 DE ENERO-26                    $14367.5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$ 3532.5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14 DE ENERO-26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$ 1488.5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15 DE ENERO-26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$2900.5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16 DE ENERO-26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$ 2680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TOTAL$ 12196.5 
TOTAL EN CAJA$ 26564 </t>
    </r>
  </si>
  <si>
    <t>Sabado 17 DE EBERO-26</t>
  </si>
  <si>
    <t>TIRAS LED</t>
  </si>
  <si>
    <t>CABLE SUELTO NEGRO</t>
  </si>
  <si>
    <t>CADENA 428 SENCILLA</t>
  </si>
  <si>
    <t>BUJIA D8</t>
  </si>
  <si>
    <t>FUSIBLES</t>
  </si>
  <si>
    <t>JUNTA DE CARTEL</t>
  </si>
  <si>
    <t>PILA 12N7 -3-B QLINK</t>
  </si>
  <si>
    <t>FOCO H4 LED</t>
  </si>
  <si>
    <t>AUXILIAR LED</t>
  </si>
  <si>
    <t xml:space="preserve">BALATA DE CROXMAX </t>
  </si>
  <si>
    <t>MANDO IZQUIUERDO DM200</t>
  </si>
  <si>
    <t>RENTA,INTERNET</t>
  </si>
  <si>
    <t>ACEITE LUBER</t>
  </si>
  <si>
    <t>ESTATOR DE CORXMAX</t>
  </si>
  <si>
    <t>CALABERA DE FT125</t>
  </si>
  <si>
    <t xml:space="preserve">FUSOBLES </t>
  </si>
  <si>
    <t>BALATA DE GIXER</t>
  </si>
  <si>
    <t>RODILLERAS</t>
  </si>
  <si>
    <r>
      <t xml:space="preserve">CUENTA DE AYER TOTAL $ 26564 MENOS $ 1550 DE RENTA Y INTERNET QUEDA $ 25014 
CUENTA DE HOY $ 3410.5 MENOS $ 300 QUEDA $ 3110.5 
</t>
    </r>
    <r>
      <rPr>
        <b/>
        <sz val="22"/>
        <color rgb="FFFF0000"/>
        <rFont val="Calibri"/>
        <family val="2"/>
        <scheme val="minor"/>
      </rPr>
      <t xml:space="preserve">CUENTA EN CAJA TOTAL $ 28124.5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</si>
</sst>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4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13" fillId="4" borderId="0" xfId="0" applyFont="1" applyFill="1" applyAlignment="1">
      <alignment horizontal="left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17" sqref="D1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1595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12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46039.792493402776</v>
      </c>
      <c r="C5">
        <f>IF(ISNUMBER(E5), IF(ISNUMBER(C4), C4+1, 1), "")</f>
        <v>1</v>
      </c>
      <c r="D5" t="s">
        <v>26</v>
      </c>
      <c r="E5">
        <v>1</v>
      </c>
      <c r="F5">
        <v>210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189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46039.792493402776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20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46039.792493402776</v>
      </c>
      <c r="C7">
        <f t="shared" si="0"/>
        <v>3</v>
      </c>
      <c r="D7" t="s">
        <v>29</v>
      </c>
      <c r="E7">
        <v>1</v>
      </c>
      <c r="F7">
        <v>30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30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46039.792493402776</v>
      </c>
      <c r="C8">
        <f t="shared" si="0"/>
        <v>4</v>
      </c>
      <c r="D8" t="s">
        <v>30</v>
      </c>
      <c r="E8">
        <v>1</v>
      </c>
      <c r="F8">
        <v>45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45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46039.792493402776</v>
      </c>
      <c r="C9">
        <f t="shared" si="0"/>
        <v>5</v>
      </c>
      <c r="D9" t="s">
        <v>31</v>
      </c>
      <c r="E9">
        <v>1</v>
      </c>
      <c r="F9">
        <v>120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120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46039.792493402776</v>
      </c>
      <c r="C10">
        <f t="shared" si="0"/>
        <v>6</v>
      </c>
      <c r="D10" t="s">
        <v>32</v>
      </c>
      <c r="E10">
        <v>2</v>
      </c>
      <c r="F10">
        <v>90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180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46039.792493402776</v>
      </c>
      <c r="C11">
        <f t="shared" si="0"/>
        <v>7</v>
      </c>
      <c r="D11" t="s">
        <v>33</v>
      </c>
      <c r="E11">
        <v>1</v>
      </c>
      <c r="F11">
        <v>20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20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46039.792493402776</v>
      </c>
      <c r="C12">
        <f t="shared" si="0"/>
        <v>8</v>
      </c>
      <c r="D12" t="s">
        <v>34</v>
      </c>
      <c r="E12">
        <v>1</v>
      </c>
      <c r="F12">
        <v>5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46039.792493402776</v>
      </c>
      <c r="C13">
        <f t="shared" si="0"/>
        <v>9</v>
      </c>
      <c r="D13" t="s">
        <v>35</v>
      </c>
      <c r="E13">
        <v>1</v>
      </c>
      <c r="F13">
        <v>15</v>
      </c>
      <c r="G13" t="s">
        <v>27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13.5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46039.792493402776</v>
      </c>
      <c r="C14">
        <f t="shared" si="0"/>
        <v>10</v>
      </c>
      <c r="D14" t="s">
        <v>36</v>
      </c>
      <c r="E14">
        <v>1</v>
      </c>
      <c r="F14">
        <v>150</v>
      </c>
      <c r="G14" t="s">
        <v>27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142.5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46039.792493402776</v>
      </c>
      <c r="C15">
        <f t="shared" si="0"/>
        <v>11</v>
      </c>
      <c r="D15" t="s">
        <v>37</v>
      </c>
      <c r="E15">
        <v>1</v>
      </c>
      <c r="F15">
        <v>250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250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46039.792493402776</v>
      </c>
      <c r="C16">
        <f t="shared" si="0"/>
        <v>12</v>
      </c>
      <c r="D16" t="s">
        <v>38</v>
      </c>
      <c r="E16">
        <v>1</v>
      </c>
      <c r="F16">
        <v>580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580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/>
      <c r="N27" s="27"/>
      <c r="O27" s="30"/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39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3532.5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27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46039.792493402776</v>
      </c>
      <c r="C5">
        <f t="shared" ref="C5:C68" si="0">IF(ISNUMBER(E5), IF(ISNUMBER(C4), C4+1, 1), "")</f>
        <v>1</v>
      </c>
      <c r="D5" t="s">
        <v>40</v>
      </c>
      <c r="E5">
        <v>1</v>
      </c>
      <c r="F5">
        <v>350</v>
      </c>
      <c r="G5" t="s">
        <v>27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315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46039.792493402776</v>
      </c>
      <c r="C6">
        <f t="shared" si="0"/>
        <v>2</v>
      </c>
      <c r="D6" t="s">
        <v>41</v>
      </c>
      <c r="E6">
        <v>1</v>
      </c>
      <c r="F6">
        <v>39</v>
      </c>
      <c r="G6" t="s">
        <v>27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35.5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46039.792493402776</v>
      </c>
      <c r="C7">
        <f t="shared" si="0"/>
        <v>3</v>
      </c>
      <c r="D7" t="s">
        <v>42</v>
      </c>
      <c r="E7">
        <v>3</v>
      </c>
      <c r="F7">
        <v>18</v>
      </c>
      <c r="G7" t="s">
        <v>27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49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46039.792493402776</v>
      </c>
      <c r="C8">
        <f t="shared" si="0"/>
        <v>4</v>
      </c>
      <c r="D8" t="s">
        <v>43</v>
      </c>
      <c r="E8">
        <v>1</v>
      </c>
      <c r="F8">
        <v>28</v>
      </c>
      <c r="G8" t="s">
        <v>27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25.5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46039.792493402776</v>
      </c>
      <c r="C9">
        <f t="shared" si="0"/>
        <v>5</v>
      </c>
      <c r="D9" t="s">
        <v>44</v>
      </c>
      <c r="E9">
        <v>1</v>
      </c>
      <c r="F9">
        <v>320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320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46039.792493402776</v>
      </c>
      <c r="C10">
        <f t="shared" si="0"/>
        <v>6</v>
      </c>
      <c r="D10" t="s">
        <v>45</v>
      </c>
      <c r="E10">
        <v>2</v>
      </c>
      <c r="F10">
        <v>250</v>
      </c>
      <c r="G10" t="s">
        <v>27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475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46039.792493402776</v>
      </c>
      <c r="C11">
        <f t="shared" si="0"/>
        <v>7</v>
      </c>
      <c r="D11" t="s">
        <v>46</v>
      </c>
      <c r="E11">
        <v>1</v>
      </c>
      <c r="F11">
        <v>190</v>
      </c>
      <c r="G11" t="s">
        <v>27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171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46039.792493402776</v>
      </c>
      <c r="C12">
        <f t="shared" si="0"/>
        <v>8</v>
      </c>
      <c r="D12" t="s">
        <v>47</v>
      </c>
      <c r="E12">
        <v>2</v>
      </c>
      <c r="F12">
        <v>57</v>
      </c>
      <c r="G12" t="s">
        <v>27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103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46039.792493402776</v>
      </c>
      <c r="C13">
        <f t="shared" si="0"/>
        <v>9</v>
      </c>
      <c r="D13" t="s">
        <v>48</v>
      </c>
      <c r="E13">
        <v>1</v>
      </c>
      <c r="F13">
        <v>280</v>
      </c>
      <c r="G13" t="s">
        <v>27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252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46039.792493402776</v>
      </c>
      <c r="C14">
        <f t="shared" si="0"/>
        <v>10</v>
      </c>
      <c r="D14" t="s">
        <v>49</v>
      </c>
      <c r="E14">
        <v>1</v>
      </c>
      <c r="F14">
        <v>20</v>
      </c>
      <c r="G14" t="s">
        <v>27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46039.792493402776</v>
      </c>
      <c r="C15">
        <f t="shared" si="0"/>
        <v>11</v>
      </c>
      <c r="D15" t="s">
        <v>50</v>
      </c>
      <c r="E15">
        <v>1</v>
      </c>
      <c r="F15">
        <v>75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75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46039.792493402776</v>
      </c>
      <c r="C16">
        <f t="shared" si="0"/>
        <v>12</v>
      </c>
      <c r="D16" t="s">
        <v>51</v>
      </c>
      <c r="E16">
        <v>1</v>
      </c>
      <c r="F16">
        <v>78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78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52</v>
      </c>
      <c r="E17">
        <v>1</v>
      </c>
      <c r="F17">
        <v>200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200</v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53</v>
      </c>
      <c r="E18">
        <v>1</v>
      </c>
      <c r="F18">
        <v>53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53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54</v>
      </c>
      <c r="E19">
        <v>1</v>
      </c>
      <c r="F19">
        <v>88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88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55</v>
      </c>
      <c r="E20">
        <v>3</v>
      </c>
      <c r="F20">
        <v>15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45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56</v>
      </c>
      <c r="E21">
        <v>1</v>
      </c>
      <c r="F21">
        <v>500</v>
      </c>
      <c r="G21" t="s">
        <v>27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450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57</v>
      </c>
      <c r="E22">
        <v>1</v>
      </c>
      <c r="F22">
        <v>123</v>
      </c>
      <c r="G22" t="s">
        <v>27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117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58</v>
      </c>
      <c r="E23">
        <v>1</v>
      </c>
      <c r="F23">
        <v>142</v>
      </c>
      <c r="G23" t="s">
        <v>27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135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59</v>
      </c>
      <c r="E24">
        <v>1</v>
      </c>
      <c r="F24">
        <v>78</v>
      </c>
      <c r="G24" t="s">
        <v>27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70.5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60</v>
      </c>
      <c r="E25">
        <v>1</v>
      </c>
      <c r="F25">
        <v>36</v>
      </c>
      <c r="G25" t="s">
        <v>27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32.5</v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>
        <f t="shared" si="0"/>
        <v>22</v>
      </c>
      <c r="D26" t="s">
        <v>61</v>
      </c>
      <c r="E26">
        <v>2</v>
      </c>
      <c r="F26">
        <v>42</v>
      </c>
      <c r="G26" t="s">
        <v>27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76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>
        <f t="shared" si="0"/>
        <v>23</v>
      </c>
      <c r="D27" t="s">
        <v>62</v>
      </c>
      <c r="E27">
        <v>1</v>
      </c>
      <c r="F27">
        <v>57</v>
      </c>
      <c r="G27" t="s">
        <v>27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51.5</v>
      </c>
      <c r="M27" s="13"/>
      <c r="N27" s="15"/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>
        <f t="shared" si="0"/>
        <v>24</v>
      </c>
      <c r="D28" t="s">
        <v>43</v>
      </c>
      <c r="E28">
        <v>1</v>
      </c>
      <c r="F28">
        <v>28</v>
      </c>
      <c r="G28" t="s">
        <v>27</v>
      </c>
      <c r="H28" s="5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>25.5</v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>
        <f t="shared" si="0"/>
        <v>25</v>
      </c>
      <c r="D29" t="s">
        <v>63</v>
      </c>
      <c r="E29">
        <v>1</v>
      </c>
      <c r="F29">
        <v>135</v>
      </c>
      <c r="G29" t="s">
        <v>27</v>
      </c>
      <c r="H29" s="5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>121.5</v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>
        <f t="shared" si="0"/>
        <v>26</v>
      </c>
      <c r="D30" t="s">
        <v>64</v>
      </c>
      <c r="E30">
        <v>1</v>
      </c>
      <c r="F30">
        <v>75</v>
      </c>
      <c r="H30" s="5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>75</v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>
        <f t="shared" si="0"/>
        <v>27</v>
      </c>
      <c r="D31" t="s">
        <v>65</v>
      </c>
      <c r="E31">
        <v>1</v>
      </c>
      <c r="F31">
        <v>75</v>
      </c>
      <c r="H31" s="5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>75</v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66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1488.5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46039.792493402776</v>
      </c>
      <c r="C5">
        <f>IF(ISNUMBER(E5), IF(ISNUMBER(C4), C4+1, 1), "")</f>
        <v>1</v>
      </c>
      <c r="D5" t="s">
        <v>57</v>
      </c>
      <c r="E5">
        <v>1</v>
      </c>
      <c r="F5">
        <v>123</v>
      </c>
      <c r="G5" t="s">
        <v>27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117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46039.792493402776</v>
      </c>
      <c r="C6">
        <f>IF(ISNUMBER(E6), IF(ISNUMBER(C5), C5+1, 1), "")</f>
        <v>2</v>
      </c>
      <c r="D6" t="s">
        <v>57</v>
      </c>
      <c r="E6">
        <v>1</v>
      </c>
      <c r="F6">
        <v>123</v>
      </c>
      <c r="G6" t="s">
        <v>27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117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46039.792493402776</v>
      </c>
      <c r="C7">
        <f>IF(ISNUMBER(E7), IF(ISNUMBER(C6), C6+1, 1), "")</f>
        <v>3</v>
      </c>
      <c r="D7" t="s">
        <v>62</v>
      </c>
      <c r="E7">
        <v>1</v>
      </c>
      <c r="F7">
        <v>57</v>
      </c>
      <c r="G7" t="s">
        <v>27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51.5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46039.792493402776</v>
      </c>
      <c r="C8">
        <f t="shared" ref="C8:C68" si="0">IF(ISNUMBER(E8), IF(ISNUMBER(C7), C7+1, 1), "")</f>
        <v>4</v>
      </c>
      <c r="D8" t="s">
        <v>67</v>
      </c>
      <c r="E8">
        <v>1</v>
      </c>
      <c r="F8">
        <v>15</v>
      </c>
      <c r="G8" t="s">
        <v>27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13.5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46039.792493402776</v>
      </c>
      <c r="C9">
        <f t="shared" si="0"/>
        <v>5</v>
      </c>
      <c r="D9" t="s">
        <v>68</v>
      </c>
      <c r="E9">
        <v>1</v>
      </c>
      <c r="F9">
        <v>70</v>
      </c>
      <c r="G9" t="s">
        <v>27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63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46039.792493402776</v>
      </c>
      <c r="C10">
        <f t="shared" si="0"/>
        <v>6</v>
      </c>
      <c r="D10" t="s">
        <v>68</v>
      </c>
      <c r="E10">
        <v>1</v>
      </c>
      <c r="F10">
        <v>70</v>
      </c>
      <c r="G10" t="s">
        <v>27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63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46039.792493402776</v>
      </c>
      <c r="C11">
        <f t="shared" si="0"/>
        <v>7</v>
      </c>
      <c r="D11" t="s">
        <v>69</v>
      </c>
      <c r="E11">
        <v>1</v>
      </c>
      <c r="F11">
        <v>96</v>
      </c>
      <c r="G11" t="s">
        <v>27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86.5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46039.792493402776</v>
      </c>
      <c r="C12">
        <f t="shared" si="0"/>
        <v>8</v>
      </c>
      <c r="D12" t="s">
        <v>70</v>
      </c>
      <c r="E12">
        <v>1</v>
      </c>
      <c r="F12">
        <v>78</v>
      </c>
      <c r="G12" t="s">
        <v>27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70.5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46039.792493402776</v>
      </c>
      <c r="C13">
        <f t="shared" si="0"/>
        <v>9</v>
      </c>
      <c r="D13" t="s">
        <v>71</v>
      </c>
      <c r="E13">
        <v>2</v>
      </c>
      <c r="F13">
        <v>5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46039.792493402776</v>
      </c>
      <c r="C14">
        <f t="shared" si="0"/>
        <v>10</v>
      </c>
      <c r="D14" t="s">
        <v>57</v>
      </c>
      <c r="E14">
        <v>1</v>
      </c>
      <c r="F14">
        <v>123</v>
      </c>
      <c r="G14" t="s">
        <v>27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117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46039.792493402776</v>
      </c>
      <c r="C15">
        <f t="shared" si="0"/>
        <v>11</v>
      </c>
      <c r="D15" t="s">
        <v>43</v>
      </c>
      <c r="E15">
        <v>1</v>
      </c>
      <c r="F15">
        <v>28</v>
      </c>
      <c r="G15" t="s">
        <v>27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25.5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46039.792493402776</v>
      </c>
      <c r="C16">
        <f t="shared" si="0"/>
        <v>12</v>
      </c>
      <c r="D16" t="s">
        <v>67</v>
      </c>
      <c r="E16">
        <v>1</v>
      </c>
      <c r="F16">
        <v>15</v>
      </c>
      <c r="G16" t="s">
        <v>27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13.5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62</v>
      </c>
      <c r="E17">
        <v>1</v>
      </c>
      <c r="F17">
        <v>57</v>
      </c>
      <c r="G17" t="s">
        <v>27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51.5</v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57</v>
      </c>
      <c r="E18">
        <v>1</v>
      </c>
      <c r="F18">
        <v>123</v>
      </c>
      <c r="G18" t="s">
        <v>27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117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72</v>
      </c>
      <c r="E19">
        <v>1</v>
      </c>
      <c r="F19">
        <v>560</v>
      </c>
      <c r="G19" t="s">
        <v>27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504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73</v>
      </c>
      <c r="E20">
        <v>1</v>
      </c>
      <c r="F20">
        <v>71</v>
      </c>
      <c r="G20" t="s">
        <v>27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64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74</v>
      </c>
      <c r="E21">
        <v>1</v>
      </c>
      <c r="F21">
        <v>4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4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9" sqref="D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75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2900.5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14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46039.792493402776</v>
      </c>
      <c r="C5">
        <f t="shared" ref="C5:C68" si="0">IF(ISNUMBER(E5), IF(ISNUMBER(C4), C4+1, 1), "")</f>
        <v>1</v>
      </c>
      <c r="D5" t="s">
        <v>76</v>
      </c>
      <c r="E5">
        <v>1</v>
      </c>
      <c r="F5">
        <v>20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20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46039.792493402776</v>
      </c>
      <c r="C6">
        <f t="shared" si="0"/>
        <v>2</v>
      </c>
      <c r="D6" t="s">
        <v>77</v>
      </c>
      <c r="E6">
        <v>1</v>
      </c>
      <c r="F6">
        <v>30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30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46039.792493402776</v>
      </c>
      <c r="C7">
        <f t="shared" si="0"/>
        <v>3</v>
      </c>
      <c r="D7" t="s">
        <v>78</v>
      </c>
      <c r="E7">
        <v>1</v>
      </c>
      <c r="F7">
        <v>300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300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46039.792493402776</v>
      </c>
      <c r="C8">
        <f t="shared" si="0"/>
        <v>4</v>
      </c>
      <c r="D8" t="s">
        <v>79</v>
      </c>
      <c r="E8">
        <v>1</v>
      </c>
      <c r="F8">
        <v>850</v>
      </c>
      <c r="G8" t="s">
        <v>27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765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46039.792493402776</v>
      </c>
      <c r="C9">
        <f t="shared" si="0"/>
        <v>5</v>
      </c>
      <c r="D9" t="s">
        <v>80</v>
      </c>
      <c r="E9">
        <v>1</v>
      </c>
      <c r="F9">
        <v>50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50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46039.792493402776</v>
      </c>
      <c r="C10">
        <f t="shared" si="0"/>
        <v>6</v>
      </c>
      <c r="D10" t="s">
        <v>81</v>
      </c>
      <c r="E10">
        <v>1</v>
      </c>
      <c r="F10">
        <v>143</v>
      </c>
      <c r="G10" t="s">
        <v>27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129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46039.792493402776</v>
      </c>
      <c r="C11">
        <f t="shared" si="0"/>
        <v>7</v>
      </c>
      <c r="D11" t="s">
        <v>82</v>
      </c>
      <c r="E11">
        <v>1</v>
      </c>
      <c r="F11">
        <v>38</v>
      </c>
      <c r="G11" t="s">
        <v>27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34.5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46039.792493402776</v>
      </c>
      <c r="C12">
        <f t="shared" si="0"/>
        <v>8</v>
      </c>
      <c r="D12" t="s">
        <v>83</v>
      </c>
      <c r="E12">
        <v>1</v>
      </c>
      <c r="F12">
        <v>185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185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46039.792493402776</v>
      </c>
      <c r="C13">
        <f t="shared" si="0"/>
        <v>9</v>
      </c>
      <c r="D13" t="s">
        <v>84</v>
      </c>
      <c r="E13">
        <v>2</v>
      </c>
      <c r="F13">
        <v>10</v>
      </c>
      <c r="G13" t="s">
        <v>27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18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46039.792493402776</v>
      </c>
      <c r="C14">
        <f t="shared" si="0"/>
        <v>10</v>
      </c>
      <c r="D14" t="s">
        <v>57</v>
      </c>
      <c r="E14">
        <v>1</v>
      </c>
      <c r="F14">
        <v>123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123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46039.792493402776</v>
      </c>
      <c r="C15">
        <f t="shared" si="0"/>
        <v>11</v>
      </c>
      <c r="D15" t="s">
        <v>59</v>
      </c>
      <c r="E15">
        <v>1</v>
      </c>
      <c r="F15">
        <v>96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96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46039.792493402776</v>
      </c>
      <c r="C16">
        <f t="shared" si="0"/>
        <v>12</v>
      </c>
      <c r="D16" t="s">
        <v>85</v>
      </c>
      <c r="E16">
        <v>1</v>
      </c>
      <c r="F16">
        <v>220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220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86</v>
      </c>
      <c r="E17">
        <v>2</v>
      </c>
      <c r="F17">
        <v>250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500</v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87</v>
      </c>
      <c r="E18">
        <v>1</v>
      </c>
      <c r="F18">
        <v>430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430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88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2680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23" t="s">
        <v>107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46039.792493402776</v>
      </c>
      <c r="C5">
        <f t="shared" ref="C5:C68" si="0">IF(ISNUMBER(E5), IF(ISNUMBER(C4), C4+1, 1), "")</f>
        <v>1</v>
      </c>
      <c r="D5" t="s">
        <v>95</v>
      </c>
      <c r="E5">
        <v>1</v>
      </c>
      <c r="F5">
        <v>500</v>
      </c>
      <c r="G5" t="s">
        <v>27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450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46039.792493402776</v>
      </c>
      <c r="C6">
        <f t="shared" si="0"/>
        <v>2</v>
      </c>
      <c r="D6" t="s">
        <v>96</v>
      </c>
      <c r="E6">
        <v>1</v>
      </c>
      <c r="F6">
        <v>90</v>
      </c>
      <c r="G6" t="s">
        <v>27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81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46039.792493402776</v>
      </c>
      <c r="C7">
        <f t="shared" si="0"/>
        <v>3</v>
      </c>
      <c r="D7" t="s">
        <v>97</v>
      </c>
      <c r="E7">
        <v>1</v>
      </c>
      <c r="F7">
        <v>345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345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46039.792493402776</v>
      </c>
      <c r="C8">
        <f t="shared" si="0"/>
        <v>4</v>
      </c>
      <c r="D8" t="s">
        <v>98</v>
      </c>
      <c r="E8">
        <v>1</v>
      </c>
      <c r="F8">
        <v>142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142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46039.792493402776</v>
      </c>
      <c r="C9">
        <f t="shared" si="0"/>
        <v>5</v>
      </c>
      <c r="D9" t="s">
        <v>99</v>
      </c>
      <c r="E9">
        <v>1</v>
      </c>
      <c r="F9">
        <v>20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46039.792493402776</v>
      </c>
      <c r="C10">
        <f t="shared" si="0"/>
        <v>6</v>
      </c>
      <c r="D10" t="s">
        <v>100</v>
      </c>
      <c r="E10">
        <v>1</v>
      </c>
      <c r="F10">
        <v>48</v>
      </c>
      <c r="G10" t="s">
        <v>27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43.5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46039.792493402776</v>
      </c>
      <c r="C11">
        <f t="shared" si="0"/>
        <v>7</v>
      </c>
      <c r="D11" t="s">
        <v>101</v>
      </c>
      <c r="E11">
        <v>1</v>
      </c>
      <c r="F11">
        <v>890</v>
      </c>
      <c r="G11" t="s">
        <v>27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801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46039.792493402776</v>
      </c>
      <c r="C12">
        <f t="shared" si="0"/>
        <v>8</v>
      </c>
      <c r="D12" t="s">
        <v>52</v>
      </c>
      <c r="E12">
        <v>1</v>
      </c>
      <c r="F12">
        <v>200</v>
      </c>
      <c r="G12" t="s">
        <v>27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190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46039.792493402776</v>
      </c>
      <c r="C13">
        <f t="shared" si="0"/>
        <v>9</v>
      </c>
      <c r="D13" t="s">
        <v>102</v>
      </c>
      <c r="E13">
        <v>1</v>
      </c>
      <c r="F13">
        <v>48</v>
      </c>
      <c r="G13" t="s">
        <v>27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43.5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46039.792493402776</v>
      </c>
      <c r="C14">
        <f t="shared" si="0"/>
        <v>10</v>
      </c>
      <c r="D14" t="s">
        <v>103</v>
      </c>
      <c r="E14">
        <v>1</v>
      </c>
      <c r="F14">
        <v>266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266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46039.792493402776</v>
      </c>
      <c r="C15">
        <f t="shared" si="0"/>
        <v>11</v>
      </c>
      <c r="D15" t="s">
        <v>104</v>
      </c>
      <c r="E15">
        <v>1</v>
      </c>
      <c r="F15">
        <v>198</v>
      </c>
      <c r="G15" t="s">
        <v>27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178.5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46039.792493402776</v>
      </c>
      <c r="C16">
        <f t="shared" si="0"/>
        <v>12</v>
      </c>
      <c r="D16" t="s">
        <v>105</v>
      </c>
      <c r="E16">
        <v>1</v>
      </c>
      <c r="F16">
        <v>75</v>
      </c>
      <c r="G16" t="s">
        <v>27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67.5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106</v>
      </c>
      <c r="E17">
        <v>1</v>
      </c>
      <c r="F17">
        <v>52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52</v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89</v>
      </c>
      <c r="N27" s="15">
        <v>3659</v>
      </c>
      <c r="O27" s="40" t="s">
        <v>90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91</v>
      </c>
      <c r="N28" s="15">
        <v>1541</v>
      </c>
      <c r="O28" s="40" t="s">
        <v>90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92</v>
      </c>
      <c r="N29" s="15">
        <v>1500</v>
      </c>
      <c r="O29" s="40" t="s">
        <v>90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93</v>
      </c>
      <c r="N30" s="15">
        <v>6700</v>
      </c>
      <c r="O30" s="40" t="s">
        <v>94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108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3410.5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22</v>
      </c>
      <c r="M4" s="43" t="s">
        <v>127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46039.792493402776</v>
      </c>
      <c r="C5">
        <f t="shared" ref="C5:C68" si="0">IF(ISNUMBER(E5), IF(ISNUMBER(C4), C4+1, 1), "")</f>
        <v>1</v>
      </c>
      <c r="D5" t="s">
        <v>109</v>
      </c>
      <c r="E5">
        <v>2</v>
      </c>
      <c r="F5">
        <v>15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30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46039.792493402776</v>
      </c>
      <c r="C6">
        <f t="shared" si="0"/>
        <v>2</v>
      </c>
      <c r="D6" t="s">
        <v>110</v>
      </c>
      <c r="E6">
        <v>1</v>
      </c>
      <c r="F6">
        <v>8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8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46039.792493402776</v>
      </c>
      <c r="C7">
        <f t="shared" si="0"/>
        <v>3</v>
      </c>
      <c r="D7" t="s">
        <v>111</v>
      </c>
      <c r="E7">
        <v>1</v>
      </c>
      <c r="F7">
        <v>185</v>
      </c>
      <c r="G7" t="s">
        <v>27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166.5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46039.792493402776</v>
      </c>
      <c r="C8">
        <f t="shared" si="0"/>
        <v>4</v>
      </c>
      <c r="D8" t="s">
        <v>57</v>
      </c>
      <c r="E8">
        <v>1</v>
      </c>
      <c r="F8">
        <v>123</v>
      </c>
      <c r="G8" t="s">
        <v>27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117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46039.792493402776</v>
      </c>
      <c r="C9">
        <f t="shared" si="0"/>
        <v>5</v>
      </c>
      <c r="D9" t="s">
        <v>112</v>
      </c>
      <c r="E9">
        <v>1</v>
      </c>
      <c r="F9">
        <v>57</v>
      </c>
      <c r="G9" t="s">
        <v>27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51.5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46039.792493402776</v>
      </c>
      <c r="C10">
        <f t="shared" si="0"/>
        <v>6</v>
      </c>
      <c r="D10" t="s">
        <v>71</v>
      </c>
      <c r="E10">
        <v>4</v>
      </c>
      <c r="F10">
        <v>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20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46039.792493402776</v>
      </c>
      <c r="C11">
        <f t="shared" si="0"/>
        <v>7</v>
      </c>
      <c r="D11" t="s">
        <v>113</v>
      </c>
      <c r="E11">
        <v>3</v>
      </c>
      <c r="F11">
        <v>3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9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46039.792493402776</v>
      </c>
      <c r="C12">
        <f t="shared" si="0"/>
        <v>8</v>
      </c>
      <c r="D12" t="s">
        <v>114</v>
      </c>
      <c r="E12">
        <v>1</v>
      </c>
      <c r="F12">
        <v>34</v>
      </c>
      <c r="G12" t="s">
        <v>27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31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46039.792493402776</v>
      </c>
      <c r="C13">
        <f t="shared" si="0"/>
        <v>9</v>
      </c>
      <c r="D13" t="s">
        <v>115</v>
      </c>
      <c r="E13">
        <v>1</v>
      </c>
      <c r="F13">
        <v>700</v>
      </c>
      <c r="G13" t="s">
        <v>27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630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46039.792493402776</v>
      </c>
      <c r="C14">
        <f t="shared" si="0"/>
        <v>10</v>
      </c>
      <c r="D14" t="s">
        <v>116</v>
      </c>
      <c r="E14">
        <v>1</v>
      </c>
      <c r="F14">
        <v>135</v>
      </c>
      <c r="G14" t="s">
        <v>27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121.5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46039.792493402776</v>
      </c>
      <c r="C15">
        <f t="shared" si="0"/>
        <v>11</v>
      </c>
      <c r="D15" t="s">
        <v>117</v>
      </c>
      <c r="E15">
        <v>2</v>
      </c>
      <c r="F15">
        <v>280</v>
      </c>
      <c r="G15" t="s">
        <v>27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504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46039.792493402776</v>
      </c>
      <c r="C16">
        <f t="shared" si="0"/>
        <v>12</v>
      </c>
      <c r="D16" t="s">
        <v>60</v>
      </c>
      <c r="E16">
        <v>2</v>
      </c>
      <c r="F16">
        <v>36</v>
      </c>
      <c r="G16" t="s">
        <v>27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65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118</v>
      </c>
      <c r="E17">
        <v>1</v>
      </c>
      <c r="F17">
        <v>27</v>
      </c>
      <c r="G17" t="s">
        <v>27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24.5</v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119</v>
      </c>
      <c r="E18">
        <v>1</v>
      </c>
      <c r="F18">
        <v>189</v>
      </c>
      <c r="G18" t="s">
        <v>27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170.5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111</v>
      </c>
      <c r="E19">
        <v>1</v>
      </c>
      <c r="F19">
        <v>185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185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57</v>
      </c>
      <c r="E20">
        <v>1</v>
      </c>
      <c r="F20">
        <v>123</v>
      </c>
      <c r="G20" t="s">
        <v>27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117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121</v>
      </c>
      <c r="E21">
        <v>1</v>
      </c>
      <c r="F21">
        <v>90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90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122</v>
      </c>
      <c r="E22">
        <v>1</v>
      </c>
      <c r="F22">
        <v>460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460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123</v>
      </c>
      <c r="E23">
        <v>1</v>
      </c>
      <c r="F23">
        <v>171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171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124</v>
      </c>
      <c r="E24">
        <v>2</v>
      </c>
      <c r="F24">
        <v>3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6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125</v>
      </c>
      <c r="E25">
        <v>1</v>
      </c>
      <c r="F25">
        <v>170</v>
      </c>
      <c r="G25" t="s">
        <v>27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153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126</v>
      </c>
      <c r="E26">
        <v>1</v>
      </c>
      <c r="F26">
        <v>280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280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120</v>
      </c>
      <c r="N27" s="15">
        <v>1550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46039.792493402776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46039.792493402776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46039.792493402776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46039.792493402776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46039.792493402776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46039.792493402776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46039.792493402776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46039.792493402776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46039.792493402776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46039.792493402776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46039.792493402776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12-01-26</vt:lpstr>
      <vt:lpstr>Martes 13-01-26</vt:lpstr>
      <vt:lpstr>Miercoles 14-01-26</vt:lpstr>
      <vt:lpstr>Jueves 15-01-26</vt:lpstr>
      <vt:lpstr>Viernes 16-01-26</vt:lpstr>
      <vt:lpstr>Sabado 17-01-26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2026-01-18T01:02:01Z</dcterms:modified>
</cp:coreProperties>
</file>