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B6D4F34-C22F-4F80-B93A-FC17343BA32E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9-02-26" sheetId="1" r:id="rId1"/>
    <sheet name="Martes 20-01-26" sheetId="2" r:id="rId2"/>
    <sheet name="Miercoles 21-01-26" sheetId="3" r:id="rId3"/>
    <sheet name="Jueves 22-01-26" sheetId="4" r:id="rId4"/>
    <sheet name="Viernes 23-01-26" sheetId="5" r:id="rId5"/>
    <sheet name="SABADO-25 DE ENERO-26" sheetId="6" r:id="rId6"/>
    <sheet name="Domingo" sheetId="8" r:id="rId7"/>
    <sheet name="Cambios" sheetId="7" r:id="rId8"/>
  </sheets>
  <definedNames>
    <definedName name="_xlnm._FilterDatabase" localSheetId="0" hidden="1">'Lunes 19-02-26'!$B$4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<sst xmlns="http://schemas.openxmlformats.org/spreadsheetml/2006/main" count="316" uniqueCount="154">
  <si>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</si>
  <si>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</si>
  <si>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</si>
  <si>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</si>
  <si>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</si>
  <si>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</si>
  <si>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</si>
  <si>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</si>
  <si>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</si>
  <si>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</si>
  <si>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</si>
  <si>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</si>
  <si>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</si>
  <si>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</si>
  <si>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</si>
  <si>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</si>
  <si>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</si>
  <si>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</si>
  <si>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</si>
  <si>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</si>
  <si>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</si>
  <si>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</si>
  <si>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</si>
  <si>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</si>
  <si>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</si>
  <si>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19 DE ENERO-26</t>
  </si>
  <si>
    <t xml:space="preserve">FOCO DE STOP </t>
  </si>
  <si>
    <t xml:space="preserve">DIRECCIONALES UNIVERSALES </t>
  </si>
  <si>
    <t>X</t>
  </si>
  <si>
    <t>RAYOS TRASEROS DM200</t>
  </si>
  <si>
    <t xml:space="preserve">FILTRO DE ALTO FLUJO UNIVERSAL </t>
  </si>
  <si>
    <t>PILA 6.5 QLINK</t>
  </si>
  <si>
    <t>PILA YTX 7 MOTONETA WAPWMEX</t>
  </si>
  <si>
    <t>CAMARA 3.50.18</t>
  </si>
  <si>
    <t>CAMARA 3.00.17</t>
  </si>
  <si>
    <t>SILENCIADOR DE ESCAPE</t>
  </si>
  <si>
    <t>PUÑOS FT150 YOG</t>
  </si>
  <si>
    <t>EJE DE RUEDA DELKANTERA DM200</t>
  </si>
  <si>
    <t>FILTRO DE AIRE WS150</t>
  </si>
  <si>
    <t>PAÑUELO</t>
  </si>
  <si>
    <t>ESPEJOS COFE RANCING</t>
  </si>
  <si>
    <t>STIKER</t>
  </si>
  <si>
    <t>CUBRE POLVO DE HORQUILLA ATV</t>
  </si>
  <si>
    <t>MANIJA DE FT150 CON BASE</t>
  </si>
  <si>
    <t>Martes 20 DE ENERO-26</t>
  </si>
  <si>
    <t xml:space="preserve">LLAVERO </t>
  </si>
  <si>
    <t xml:space="preserve">ACEITE REPSOL </t>
  </si>
  <si>
    <t>BUJIA C7</t>
  </si>
  <si>
    <t>JUNTA DE TRASMISION DS150</t>
  </si>
  <si>
    <t xml:space="preserve">FABULOSO Y PAPEL </t>
  </si>
  <si>
    <t>PILA 12N7-3A QLINK</t>
  </si>
  <si>
    <t>FOCO DE STOP</t>
  </si>
  <si>
    <t>ACEITE AKRON</t>
  </si>
  <si>
    <t>BUJIA D8</t>
  </si>
  <si>
    <t>INTERUPTOR DE FRENO ATV</t>
  </si>
  <si>
    <t>FILTRO DE AIRE DM200</t>
  </si>
  <si>
    <t xml:space="preserve">TUERCAS </t>
  </si>
  <si>
    <t>FOCO H4 HALOGENO</t>
  </si>
  <si>
    <t>EJE DELANTERO YBR125</t>
  </si>
  <si>
    <t>CHICOTE DE CLUTH 170Z</t>
  </si>
  <si>
    <t>RELEVADOR FT150</t>
  </si>
  <si>
    <t>FOCO DE DIRECIONAL</t>
  </si>
  <si>
    <t>BONTON DE INTERMITENTES</t>
  </si>
  <si>
    <t>BIRLOS DE FT125</t>
  </si>
  <si>
    <t xml:space="preserve">ACEITE YAMALUBE </t>
  </si>
  <si>
    <t>GOMA DE PARADOR LATERAL DS150</t>
  </si>
  <si>
    <t>FOCO H6 HALOGENO</t>
  </si>
  <si>
    <t xml:space="preserve">MANIJAS DE LUJO ROJAS </t>
  </si>
  <si>
    <t xml:space="preserve">CUENTA DE SEMANA PASADA $ 28124.5 MENOS 66 DE ROLLO Y FABULOSO QUEDA $28058.5 </t>
  </si>
  <si>
    <t>Miercoles 21 DE ENERO-26</t>
  </si>
  <si>
    <t>MANIJAS DE LUJO ROJAS</t>
  </si>
  <si>
    <t xml:space="preserve">JUNTA DE ATV </t>
  </si>
  <si>
    <t>JUNTA DE CILINDRO FT150</t>
  </si>
  <si>
    <t>ACEITE LUBER</t>
  </si>
  <si>
    <t>JUNTA DE BENDIX DS150</t>
  </si>
  <si>
    <t>SELLOS DE ESCAPE FT150</t>
  </si>
  <si>
    <t>HORQUILLA DE CAMBIOS</t>
  </si>
  <si>
    <t>CAMARA 3.50.10</t>
  </si>
  <si>
    <t>LLANTA 3.0017</t>
  </si>
  <si>
    <t>CAMARA 130-90-13</t>
  </si>
  <si>
    <t>BALATA DE DISCO DS150</t>
  </si>
  <si>
    <t>MANUBRIO DE FT150</t>
  </si>
  <si>
    <t>ACEITE REPSOL</t>
  </si>
  <si>
    <t>JUNTAS DE MOTRO DS150</t>
  </si>
  <si>
    <t>BALATA DE DISCO ATV ITALIKA</t>
  </si>
  <si>
    <t>TROMPA DE ELEFENATE</t>
  </si>
  <si>
    <t xml:space="preserve">BALATA DE ATV </t>
  </si>
  <si>
    <t>Jueves 22 DE ENERO-26</t>
  </si>
  <si>
    <t xml:space="preserve">PUÑOS CON LUZ </t>
  </si>
  <si>
    <t>MANIJA IZQUIERDA FT150</t>
  </si>
  <si>
    <t>BUIA C9</t>
  </si>
  <si>
    <t>FILTRO DE AIRE PULSAR 200NS</t>
  </si>
  <si>
    <t>FILTRO DE ACEIT PULSAR 200NS</t>
  </si>
  <si>
    <t>ACEITE MOTUL 3000</t>
  </si>
  <si>
    <t>TAZA DE DIRECCION FT150</t>
  </si>
  <si>
    <t>WAPEMEX</t>
  </si>
  <si>
    <t>TOTAL</t>
  </si>
  <si>
    <t xml:space="preserve">CUENTA SEMANA PASADA $ 28058.5 MENOS $ 4901 QUEDA $23157.5 </t>
  </si>
  <si>
    <t xml:space="preserve">ACEITE AKRON </t>
  </si>
  <si>
    <t xml:space="preserve">FOCO H4 LED </t>
  </si>
  <si>
    <t>PILA 12N7 3B WAPEMEX</t>
  </si>
  <si>
    <t>BALATA DE DISCO 170Z</t>
  </si>
  <si>
    <t xml:space="preserve">SILENCIADOR </t>
  </si>
  <si>
    <t>DISCO DE FRENO TRASERO 250Z</t>
  </si>
  <si>
    <t xml:space="preserve">MANUBRIO UNIVERSAL </t>
  </si>
  <si>
    <t>RED DE ACIENTO WS150</t>
  </si>
  <si>
    <t xml:space="preserve">TOTAL </t>
  </si>
  <si>
    <t>PEDAL DE ARRANQUE FT125</t>
  </si>
  <si>
    <t>Viernes 23 DE ENERO-25</t>
  </si>
  <si>
    <t>FABUROLLO</t>
  </si>
  <si>
    <t>MARTES 20 DE ENERO-26</t>
  </si>
  <si>
    <t>PWAPEME</t>
  </si>
  <si>
    <t>JUEVES 22 DE ENERO-26</t>
  </si>
  <si>
    <t>VIERNES 23 DE ENERO-26</t>
  </si>
  <si>
    <t>PAGOYAS</t>
  </si>
  <si>
    <t xml:space="preserve">TOTAL DE EGRESOS </t>
  </si>
  <si>
    <t>ACEITE MOTUL 7100-20-W50</t>
  </si>
  <si>
    <t>P.OSCAR</t>
  </si>
  <si>
    <t>ACEITE MOTUL 5100-15W-50</t>
  </si>
  <si>
    <t>LLANTA 150-70-17 TIMSUP</t>
  </si>
  <si>
    <t>RELEVADOR DE FT150</t>
  </si>
  <si>
    <t>MALETERA</t>
  </si>
  <si>
    <t>TUERCAS DE ESCAPE DS150</t>
  </si>
  <si>
    <t>FILTRO DE AIRE D150</t>
  </si>
  <si>
    <t xml:space="preserve">PORTA FUSIBLE </t>
  </si>
  <si>
    <t>BULBO DE FRENO DS150</t>
  </si>
  <si>
    <t>TIRA LED</t>
  </si>
  <si>
    <t>BOMBA DE FRENO ATV</t>
  </si>
  <si>
    <t>SELLO SE ESCAPE FT150</t>
  </si>
  <si>
    <t>VALVULAS DE DS150</t>
  </si>
  <si>
    <t>ACEITE YAMALUBE</t>
  </si>
  <si>
    <t>BALATA DE DISCO ATV</t>
  </si>
  <si>
    <t>LUBRICANTE AXPRO</t>
  </si>
  <si>
    <t>PARADOR LATERAL DM200</t>
  </si>
  <si>
    <t>TORNILLO</t>
  </si>
  <si>
    <t xml:space="preserve">RESORTE LATERAL </t>
  </si>
  <si>
    <r>
      <rPr>
        <b/>
        <sz val="14"/>
        <color theme="1"/>
        <rFont val="Calibri"/>
        <family val="2"/>
        <scheme val="minor"/>
      </rPr>
      <t>CORTES DE LA SEMANA         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19 DE ENERO-26                           $28124.5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$ 2435                  MENOS $ 14224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20 DE ENERO-26   QUEDA   $13900.5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$ 2125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21 DE ENERO-26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$ 2614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22 DE ENERO-26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$ 3003.5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23 DE ENERO-26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$4503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$ 14680.5 
</t>
    </r>
    <r>
      <rPr>
        <b/>
        <sz val="28"/>
        <color theme="1"/>
        <rFont val="Calibri"/>
        <family val="2"/>
        <scheme val="minor"/>
      </rPr>
      <t>TOTAL EN CAJA $28581</t>
    </r>
  </si>
  <si>
    <t>Sabado 24 DE ENERO-26</t>
  </si>
  <si>
    <t>RED DE ACIENTO UNIVERSAL</t>
  </si>
  <si>
    <t>BUJIA C9</t>
  </si>
  <si>
    <t xml:space="preserve">BUJIA PARA PULSAR </t>
  </si>
  <si>
    <t xml:space="preserve">ESPEJOS DE DM200 </t>
  </si>
  <si>
    <t>CARBURADOR DE FT150</t>
  </si>
  <si>
    <t xml:space="preserve">BANDALA </t>
  </si>
  <si>
    <t xml:space="preserve">MARCADOR PARA LLANTA </t>
  </si>
  <si>
    <t>ESCAPE</t>
  </si>
  <si>
    <t>CHICOTE UNIVERSAL DE CLUTHN</t>
  </si>
  <si>
    <t xml:space="preserve">PILA WAPEMEX YTX 7 </t>
  </si>
  <si>
    <t>GOGLESS</t>
  </si>
  <si>
    <t>RESORTE DE LA PATA DM200</t>
  </si>
  <si>
    <t xml:space="preserve">BALATA DE DISCO DS150 </t>
  </si>
  <si>
    <t>PASTAS DE CLUTH 250Z</t>
  </si>
  <si>
    <t>BALATA DE TAMBOR FT150</t>
  </si>
  <si>
    <r>
      <t xml:space="preserve">CUENTA DE HOY SABADO $ 2939 MENOS $ 300 PAGO DE YAS QUEDA $ 2639  MAS LA CUENTA DE AYER $ 28581 
</t>
    </r>
    <r>
      <rPr>
        <b/>
        <sz val="22"/>
        <color rgb="FFFF0000"/>
        <rFont val="Calibri"/>
        <family val="2"/>
        <scheme val="minor"/>
      </rPr>
      <t>TOTAL EN CAJA $ 31220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</si>
</sst>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3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2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19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18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15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14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1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0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3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2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2435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17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46046.806994444443</v>
      </c>
      <c r="C5">
        <f>IF(ISNUMBER(E5), IF(ISNUMBER(C4), C4+1, 1), "")</f>
        <v>1</v>
      </c>
      <c r="D5" t="s">
        <v>26</v>
      </c>
      <c r="E5">
        <v>1</v>
      </c>
      <c r="F5">
        <v>20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46046.806994444443</v>
      </c>
      <c r="C6">
        <f t="shared" ref="C6:C36" si="0">IF(ISNUMBER(E6), IF(ISNUMBER(C5), C5+1, 1), "")</f>
        <v>2</v>
      </c>
      <c r="D6" t="s">
        <v>27</v>
      </c>
      <c r="E6">
        <v>2</v>
      </c>
      <c r="F6">
        <v>90</v>
      </c>
      <c r="G6" t="s">
        <v>28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162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46046.806994444443</v>
      </c>
      <c r="C7">
        <f t="shared" si="0"/>
        <v>3</v>
      </c>
      <c r="D7" t="s">
        <v>29</v>
      </c>
      <c r="E7">
        <v>7</v>
      </c>
      <c r="F7">
        <v>7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49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46046.806994444443</v>
      </c>
      <c r="C8">
        <f t="shared" si="0"/>
        <v>4</v>
      </c>
      <c r="D8" t="s">
        <v>30</v>
      </c>
      <c r="E8">
        <v>1</v>
      </c>
      <c r="F8">
        <v>78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78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46046.806994444443</v>
      </c>
      <c r="C9">
        <f t="shared" si="0"/>
        <v>5</v>
      </c>
      <c r="D9" t="s">
        <v>31</v>
      </c>
      <c r="E9">
        <v>1</v>
      </c>
      <c r="F9">
        <v>645</v>
      </c>
      <c r="G9" t="s">
        <v>28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580.5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46046.806994444443</v>
      </c>
      <c r="C10">
        <f t="shared" si="0"/>
        <v>6</v>
      </c>
      <c r="D10" t="s">
        <v>32</v>
      </c>
      <c r="E10">
        <v>1</v>
      </c>
      <c r="F10">
        <v>500</v>
      </c>
      <c r="G10" t="s">
        <v>28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450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46046.806994444443</v>
      </c>
      <c r="C11">
        <f t="shared" si="0"/>
        <v>7</v>
      </c>
      <c r="D11" t="s">
        <v>33</v>
      </c>
      <c r="E11">
        <v>1</v>
      </c>
      <c r="F11">
        <v>85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85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46046.806994444443</v>
      </c>
      <c r="C12">
        <f t="shared" si="0"/>
        <v>8</v>
      </c>
      <c r="D12" t="s">
        <v>34</v>
      </c>
      <c r="E12">
        <v>1</v>
      </c>
      <c r="F12">
        <v>70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70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46046.806994444443</v>
      </c>
      <c r="C13">
        <f t="shared" si="0"/>
        <v>9</v>
      </c>
      <c r="D13" t="s">
        <v>35</v>
      </c>
      <c r="E13">
        <v>1</v>
      </c>
      <c r="F13">
        <v>230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230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46046.806994444443</v>
      </c>
      <c r="C14">
        <f t="shared" si="0"/>
        <v>10</v>
      </c>
      <c r="D14" t="s">
        <v>36</v>
      </c>
      <c r="E14">
        <v>1</v>
      </c>
      <c r="F14">
        <v>75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75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46046.806994444443</v>
      </c>
      <c r="C15">
        <f t="shared" si="0"/>
        <v>11</v>
      </c>
      <c r="D15" t="s">
        <v>37</v>
      </c>
      <c r="E15">
        <v>1</v>
      </c>
      <c r="F15">
        <v>123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123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46046.806994444443</v>
      </c>
      <c r="C16">
        <f t="shared" si="0"/>
        <v>12</v>
      </c>
      <c r="D16" t="s">
        <v>38</v>
      </c>
      <c r="E16">
        <v>1</v>
      </c>
      <c r="F16">
        <v>56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56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46046.806994444443</v>
      </c>
      <c r="C17">
        <f t="shared" si="0"/>
        <v>13</v>
      </c>
      <c r="D17" t="s">
        <v>39</v>
      </c>
      <c r="E17">
        <v>1</v>
      </c>
      <c r="F17">
        <v>40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40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46046.806994444443</v>
      </c>
      <c r="C18">
        <f t="shared" si="0"/>
        <v>14</v>
      </c>
      <c r="D18" t="s">
        <v>40</v>
      </c>
      <c r="E18">
        <v>1</v>
      </c>
      <c r="F18">
        <v>270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270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46046.806994444443</v>
      </c>
      <c r="C19">
        <f t="shared" si="0"/>
        <v>15</v>
      </c>
      <c r="D19" t="s">
        <v>41</v>
      </c>
      <c r="E19">
        <v>1</v>
      </c>
      <c r="F19">
        <v>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46046.806994444443</v>
      </c>
      <c r="C20">
        <f t="shared" si="0"/>
        <v>16</v>
      </c>
      <c r="D20" t="s">
        <v>42</v>
      </c>
      <c r="E20">
        <v>2</v>
      </c>
      <c r="F20">
        <v>35</v>
      </c>
      <c r="G20" t="s">
        <v>28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63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46046.806994444443</v>
      </c>
      <c r="C21">
        <f t="shared" si="0"/>
        <v>17</v>
      </c>
      <c r="D21" t="s">
        <v>43</v>
      </c>
      <c r="E21">
        <v>1</v>
      </c>
      <c r="F21">
        <v>87</v>
      </c>
      <c r="G21" t="s">
        <v>28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78.5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/>
      <c r="N27" s="20"/>
      <c r="O27" s="23"/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/>
      <c r="N29" s="20"/>
      <c r="O29" s="23"/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topLeftCell="A2" workbookViewId="0">
      <selection activeCell="E40" sqref="E4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44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2125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36" t="s">
        <v>68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46046.806994444443</v>
      </c>
      <c r="C5">
        <f t="shared" ref="C5:C68" si="0">IF(ISNUMBER(E5), IF(ISNUMBER(C4), C4+1, 1), "")</f>
        <v>1</v>
      </c>
      <c r="D5" t="s">
        <v>45</v>
      </c>
      <c r="E5">
        <v>1</v>
      </c>
      <c r="F5">
        <v>40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40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46046.806994444443</v>
      </c>
      <c r="C6">
        <f t="shared" si="0"/>
        <v>2</v>
      </c>
      <c r="D6" t="s">
        <v>46</v>
      </c>
      <c r="E6">
        <v>1</v>
      </c>
      <c r="F6">
        <v>142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142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46046.806994444443</v>
      </c>
      <c r="C7">
        <f t="shared" si="0"/>
        <v>3</v>
      </c>
      <c r="D7" t="s">
        <v>47</v>
      </c>
      <c r="E7">
        <v>1</v>
      </c>
      <c r="F7">
        <v>57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57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46046.806994444443</v>
      </c>
      <c r="C8">
        <f t="shared" si="0"/>
        <v>4</v>
      </c>
      <c r="D8" t="s">
        <v>48</v>
      </c>
      <c r="E8">
        <v>1</v>
      </c>
      <c r="F8">
        <v>27</v>
      </c>
      <c r="G8" t="s">
        <v>28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24.5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46046.806994444443</v>
      </c>
      <c r="C9">
        <f t="shared" si="0"/>
        <v>5</v>
      </c>
      <c r="D9" t="s">
        <v>50</v>
      </c>
      <c r="E9">
        <v>1</v>
      </c>
      <c r="F9">
        <v>625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625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46046.806994444443</v>
      </c>
      <c r="C10">
        <f t="shared" si="0"/>
        <v>6</v>
      </c>
      <c r="D10" t="s">
        <v>51</v>
      </c>
      <c r="E10">
        <v>1</v>
      </c>
      <c r="F10">
        <v>20</v>
      </c>
      <c r="G10" t="s">
        <v>28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18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46046.806994444443</v>
      </c>
      <c r="C11">
        <f t="shared" si="0"/>
        <v>7</v>
      </c>
      <c r="D11" t="s">
        <v>52</v>
      </c>
      <c r="E11">
        <v>1</v>
      </c>
      <c r="F11">
        <v>123</v>
      </c>
      <c r="G11" t="s">
        <v>28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117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46046.806994444443</v>
      </c>
      <c r="C12">
        <f t="shared" si="0"/>
        <v>8</v>
      </c>
      <c r="D12" t="s">
        <v>53</v>
      </c>
      <c r="E12">
        <v>1</v>
      </c>
      <c r="F12">
        <v>57</v>
      </c>
      <c r="G12" t="s">
        <v>28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51.5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46046.806994444443</v>
      </c>
      <c r="C13">
        <f t="shared" si="0"/>
        <v>9</v>
      </c>
      <c r="D13" t="s">
        <v>54</v>
      </c>
      <c r="E13">
        <v>1</v>
      </c>
      <c r="F13">
        <v>50</v>
      </c>
      <c r="G13" t="s">
        <v>28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45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46046.806994444443</v>
      </c>
      <c r="C14">
        <f t="shared" si="0"/>
        <v>10</v>
      </c>
      <c r="D14" t="s">
        <v>55</v>
      </c>
      <c r="E14">
        <v>1</v>
      </c>
      <c r="F14">
        <v>70</v>
      </c>
      <c r="G14" t="s">
        <v>28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63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46046.806994444443</v>
      </c>
      <c r="C15">
        <f t="shared" si="0"/>
        <v>11</v>
      </c>
      <c r="D15" t="s">
        <v>56</v>
      </c>
      <c r="E15">
        <v>2</v>
      </c>
      <c r="F15">
        <v>65</v>
      </c>
      <c r="G15" t="s">
        <v>28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117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46046.806994444443</v>
      </c>
      <c r="C16">
        <f t="shared" si="0"/>
        <v>12</v>
      </c>
      <c r="D16" t="s">
        <v>66</v>
      </c>
      <c r="E16">
        <v>1</v>
      </c>
      <c r="F16">
        <v>40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40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46046.806994444443</v>
      </c>
      <c r="C17">
        <f t="shared" si="0"/>
        <v>13</v>
      </c>
      <c r="D17" t="s">
        <v>51</v>
      </c>
      <c r="E17">
        <v>1</v>
      </c>
      <c r="F17">
        <v>20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46046.806994444443</v>
      </c>
      <c r="C18">
        <f t="shared" si="0"/>
        <v>14</v>
      </c>
      <c r="D18" t="s">
        <v>58</v>
      </c>
      <c r="E18">
        <v>1</v>
      </c>
      <c r="F18">
        <v>40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40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46046.806994444443</v>
      </c>
      <c r="C19">
        <f t="shared" si="0"/>
        <v>15</v>
      </c>
      <c r="D19" t="s">
        <v>59</v>
      </c>
      <c r="E19">
        <v>1</v>
      </c>
      <c r="F19">
        <v>47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47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46046.806994444443</v>
      </c>
      <c r="C20">
        <f t="shared" si="0"/>
        <v>16</v>
      </c>
      <c r="D20" t="s">
        <v>60</v>
      </c>
      <c r="E20">
        <v>1</v>
      </c>
      <c r="F20">
        <v>25</v>
      </c>
      <c r="G20" t="s">
        <v>28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22.5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46046.806994444443</v>
      </c>
      <c r="C21">
        <f t="shared" si="0"/>
        <v>17</v>
      </c>
      <c r="D21" t="s">
        <v>61</v>
      </c>
      <c r="E21">
        <v>2</v>
      </c>
      <c r="F21">
        <v>12</v>
      </c>
      <c r="G21" t="s">
        <v>28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22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62</v>
      </c>
      <c r="E22">
        <v>1</v>
      </c>
      <c r="F22">
        <v>15</v>
      </c>
      <c r="G22" t="s">
        <v>28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13.5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63</v>
      </c>
      <c r="E23">
        <v>1</v>
      </c>
      <c r="F23">
        <v>67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67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64</v>
      </c>
      <c r="E24">
        <v>1</v>
      </c>
      <c r="F24">
        <v>150</v>
      </c>
      <c r="G24" t="s">
        <v>28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142.5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65</v>
      </c>
      <c r="E25">
        <v>1</v>
      </c>
      <c r="F25">
        <v>20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20</v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>
        <f t="shared" si="0"/>
        <v>22</v>
      </c>
      <c r="D26" t="s">
        <v>57</v>
      </c>
      <c r="E26">
        <v>1</v>
      </c>
      <c r="F26">
        <v>45</v>
      </c>
      <c r="G26" t="s">
        <v>28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40.5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45" x14ac:dyDescent="0.25">
      <c r="B27" s="18" t="str">
        <f ca="1">IF(Tabla1[[#This Row],['#]]&lt;&gt;"", NOW(), "")</f>
        <v/>
      </c>
      <c r="C27">
        <f t="shared" si="0"/>
        <v>23</v>
      </c>
      <c r="D27" t="s">
        <v>67</v>
      </c>
      <c r="E27">
        <v>1</v>
      </c>
      <c r="F27">
        <v>350</v>
      </c>
      <c r="H27" s="5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>350</v>
      </c>
      <c r="M27" s="13" t="s">
        <v>49</v>
      </c>
      <c r="N27" s="15">
        <v>66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25" priority="1">
      <formula>C5&gt;0&amp;ISBLANK(B5)</formula>
    </cfRule>
  </conditionalFormatting>
  <conditionalFormatting sqref="D5:D6">
    <cfRule type="expression" dxfId="2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69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2614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46046.806994444443</v>
      </c>
      <c r="C5">
        <f>IF(ISNUMBER(E5), IF(ISNUMBER(C4), C4+1, 1), "")</f>
        <v>1</v>
      </c>
      <c r="D5" t="s">
        <v>70</v>
      </c>
      <c r="E5">
        <v>1</v>
      </c>
      <c r="F5">
        <v>350</v>
      </c>
      <c r="G5" t="s">
        <v>28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315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46046.806994444443</v>
      </c>
      <c r="C6">
        <f t="shared" ref="C6" si="0">IF(ISNUMBER(E6), IF(ISNUMBER(C5), C5+1, 1), "")</f>
        <v>2</v>
      </c>
      <c r="D6" t="s">
        <v>71</v>
      </c>
      <c r="E6">
        <v>1</v>
      </c>
      <c r="F6">
        <v>48</v>
      </c>
      <c r="G6" t="s">
        <v>28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43.5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46046.806994444443</v>
      </c>
      <c r="C7">
        <f>IF(ISNUMBER(E7), IF(ISNUMBER(C6), C6+1, 1), "")</f>
        <v>3</v>
      </c>
      <c r="D7" t="s">
        <v>72</v>
      </c>
      <c r="E7">
        <v>1</v>
      </c>
      <c r="F7">
        <v>15</v>
      </c>
      <c r="G7" t="s">
        <v>28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46046.806994444443</v>
      </c>
      <c r="C8">
        <f t="shared" ref="C8:C68" si="1">IF(ISNUMBER(E8), IF(ISNUMBER(C7), C7+1, 1), "")</f>
        <v>4</v>
      </c>
      <c r="D8" t="s">
        <v>73</v>
      </c>
      <c r="E8">
        <v>1</v>
      </c>
      <c r="F8">
        <v>90</v>
      </c>
      <c r="G8" t="s">
        <v>28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85.5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46046.806994444443</v>
      </c>
      <c r="C9">
        <f t="shared" si="1"/>
        <v>5</v>
      </c>
      <c r="D9" t="s">
        <v>74</v>
      </c>
      <c r="E9">
        <v>1</v>
      </c>
      <c r="F9">
        <v>34</v>
      </c>
      <c r="G9" t="s">
        <v>28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31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46046.806994444443</v>
      </c>
      <c r="C10">
        <f t="shared" si="1"/>
        <v>6</v>
      </c>
      <c r="D10" t="s">
        <v>75</v>
      </c>
      <c r="E10">
        <v>2</v>
      </c>
      <c r="F10">
        <v>10</v>
      </c>
      <c r="G10" t="s">
        <v>28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18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46046.806994444443</v>
      </c>
      <c r="C11">
        <f t="shared" si="1"/>
        <v>7</v>
      </c>
      <c r="D11" t="s">
        <v>76</v>
      </c>
      <c r="E11">
        <v>1</v>
      </c>
      <c r="F11">
        <v>484</v>
      </c>
      <c r="G11" t="s">
        <v>28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436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46046.806994444443</v>
      </c>
      <c r="C12">
        <f t="shared" si="1"/>
        <v>8</v>
      </c>
      <c r="D12" t="s">
        <v>77</v>
      </c>
      <c r="E12">
        <v>1</v>
      </c>
      <c r="F12">
        <v>75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75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46046.806994444443</v>
      </c>
      <c r="C13">
        <f t="shared" si="1"/>
        <v>9</v>
      </c>
      <c r="D13" t="s">
        <v>78</v>
      </c>
      <c r="E13">
        <v>1</v>
      </c>
      <c r="F13">
        <v>423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423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46046.806994444443</v>
      </c>
      <c r="C14">
        <f t="shared" si="1"/>
        <v>10</v>
      </c>
      <c r="D14" t="s">
        <v>34</v>
      </c>
      <c r="E14">
        <v>1</v>
      </c>
      <c r="F14">
        <v>70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70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46046.806994444443</v>
      </c>
      <c r="C15">
        <f t="shared" si="1"/>
        <v>11</v>
      </c>
      <c r="D15" t="s">
        <v>79</v>
      </c>
      <c r="E15">
        <v>2</v>
      </c>
      <c r="F15">
        <v>85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170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46046.806994444443</v>
      </c>
      <c r="C16">
        <f t="shared" si="1"/>
        <v>12</v>
      </c>
      <c r="D16" t="s">
        <v>80</v>
      </c>
      <c r="E16">
        <v>1</v>
      </c>
      <c r="F16">
        <v>36</v>
      </c>
      <c r="G16" t="s">
        <v>28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32.5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46046.806994444443</v>
      </c>
      <c r="C17">
        <f t="shared" si="1"/>
        <v>13</v>
      </c>
      <c r="D17" t="s">
        <v>81</v>
      </c>
      <c r="E17">
        <v>1</v>
      </c>
      <c r="F17">
        <v>250</v>
      </c>
      <c r="G17" t="s">
        <v>28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225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46046.806994444443</v>
      </c>
      <c r="C18">
        <f t="shared" si="1"/>
        <v>14</v>
      </c>
      <c r="D18" t="s">
        <v>82</v>
      </c>
      <c r="E18">
        <v>2</v>
      </c>
      <c r="F18">
        <v>142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284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46046.806994444443</v>
      </c>
      <c r="C19">
        <f t="shared" si="1"/>
        <v>15</v>
      </c>
      <c r="D19" t="s">
        <v>83</v>
      </c>
      <c r="E19">
        <v>1</v>
      </c>
      <c r="F19">
        <v>75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75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46046.806994444443</v>
      </c>
      <c r="C20">
        <f t="shared" si="1"/>
        <v>16</v>
      </c>
      <c r="D20" t="s">
        <v>84</v>
      </c>
      <c r="E20">
        <v>1</v>
      </c>
      <c r="F20">
        <v>42</v>
      </c>
      <c r="G20" t="s">
        <v>28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38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46046.806994444443</v>
      </c>
      <c r="C21">
        <f t="shared" si="1"/>
        <v>17</v>
      </c>
      <c r="D21" t="s">
        <v>85</v>
      </c>
      <c r="E21">
        <v>1</v>
      </c>
      <c r="F21">
        <v>100</v>
      </c>
      <c r="G21" t="s">
        <v>28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90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1"/>
        <v>18</v>
      </c>
      <c r="D22" t="s">
        <v>86</v>
      </c>
      <c r="E22">
        <v>5</v>
      </c>
      <c r="F22">
        <v>42</v>
      </c>
      <c r="G22" t="s">
        <v>28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189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21" priority="1">
      <formula>C5&gt;0&amp;ISBLANK(B5)</formula>
    </cfRule>
  </conditionalFormatting>
  <conditionalFormatting sqref="D5:D6">
    <cfRule type="expression" dxfId="2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87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3003.5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36" t="s">
        <v>97</v>
      </c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46046.806994444443</v>
      </c>
      <c r="C5">
        <f t="shared" ref="C5:C68" si="0">IF(ISNUMBER(E5), IF(ISNUMBER(C4), C4+1, 1), "")</f>
        <v>1</v>
      </c>
      <c r="D5" t="s">
        <v>88</v>
      </c>
      <c r="E5">
        <v>1</v>
      </c>
      <c r="F5">
        <v>320</v>
      </c>
      <c r="G5" t="s">
        <v>28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288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46046.806994444443</v>
      </c>
      <c r="C6">
        <f t="shared" si="0"/>
        <v>2</v>
      </c>
      <c r="D6" t="s">
        <v>89</v>
      </c>
      <c r="E6">
        <v>1</v>
      </c>
      <c r="F6">
        <v>87</v>
      </c>
      <c r="G6" t="s">
        <v>28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78.5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46046.806994444443</v>
      </c>
      <c r="C7">
        <f t="shared" si="0"/>
        <v>3</v>
      </c>
      <c r="D7" t="s">
        <v>90</v>
      </c>
      <c r="E7">
        <v>2</v>
      </c>
      <c r="F7">
        <v>57</v>
      </c>
      <c r="G7" t="s">
        <v>28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103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46046.806994444443</v>
      </c>
      <c r="C8">
        <f t="shared" si="0"/>
        <v>4</v>
      </c>
      <c r="D8" t="s">
        <v>91</v>
      </c>
      <c r="E8">
        <v>1</v>
      </c>
      <c r="F8">
        <v>92</v>
      </c>
      <c r="G8" t="s">
        <v>28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83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46046.806994444443</v>
      </c>
      <c r="C9">
        <f t="shared" si="0"/>
        <v>5</v>
      </c>
      <c r="D9" t="s">
        <v>92</v>
      </c>
      <c r="E9">
        <v>1</v>
      </c>
      <c r="F9">
        <v>48</v>
      </c>
      <c r="G9" t="s">
        <v>28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43.5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46046.806994444443</v>
      </c>
      <c r="C10">
        <f t="shared" si="0"/>
        <v>6</v>
      </c>
      <c r="D10" t="s">
        <v>93</v>
      </c>
      <c r="E10">
        <v>1</v>
      </c>
      <c r="F10">
        <v>200</v>
      </c>
      <c r="G10" t="s">
        <v>28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190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46046.806994444443</v>
      </c>
      <c r="C11">
        <f t="shared" si="0"/>
        <v>7</v>
      </c>
      <c r="D11" t="s">
        <v>94</v>
      </c>
      <c r="E11">
        <v>1</v>
      </c>
      <c r="F11">
        <v>60</v>
      </c>
      <c r="G11" t="s">
        <v>28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54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46046.806994444443</v>
      </c>
      <c r="C12">
        <f t="shared" si="0"/>
        <v>8</v>
      </c>
      <c r="D12" t="s">
        <v>98</v>
      </c>
      <c r="E12">
        <v>2</v>
      </c>
      <c r="F12">
        <v>123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246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46046.806994444443</v>
      </c>
      <c r="C13">
        <f t="shared" si="0"/>
        <v>9</v>
      </c>
      <c r="D13" t="s">
        <v>47</v>
      </c>
      <c r="E13">
        <v>2</v>
      </c>
      <c r="F13">
        <v>57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114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46046.806994444443</v>
      </c>
      <c r="C14">
        <f t="shared" si="0"/>
        <v>10</v>
      </c>
      <c r="D14" t="s">
        <v>73</v>
      </c>
      <c r="E14">
        <v>1</v>
      </c>
      <c r="F14">
        <v>90</v>
      </c>
      <c r="G14" t="s">
        <v>28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85.5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46046.806994444443</v>
      </c>
      <c r="C15">
        <f t="shared" si="0"/>
        <v>11</v>
      </c>
      <c r="D15" t="s">
        <v>99</v>
      </c>
      <c r="E15">
        <v>1</v>
      </c>
      <c r="F15">
        <v>135</v>
      </c>
      <c r="G15" t="s">
        <v>28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121.5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46046.806994444443</v>
      </c>
      <c r="C16">
        <f t="shared" si="0"/>
        <v>12</v>
      </c>
      <c r="D16" t="s">
        <v>100</v>
      </c>
      <c r="E16">
        <v>1</v>
      </c>
      <c r="F16">
        <v>580</v>
      </c>
      <c r="G16" t="s">
        <v>28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522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46046.806994444443</v>
      </c>
      <c r="C17">
        <f t="shared" si="0"/>
        <v>13</v>
      </c>
      <c r="D17" t="s">
        <v>101</v>
      </c>
      <c r="E17">
        <v>1</v>
      </c>
      <c r="F17">
        <v>38</v>
      </c>
      <c r="G17" t="s">
        <v>28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34.5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46046.806994444443</v>
      </c>
      <c r="C18">
        <f t="shared" si="0"/>
        <v>14</v>
      </c>
      <c r="D18" t="s">
        <v>102</v>
      </c>
      <c r="E18">
        <v>1</v>
      </c>
      <c r="F18">
        <v>140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140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46046.806994444443</v>
      </c>
      <c r="C19">
        <f t="shared" si="0"/>
        <v>15</v>
      </c>
      <c r="D19" t="s">
        <v>103</v>
      </c>
      <c r="E19">
        <v>1</v>
      </c>
      <c r="F19">
        <v>302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302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46046.806994444443</v>
      </c>
      <c r="C20">
        <f t="shared" si="0"/>
        <v>16</v>
      </c>
      <c r="D20" t="s">
        <v>104</v>
      </c>
      <c r="E20">
        <v>1</v>
      </c>
      <c r="F20">
        <v>360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360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46046.806994444443</v>
      </c>
      <c r="C21">
        <f t="shared" si="0"/>
        <v>17</v>
      </c>
      <c r="D21" t="s">
        <v>105</v>
      </c>
      <c r="E21">
        <v>1</v>
      </c>
      <c r="F21">
        <v>115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115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107</v>
      </c>
      <c r="E22">
        <v>1</v>
      </c>
      <c r="F22">
        <v>87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87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74</v>
      </c>
      <c r="E23">
        <v>1</v>
      </c>
      <c r="F23">
        <v>34</v>
      </c>
      <c r="G23" t="s">
        <v>28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31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41</v>
      </c>
      <c r="E24">
        <v>1</v>
      </c>
      <c r="F24">
        <v>5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95</v>
      </c>
      <c r="N27" s="15">
        <v>4131</v>
      </c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 t="s">
        <v>95</v>
      </c>
      <c r="N28" s="15">
        <v>860</v>
      </c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 t="s">
        <v>96</v>
      </c>
      <c r="N29" s="15">
        <v>4901</v>
      </c>
      <c r="O29" s="39" t="s">
        <v>106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7" priority="1">
      <formula>C5&gt;0&amp;ISBLANK(B5)</formula>
    </cfRule>
  </conditionalFormatting>
  <conditionalFormatting sqref="D5:D6">
    <cfRule type="expression" dxfId="1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108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4503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19</v>
      </c>
      <c r="M4" s="36" t="s">
        <v>136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46046.806994444443</v>
      </c>
      <c r="C5">
        <f t="shared" ref="C5:C68" si="0">IF(ISNUMBER(E5), IF(ISNUMBER(C4), C4+1, 1), "")</f>
        <v>1</v>
      </c>
      <c r="D5" t="s">
        <v>116</v>
      </c>
      <c r="E5">
        <v>1</v>
      </c>
      <c r="F5">
        <v>320</v>
      </c>
      <c r="G5" t="s">
        <v>28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304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46046.806994444443</v>
      </c>
      <c r="C6">
        <f t="shared" si="0"/>
        <v>2</v>
      </c>
      <c r="D6" t="s">
        <v>118</v>
      </c>
      <c r="E6">
        <v>1</v>
      </c>
      <c r="F6">
        <v>250</v>
      </c>
      <c r="G6" t="s">
        <v>28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237.5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46046.806994444443</v>
      </c>
      <c r="C7">
        <f t="shared" si="0"/>
        <v>3</v>
      </c>
      <c r="D7" t="s">
        <v>119</v>
      </c>
      <c r="E7">
        <v>1</v>
      </c>
      <c r="F7">
        <v>2200</v>
      </c>
      <c r="G7" t="s">
        <v>28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1980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46046.806994444443</v>
      </c>
      <c r="C8">
        <f t="shared" si="0"/>
        <v>4</v>
      </c>
      <c r="D8" t="s">
        <v>120</v>
      </c>
      <c r="E8">
        <v>1</v>
      </c>
      <c r="F8">
        <v>25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25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46046.806994444443</v>
      </c>
      <c r="C9">
        <f t="shared" si="0"/>
        <v>5</v>
      </c>
      <c r="D9" t="s">
        <v>121</v>
      </c>
      <c r="E9">
        <v>1</v>
      </c>
      <c r="F9">
        <v>900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900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46046.806994444443</v>
      </c>
      <c r="C10">
        <f t="shared" si="0"/>
        <v>6</v>
      </c>
      <c r="D10" t="s">
        <v>122</v>
      </c>
      <c r="E10">
        <v>5</v>
      </c>
      <c r="F10">
        <v>10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50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46046.806994444443</v>
      </c>
      <c r="C11">
        <f t="shared" si="0"/>
        <v>7</v>
      </c>
      <c r="D11" t="s">
        <v>123</v>
      </c>
      <c r="E11">
        <v>1</v>
      </c>
      <c r="F11">
        <v>60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60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46046.806994444443</v>
      </c>
      <c r="C12">
        <f t="shared" si="0"/>
        <v>8</v>
      </c>
      <c r="D12" t="s">
        <v>124</v>
      </c>
      <c r="E12">
        <v>1</v>
      </c>
      <c r="F12">
        <v>15</v>
      </c>
      <c r="G12" t="s">
        <v>28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13.5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46046.806994444443</v>
      </c>
      <c r="C13">
        <f t="shared" si="0"/>
        <v>9</v>
      </c>
      <c r="D13" t="s">
        <v>125</v>
      </c>
      <c r="E13">
        <v>1</v>
      </c>
      <c r="F13">
        <v>15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46046.806994444443</v>
      </c>
      <c r="C14">
        <f t="shared" si="0"/>
        <v>10</v>
      </c>
      <c r="D14" t="s">
        <v>126</v>
      </c>
      <c r="E14">
        <v>1</v>
      </c>
      <c r="F14">
        <v>15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46046.806994444443</v>
      </c>
      <c r="C15">
        <f t="shared" si="0"/>
        <v>11</v>
      </c>
      <c r="D15" t="s">
        <v>127</v>
      </c>
      <c r="E15">
        <v>1</v>
      </c>
      <c r="F15">
        <v>380</v>
      </c>
      <c r="G15" t="s">
        <v>28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342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46046.806994444443</v>
      </c>
      <c r="C16">
        <f t="shared" si="0"/>
        <v>12</v>
      </c>
      <c r="D16" t="s">
        <v>128</v>
      </c>
      <c r="E16">
        <v>1</v>
      </c>
      <c r="F16">
        <v>10</v>
      </c>
      <c r="G16" t="s">
        <v>28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9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46046.806994444443</v>
      </c>
      <c r="C17">
        <f t="shared" si="0"/>
        <v>13</v>
      </c>
      <c r="D17" t="s">
        <v>129</v>
      </c>
      <c r="E17">
        <v>1</v>
      </c>
      <c r="F17">
        <v>93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93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46046.806994444443</v>
      </c>
      <c r="C18">
        <f t="shared" si="0"/>
        <v>14</v>
      </c>
      <c r="D18" t="s">
        <v>130</v>
      </c>
      <c r="E18">
        <v>1</v>
      </c>
      <c r="F18">
        <v>150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150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46046.806994444443</v>
      </c>
      <c r="C19">
        <f t="shared" si="0"/>
        <v>15</v>
      </c>
      <c r="D19" t="s">
        <v>131</v>
      </c>
      <c r="E19">
        <v>1</v>
      </c>
      <c r="F19">
        <v>42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42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46046.806994444443</v>
      </c>
      <c r="C20">
        <f t="shared" si="0"/>
        <v>16</v>
      </c>
      <c r="D20" t="s">
        <v>132</v>
      </c>
      <c r="E20">
        <v>1</v>
      </c>
      <c r="F20">
        <v>125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125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46046.806994444443</v>
      </c>
      <c r="C21">
        <f t="shared" si="0"/>
        <v>17</v>
      </c>
      <c r="D21" t="s">
        <v>133</v>
      </c>
      <c r="E21">
        <v>1</v>
      </c>
      <c r="F21">
        <v>118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118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134</v>
      </c>
      <c r="E22">
        <v>1</v>
      </c>
      <c r="F22">
        <v>9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9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135</v>
      </c>
      <c r="E23">
        <v>1</v>
      </c>
      <c r="F23">
        <v>15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15</v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109</v>
      </c>
      <c r="N27" s="15">
        <v>66</v>
      </c>
      <c r="O27" s="39" t="s">
        <v>110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111</v>
      </c>
      <c r="N28" s="15">
        <v>4901</v>
      </c>
      <c r="O28" s="39" t="s">
        <v>112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117</v>
      </c>
      <c r="N29" s="15">
        <v>7757</v>
      </c>
      <c r="O29" s="39" t="s">
        <v>113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114</v>
      </c>
      <c r="N30" s="15">
        <v>1500</v>
      </c>
      <c r="O30" s="39" t="s">
        <v>113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96</v>
      </c>
      <c r="N31" s="15">
        <v>14224</v>
      </c>
      <c r="O31" s="39" t="s">
        <v>115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1" sqref="D2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137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2939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16</v>
      </c>
      <c r="M4" s="36" t="s">
        <v>153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46046.806994444443</v>
      </c>
      <c r="C5">
        <f t="shared" ref="C5:C68" si="0">IF(ISNUMBER(E5), IF(ISNUMBER(C4), C4+1, 1), "")</f>
        <v>1</v>
      </c>
      <c r="D5" t="s">
        <v>138</v>
      </c>
      <c r="E5">
        <v>1</v>
      </c>
      <c r="F5">
        <v>150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150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46046.806994444443</v>
      </c>
      <c r="C6">
        <f t="shared" si="0"/>
        <v>2</v>
      </c>
      <c r="D6" t="s">
        <v>52</v>
      </c>
      <c r="E6">
        <v>1</v>
      </c>
      <c r="F6">
        <v>123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123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46046.806994444443</v>
      </c>
      <c r="C7">
        <f t="shared" si="0"/>
        <v>3</v>
      </c>
      <c r="D7" t="s">
        <v>139</v>
      </c>
      <c r="E7">
        <v>2</v>
      </c>
      <c r="F7">
        <v>57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114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46046.806994444443</v>
      </c>
      <c r="C8">
        <f t="shared" si="0"/>
        <v>4</v>
      </c>
      <c r="D8" t="s">
        <v>140</v>
      </c>
      <c r="E8">
        <v>1</v>
      </c>
      <c r="F8">
        <v>213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213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46046.806994444443</v>
      </c>
      <c r="C9">
        <f t="shared" si="0"/>
        <v>5</v>
      </c>
      <c r="D9" t="s">
        <v>141</v>
      </c>
      <c r="E9">
        <v>1</v>
      </c>
      <c r="F9">
        <v>170</v>
      </c>
      <c r="G9" t="s">
        <v>28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153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46046.806994444443</v>
      </c>
      <c r="C10">
        <f t="shared" si="0"/>
        <v>6</v>
      </c>
      <c r="D10" t="s">
        <v>142</v>
      </c>
      <c r="E10">
        <v>1</v>
      </c>
      <c r="F10">
        <v>370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370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46046.806994444443</v>
      </c>
      <c r="C11">
        <f t="shared" si="0"/>
        <v>7</v>
      </c>
      <c r="D11" t="s">
        <v>143</v>
      </c>
      <c r="E11">
        <v>1</v>
      </c>
      <c r="F11">
        <v>40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40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46046.806994444443</v>
      </c>
      <c r="C12">
        <f t="shared" si="0"/>
        <v>8</v>
      </c>
      <c r="D12" t="s">
        <v>144</v>
      </c>
      <c r="E12">
        <v>1</v>
      </c>
      <c r="F12">
        <v>70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70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46046.806994444443</v>
      </c>
      <c r="C13">
        <f t="shared" si="0"/>
        <v>9</v>
      </c>
      <c r="D13" t="s">
        <v>145</v>
      </c>
      <c r="E13">
        <v>1</v>
      </c>
      <c r="F13">
        <v>750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750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46046.806994444443</v>
      </c>
      <c r="C14">
        <f t="shared" si="0"/>
        <v>10</v>
      </c>
      <c r="D14" t="s">
        <v>146</v>
      </c>
      <c r="E14">
        <v>1</v>
      </c>
      <c r="F14">
        <v>20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20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46046.806994444443</v>
      </c>
      <c r="C15">
        <f t="shared" si="0"/>
        <v>11</v>
      </c>
      <c r="D15" t="s">
        <v>147</v>
      </c>
      <c r="E15">
        <v>1</v>
      </c>
      <c r="F15">
        <v>500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500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46046.806994444443</v>
      </c>
      <c r="C16">
        <f t="shared" si="0"/>
        <v>12</v>
      </c>
      <c r="D16" t="s">
        <v>148</v>
      </c>
      <c r="E16">
        <v>1</v>
      </c>
      <c r="F16">
        <v>180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180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46046.806994444443</v>
      </c>
      <c r="C17">
        <f t="shared" si="0"/>
        <v>13</v>
      </c>
      <c r="D17" t="s">
        <v>149</v>
      </c>
      <c r="E17">
        <v>3</v>
      </c>
      <c r="F17">
        <v>20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60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46046.806994444443</v>
      </c>
      <c r="C18">
        <f t="shared" si="0"/>
        <v>14</v>
      </c>
      <c r="D18" t="s">
        <v>150</v>
      </c>
      <c r="E18">
        <v>1</v>
      </c>
      <c r="F18">
        <v>36</v>
      </c>
      <c r="G18" t="s">
        <v>28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32.5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46046.806994444443</v>
      </c>
      <c r="C19">
        <f t="shared" si="0"/>
        <v>15</v>
      </c>
      <c r="D19" t="s">
        <v>151</v>
      </c>
      <c r="E19">
        <v>1</v>
      </c>
      <c r="F19">
        <v>89</v>
      </c>
      <c r="G19" t="s">
        <v>28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80.5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46046.806994444443</v>
      </c>
      <c r="C20">
        <f t="shared" si="0"/>
        <v>16</v>
      </c>
      <c r="D20" t="s">
        <v>152</v>
      </c>
      <c r="E20">
        <v>1</v>
      </c>
      <c r="F20">
        <v>92</v>
      </c>
      <c r="G20" t="s">
        <v>28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83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46046.806994444443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46046.806994444443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46046.806994444443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46046.806994444443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46046.806994444443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46046.806994444443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46046.806994444443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46046.806994444443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46046.806994444443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46046.806994444443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46046.806994444443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46046.806994444443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46046.806994444443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46046.806994444443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46046.806994444443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46046.806994444443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46046.806994444443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19-02-26</vt:lpstr>
      <vt:lpstr>Martes 20-01-26</vt:lpstr>
      <vt:lpstr>Miercoles 21-01-26</vt:lpstr>
      <vt:lpstr>Jueves 22-01-26</vt:lpstr>
      <vt:lpstr>Viernes 23-01-26</vt:lpstr>
      <vt:lpstr>SABADO-25 DE ENERO-26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2026-01-25T01:23:02Z</dcterms:modified>
</cp:coreProperties>
</file>