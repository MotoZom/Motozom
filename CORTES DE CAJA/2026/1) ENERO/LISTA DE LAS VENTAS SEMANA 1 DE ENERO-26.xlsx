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E55D9FD6-76E0-49F5-83C2-84672F68832C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05-01-26" sheetId="1" r:id="rId1"/>
    <sheet name="Martes 06-01-26" sheetId="2" r:id="rId2"/>
    <sheet name="Miercoles 07-01-26" sheetId="3" r:id="rId3"/>
    <sheet name="Jueves 08-01-26" sheetId="4" r:id="rId4"/>
    <sheet name="Viernes 09-01-26" sheetId="5" r:id="rId5"/>
    <sheet name="Sabado 10-01-26" sheetId="6" r:id="rId6"/>
    <sheet name="Domingo" sheetId="8" r:id="rId7"/>
    <sheet name="Cambios" sheetId="7" r:id="rId8"/>
  </sheets>
  <definedNames>
    <definedName name="_xlnm._FilterDatabase" localSheetId="0" hidden="1">'Lunes 05-01-26'!$B$4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<sst xmlns="http://schemas.openxmlformats.org/spreadsheetml/2006/main" count="320" uniqueCount="148">
  <si>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</si>
  <si>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</si>
  <si>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</si>
  <si>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</si>
  <si>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</si>
  <si>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</si>
  <si>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</si>
  <si>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</si>
  <si>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</si>
  <si>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</si>
  <si>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</si>
  <si>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</si>
  <si>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</si>
  <si>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</si>
  <si>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</si>
  <si>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</si>
  <si>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</si>
  <si>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</si>
  <si>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</si>
  <si>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</si>
  <si>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</si>
  <si>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</si>
  <si>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</si>
  <si>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</si>
  <si>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</si>
  <si>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05 DE ENERO-26</t>
  </si>
  <si>
    <t>KID DE CILINDRO DS150</t>
  </si>
  <si>
    <t>X</t>
  </si>
  <si>
    <t>GUIAS DE CADENA DS150</t>
  </si>
  <si>
    <t>ACEITE LUBER</t>
  </si>
  <si>
    <t>CADENA DE DISTRIBUCION DS150</t>
  </si>
  <si>
    <t>BOMBA TRASERA UNIVERSAL</t>
  </si>
  <si>
    <t>ACEITE AKRON</t>
  </si>
  <si>
    <t>SELLOS DE ESCAPE DS150</t>
  </si>
  <si>
    <t>ACEITE YAMALUBE</t>
  </si>
  <si>
    <t>CHICOTE DE CLUTH UNIVERSAL</t>
  </si>
  <si>
    <t xml:space="preserve">TIRAS LED </t>
  </si>
  <si>
    <t>STIKER</t>
  </si>
  <si>
    <t xml:space="preserve">PEDIDO MERCADO </t>
  </si>
  <si>
    <t>FOCO H6 LED</t>
  </si>
  <si>
    <t>BALATA DE DISCO WS150</t>
  </si>
  <si>
    <t>CDI DE EX200</t>
  </si>
  <si>
    <t xml:space="preserve">CUENTA DE SEMANA PASADA $ 28169 MENOS NOTA 1 SON $ 1559 QUEDA $ 26610 MENOS $ 5690 DE PEDIDO DE WAPEMEX QUEDA $ 20920 </t>
  </si>
  <si>
    <t>Martes 06 DE ENERO-25</t>
  </si>
  <si>
    <t>MANIJA IZQUIERDA FT125</t>
  </si>
  <si>
    <t xml:space="preserve">pilas </t>
  </si>
  <si>
    <t>FOCO DIRECCIONAL</t>
  </si>
  <si>
    <t>CHICOTE DE CLUHT 250Z</t>
  </si>
  <si>
    <t>BALATA GIXER 150</t>
  </si>
  <si>
    <t>CADENA 428 X 126 SENCILLA</t>
  </si>
  <si>
    <t>BALATA TRASERA TAMBOR 125Z</t>
  </si>
  <si>
    <t>CHICOTE DE ACELRADOR DM200</t>
  </si>
  <si>
    <t>EJE DE HORQUILLA ATV 150 ITALIKA</t>
  </si>
  <si>
    <t>LLAVE DE GASOLINA 125Z</t>
  </si>
  <si>
    <t>MANIBRIO DE FZ16</t>
  </si>
  <si>
    <t>ACEITE REPSOL</t>
  </si>
  <si>
    <t xml:space="preserve">ESPEJOS DE ALERON </t>
  </si>
  <si>
    <t xml:space="preserve">CUENTA DE AYER $ 20920 MENOS $ 7225 DE PEDIDO DE PILAS QUEDA $ 13695 </t>
  </si>
  <si>
    <t>Miercoles 07 DE ENERO-26</t>
  </si>
  <si>
    <t>SEGURO DE CADENA 428</t>
  </si>
  <si>
    <t>BALATA TRASERA 200Z</t>
  </si>
  <si>
    <t xml:space="preserve">COSAS QUE LLEVO DANIEL </t>
  </si>
  <si>
    <t>BUJIAS C9</t>
  </si>
  <si>
    <t xml:space="preserve">BUJIA PULSAR </t>
  </si>
  <si>
    <t>FILTRO DE ACEI PULSAR 200NS</t>
  </si>
  <si>
    <t xml:space="preserve">ANTICONGELANTE </t>
  </si>
  <si>
    <t>FILTRO DE AIRE PULSAR 200NS</t>
  </si>
  <si>
    <t xml:space="preserve">RELEE DE MOTONETA ITALIKA </t>
  </si>
  <si>
    <t>CADENA 428 REFORZADA</t>
  </si>
  <si>
    <t>ACEITE MOTUL 7100 DANIEL SE LO LLEVO</t>
  </si>
  <si>
    <t>BUJIA D8</t>
  </si>
  <si>
    <t>ESPONGA DE FT150</t>
  </si>
  <si>
    <t>CHICOTE DE ACLELERRADOR FT150</t>
  </si>
  <si>
    <t>PILA QLINK 6.5</t>
  </si>
  <si>
    <t>POPOTE PARA RIND</t>
  </si>
  <si>
    <t>RED DE ACIENTO WS150</t>
  </si>
  <si>
    <t>MASA TRASERA DE ATV 150 ITALIKA</t>
  </si>
  <si>
    <t>CAPUCHON DE BUJIA DS150</t>
  </si>
  <si>
    <t>PAQUETE DE RAYOS TRASEROS DM200</t>
  </si>
  <si>
    <t>BALATA PARA ATV</t>
  </si>
  <si>
    <t>RSELLO DE ACEITE DS150</t>
  </si>
  <si>
    <t>BUJIA C7</t>
  </si>
  <si>
    <t>JUNTA DEL CARTEL DS150</t>
  </si>
  <si>
    <t>CAMARA 90-90-19</t>
  </si>
  <si>
    <t>TORNILLO</t>
  </si>
  <si>
    <t>PARADOR LATERAL DM200</t>
  </si>
  <si>
    <t xml:space="preserve">RESORTE DE PARADOR LATERAL </t>
  </si>
  <si>
    <t>TUERCA</t>
  </si>
  <si>
    <t>FILTRO DE GASOLINA PIEDRA</t>
  </si>
  <si>
    <t xml:space="preserve">CUENTA DE AYER $ 13695 MENOS $ 650 DE COSAS QUE LLEVO DANIEL QUEDA $ 13045 </t>
  </si>
  <si>
    <t>Jueves 08 DE ENERO-26</t>
  </si>
  <si>
    <t>ADEHSIVO DE WURTH</t>
  </si>
  <si>
    <t xml:space="preserve">PILA QLINK 12N7-3A </t>
  </si>
  <si>
    <t>PILA 12N5-BS WINMEX</t>
  </si>
  <si>
    <t>GOMAS DE SPROKET FT150</t>
  </si>
  <si>
    <t xml:space="preserve">FOCO H4 HALOGENO </t>
  </si>
  <si>
    <t xml:space="preserve">MANIJA DERECHA FT150 </t>
  </si>
  <si>
    <t>Viernes 09 DE ENERO-26</t>
  </si>
  <si>
    <t>ACEITE MOTUL 7100-20W-50</t>
  </si>
  <si>
    <t>FOCO DE DIRECCIONAL</t>
  </si>
  <si>
    <t>BUJIA C9</t>
  </si>
  <si>
    <t>FILTRO DE AIRE DM200</t>
  </si>
  <si>
    <t>FILTRO DE ACE FZ16</t>
  </si>
  <si>
    <t>FOCO DE PELLIZCO</t>
  </si>
  <si>
    <t>SELLO DE ESCAPE</t>
  </si>
  <si>
    <t>P.MERCADO</t>
  </si>
  <si>
    <t xml:space="preserve">PEDIDO WAPEMEX </t>
  </si>
  <si>
    <t>P.WAPE</t>
  </si>
  <si>
    <t>PILAQLIN</t>
  </si>
  <si>
    <t>MARTES 06 DE ENERO-26</t>
  </si>
  <si>
    <t>LUNES 05 DE ENERO-26</t>
  </si>
  <si>
    <t>DANIEL</t>
  </si>
  <si>
    <t>MIERCOLES 07 DE ENERO-26</t>
  </si>
  <si>
    <t>P.NASAKI</t>
  </si>
  <si>
    <t>VIERNES 09 DE ENERO-26</t>
  </si>
  <si>
    <t>PAGOYAS</t>
  </si>
  <si>
    <t>TOTAL</t>
  </si>
  <si>
    <t>TOTAL DE EGRESOS</t>
  </si>
  <si>
    <t>TUERCA DE SEGURIDSAD</t>
  </si>
  <si>
    <t>FILTRO ACEI GZS125</t>
  </si>
  <si>
    <t>ESPEJOS DE FT150 ITALIKA</t>
  </si>
  <si>
    <t>AJUSTADOR DE CADENA FT125 WINMEX</t>
  </si>
  <si>
    <t>CHICOTE DE CLUTH 125Z</t>
  </si>
  <si>
    <t>MANIJA DRECHA DM150</t>
  </si>
  <si>
    <t>ESPEJOS XR115</t>
  </si>
  <si>
    <t>DIRECCIONALES DE PULSAR 200NS</t>
  </si>
  <si>
    <t>BALATA DE DISCO DS150</t>
  </si>
  <si>
    <t>ACEITE MOTUL 3000</t>
  </si>
  <si>
    <t xml:space="preserve">MANGUERA DE GASOLINA </t>
  </si>
  <si>
    <t>KID DE ARRASTRE FT150</t>
  </si>
  <si>
    <t>MANUBRIO FT150</t>
  </si>
  <si>
    <t>BALATA GNS125</t>
  </si>
  <si>
    <r>
      <rPr>
        <b/>
        <sz val="14"/>
        <color theme="1"/>
        <rFont val="Calibri"/>
        <family val="2"/>
        <scheme val="minor"/>
      </rPr>
      <t>CORTES DE LA SEMANA</t>
    </r>
    <r>
      <rPr>
        <sz val="11"/>
        <color theme="1"/>
        <rFont val="Calibri"/>
        <family val="2"/>
        <scheme val="minor"/>
      </rPr>
      <t xml:space="preserve">    SEMANA PASADA
</t>
    </r>
    <r>
      <rPr>
        <b/>
        <sz val="14"/>
        <color theme="1"/>
        <rFont val="Calibri"/>
        <family val="2"/>
        <scheme val="minor"/>
      </rPr>
      <t xml:space="preserve">LUNES 05 DE ENERO-26               $28169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$ 1664.5       MENOS $ 22084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MARTES 06 DE ENERO-26            $ 6085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$ 1813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07 DE ENERO-26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$ 4037.5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08 DE ENERO-26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$ 1181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09 DE ENERO-26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$3122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 xml:space="preserve">TOTAL $ 11818
TOTAL EN CAJA $ 17903 </t>
    </r>
  </si>
  <si>
    <t>Sabado 10 DE ENERO-26</t>
  </si>
  <si>
    <t>ROLLO Y FABULOSO</t>
  </si>
  <si>
    <t>FOCO HALOGENO H4</t>
  </si>
  <si>
    <t xml:space="preserve">FUSIBLE </t>
  </si>
  <si>
    <t>PEDAL DE CAMBIOS FT150</t>
  </si>
  <si>
    <t>FOCO H4 LED</t>
  </si>
  <si>
    <t>KID DE CILINDRO FT150</t>
  </si>
  <si>
    <t>VALVULA DE MOTOR FT150</t>
  </si>
  <si>
    <t>AMORTIGUADOR WS150</t>
  </si>
  <si>
    <t>TUBO MOVIL DS150</t>
  </si>
  <si>
    <t>ACEITE MOTUL7100-20W-50</t>
  </si>
  <si>
    <t>MASCADA</t>
  </si>
  <si>
    <t>LLANTA 140-70-17</t>
  </si>
  <si>
    <t xml:space="preserve">CENTRIFUGO DS150 </t>
  </si>
  <si>
    <r>
      <t xml:space="preserve">CUENTA DE AYER $ 17903 MENOS $ 66 DE ROLLO Y FABULOSO QUEDA $ 17837 
CUENTA DE HOY SABADO $ 3530.5 MENOS $ 300 PAGO DE YAS QUEDA $ 3230.5  
</t>
    </r>
    <r>
      <rPr>
        <b/>
        <sz val="24"/>
        <color rgb="FFFF0000"/>
        <rFont val="Calibri"/>
        <family val="2"/>
        <scheme val="minor"/>
      </rPr>
      <t xml:space="preserve">EN CAJA TOTAL $ 21067.5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</si>
</sst>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4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M29" sqref="M29:N3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21" t="s">
        <v>25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2" t="s">
        <v>17</v>
      </c>
      <c r="K3" s="6">
        <f>SUM(Tabla1[Importa])</f>
        <v>1664.5</v>
      </c>
      <c r="M3" s="24" t="s">
        <v>6</v>
      </c>
      <c r="N3" s="24"/>
      <c r="O3" s="24"/>
      <c r="P3" s="24"/>
      <c r="Q3" s="24"/>
      <c r="R3" s="24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15</v>
      </c>
      <c r="M4" s="23" t="s">
        <v>42</v>
      </c>
      <c r="N4" s="23"/>
      <c r="O4" s="23"/>
      <c r="P4" s="23"/>
      <c r="Q4" s="23"/>
      <c r="R4" s="23"/>
    </row>
    <row r="5" spans="2:18" x14ac:dyDescent="0.25">
      <c r="B5" s="18">
        <f ca="1">IF(Tabla1[[#This Row],['#]]&lt;&gt;"", NOW(), "")</f>
        <v>46038.729075694442</v>
      </c>
      <c r="C5">
        <f>IF(ISNUMBER(E5), IF(ISNUMBER(C4), C4+1, 1), "")</f>
        <v>1</v>
      </c>
      <c r="D5" t="s">
        <v>26</v>
      </c>
      <c r="E5">
        <v>1</v>
      </c>
      <c r="F5">
        <v>480</v>
      </c>
      <c r="G5" t="s">
        <v>27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432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46038.729075694442</v>
      </c>
      <c r="C6">
        <f t="shared" ref="C6:C36" si="0">IF(ISNUMBER(E6), IF(ISNUMBER(C5), C5+1, 1), "")</f>
        <v>2</v>
      </c>
      <c r="D6" t="s">
        <v>28</v>
      </c>
      <c r="E6">
        <v>1</v>
      </c>
      <c r="F6">
        <v>47</v>
      </c>
      <c r="G6" t="s">
        <v>27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42.5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46038.729075694442</v>
      </c>
      <c r="C7">
        <f t="shared" si="0"/>
        <v>3</v>
      </c>
      <c r="D7" t="s">
        <v>29</v>
      </c>
      <c r="E7">
        <v>1</v>
      </c>
      <c r="F7">
        <v>90</v>
      </c>
      <c r="G7" t="s">
        <v>27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85.5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46038.729075694442</v>
      </c>
      <c r="C8">
        <f t="shared" si="0"/>
        <v>4</v>
      </c>
      <c r="D8" t="s">
        <v>30</v>
      </c>
      <c r="E8">
        <v>1</v>
      </c>
      <c r="F8">
        <v>68</v>
      </c>
      <c r="G8" t="s">
        <v>27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61.5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46038.729075694442</v>
      </c>
      <c r="C9">
        <f t="shared" si="0"/>
        <v>5</v>
      </c>
      <c r="D9" t="s">
        <v>31</v>
      </c>
      <c r="E9">
        <v>1</v>
      </c>
      <c r="F9">
        <v>210</v>
      </c>
      <c r="G9" t="s">
        <v>27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189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46038.729075694442</v>
      </c>
      <c r="C10">
        <f t="shared" si="0"/>
        <v>6</v>
      </c>
      <c r="D10" t="s">
        <v>32</v>
      </c>
      <c r="E10">
        <v>1</v>
      </c>
      <c r="F10">
        <v>123</v>
      </c>
      <c r="G10" t="s">
        <v>27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117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46038.729075694442</v>
      </c>
      <c r="C11">
        <f t="shared" si="0"/>
        <v>7</v>
      </c>
      <c r="D11" t="s">
        <v>32</v>
      </c>
      <c r="E11">
        <v>1</v>
      </c>
      <c r="F11">
        <v>123</v>
      </c>
      <c r="G11" t="s">
        <v>27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117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46038.729075694442</v>
      </c>
      <c r="C12">
        <f t="shared" si="0"/>
        <v>8</v>
      </c>
      <c r="D12" t="s">
        <v>33</v>
      </c>
      <c r="E12">
        <v>2</v>
      </c>
      <c r="F12">
        <v>10</v>
      </c>
      <c r="G12" t="s">
        <v>27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18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46038.729075694442</v>
      </c>
      <c r="C13">
        <f t="shared" si="0"/>
        <v>9</v>
      </c>
      <c r="D13" t="s">
        <v>34</v>
      </c>
      <c r="E13">
        <v>1</v>
      </c>
      <c r="F13">
        <v>150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150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46038.729075694442</v>
      </c>
      <c r="C14">
        <f t="shared" si="0"/>
        <v>10</v>
      </c>
      <c r="D14" t="s">
        <v>35</v>
      </c>
      <c r="E14">
        <v>1</v>
      </c>
      <c r="F14">
        <v>20</v>
      </c>
      <c r="G14" t="s">
        <v>27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18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46038.729075694442</v>
      </c>
      <c r="C15">
        <f t="shared" si="0"/>
        <v>11</v>
      </c>
      <c r="D15" t="s">
        <v>36</v>
      </c>
      <c r="E15">
        <v>2</v>
      </c>
      <c r="F15">
        <v>15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30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46038.729075694442</v>
      </c>
      <c r="C16">
        <f t="shared" si="0"/>
        <v>12</v>
      </c>
      <c r="D16" t="s">
        <v>37</v>
      </c>
      <c r="E16">
        <v>1</v>
      </c>
      <c r="F16">
        <v>5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5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46038.729075694442</v>
      </c>
      <c r="C17">
        <f t="shared" si="0"/>
        <v>13</v>
      </c>
      <c r="D17" t="s">
        <v>39</v>
      </c>
      <c r="E17">
        <v>2</v>
      </c>
      <c r="F17">
        <v>135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270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46038.729075694442</v>
      </c>
      <c r="C18">
        <f t="shared" si="0"/>
        <v>14</v>
      </c>
      <c r="D18" t="s">
        <v>40</v>
      </c>
      <c r="E18">
        <v>1</v>
      </c>
      <c r="F18">
        <v>36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36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46038.729075694442</v>
      </c>
      <c r="C19">
        <f t="shared" si="0"/>
        <v>15</v>
      </c>
      <c r="D19" t="s">
        <v>41</v>
      </c>
      <c r="E19">
        <v>1</v>
      </c>
      <c r="F19">
        <v>93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93</v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19" t="s">
        <v>19</v>
      </c>
      <c r="N24" s="19"/>
      <c r="O24" s="19"/>
      <c r="P24" s="19"/>
      <c r="Q24" s="19"/>
      <c r="R24" s="19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20"/>
      <c r="N25" s="20"/>
      <c r="O25" s="20"/>
      <c r="P25" s="20"/>
      <c r="Q25" s="20"/>
      <c r="R25" s="20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8" t="s">
        <v>20</v>
      </c>
      <c r="N26" s="38"/>
      <c r="O26" s="14" t="s">
        <v>21</v>
      </c>
      <c r="P26" s="38" t="s">
        <v>22</v>
      </c>
      <c r="Q26" s="38"/>
      <c r="R26" s="38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26" t="s">
        <v>38</v>
      </c>
      <c r="N27" s="27"/>
      <c r="O27" s="30">
        <v>1559</v>
      </c>
      <c r="P27" s="32"/>
      <c r="Q27" s="33"/>
      <c r="R27" s="34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8"/>
      <c r="N28" s="29"/>
      <c r="O28" s="31"/>
      <c r="P28" s="35"/>
      <c r="Q28" s="36"/>
      <c r="R28" s="37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26" t="s">
        <v>106</v>
      </c>
      <c r="N29" s="27"/>
      <c r="O29" s="30">
        <v>5690</v>
      </c>
      <c r="P29" s="32"/>
      <c r="Q29" s="33"/>
      <c r="R29" s="34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8"/>
      <c r="N30" s="29"/>
      <c r="O30" s="31"/>
      <c r="P30" s="35"/>
      <c r="Q30" s="36"/>
      <c r="R30" s="37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26"/>
      <c r="N31" s="27"/>
      <c r="O31" s="30"/>
      <c r="P31" s="32"/>
      <c r="Q31" s="33"/>
      <c r="R31" s="34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8"/>
      <c r="N32" s="29"/>
      <c r="O32" s="31"/>
      <c r="P32" s="35"/>
      <c r="Q32" s="36"/>
      <c r="R32" s="37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26"/>
      <c r="N33" s="27"/>
      <c r="O33" s="30"/>
      <c r="P33" s="32"/>
      <c r="Q33" s="33"/>
      <c r="R33" s="34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8"/>
      <c r="N34" s="29"/>
      <c r="O34" s="31"/>
      <c r="P34" s="35"/>
      <c r="Q34" s="36"/>
      <c r="R34" s="37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26"/>
      <c r="N35" s="27"/>
      <c r="O35" s="30"/>
      <c r="P35" s="32"/>
      <c r="Q35" s="33"/>
      <c r="R35" s="34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8"/>
      <c r="N36" s="29"/>
      <c r="O36" s="31"/>
      <c r="P36" s="35"/>
      <c r="Q36" s="36"/>
      <c r="R36" s="37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26"/>
      <c r="N37" s="27"/>
      <c r="O37" s="30"/>
      <c r="P37" s="32"/>
      <c r="Q37" s="33"/>
      <c r="R37" s="34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8"/>
      <c r="N38" s="29"/>
      <c r="O38" s="31"/>
      <c r="P38" s="35"/>
      <c r="Q38" s="36"/>
      <c r="R38" s="37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26"/>
      <c r="N39" s="27"/>
      <c r="O39" s="30"/>
      <c r="P39" s="32"/>
      <c r="Q39" s="33"/>
      <c r="R39" s="34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8"/>
      <c r="N40" s="29"/>
      <c r="O40" s="31"/>
      <c r="P40" s="35"/>
      <c r="Q40" s="36"/>
      <c r="R40" s="37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26"/>
      <c r="N41" s="27"/>
      <c r="O41" s="30"/>
      <c r="P41" s="32"/>
      <c r="Q41" s="33"/>
      <c r="R41" s="34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8"/>
      <c r="N42" s="29"/>
      <c r="O42" s="31"/>
      <c r="P42" s="35"/>
      <c r="Q42" s="36"/>
      <c r="R42" s="37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26"/>
      <c r="N43" s="27"/>
      <c r="O43" s="30"/>
      <c r="P43" s="32"/>
      <c r="Q43" s="33"/>
      <c r="R43" s="34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8"/>
      <c r="N44" s="29"/>
      <c r="O44" s="31"/>
      <c r="P44" s="35"/>
      <c r="Q44" s="36"/>
      <c r="R44" s="37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26"/>
      <c r="N45" s="27"/>
      <c r="O45" s="30"/>
      <c r="P45" s="32"/>
      <c r="Q45" s="33"/>
      <c r="R45" s="34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8"/>
      <c r="N46" s="29"/>
      <c r="O46" s="31"/>
      <c r="P46" s="35"/>
      <c r="Q46" s="36"/>
      <c r="R46" s="37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26"/>
      <c r="N47" s="27"/>
      <c r="O47" s="30"/>
      <c r="P47" s="32"/>
      <c r="Q47" s="33"/>
      <c r="R47" s="34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8"/>
      <c r="N48" s="29"/>
      <c r="O48" s="31"/>
      <c r="P48" s="35"/>
      <c r="Q48" s="36"/>
      <c r="R48" s="37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26"/>
      <c r="N49" s="27"/>
      <c r="O49" s="30"/>
      <c r="P49" s="32"/>
      <c r="Q49" s="33"/>
      <c r="R49" s="34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8"/>
      <c r="N50" s="29"/>
      <c r="O50" s="31"/>
      <c r="P50" s="35"/>
      <c r="Q50" s="36"/>
      <c r="R50" s="37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26"/>
      <c r="N51" s="27"/>
      <c r="O51" s="30"/>
      <c r="P51" s="32"/>
      <c r="Q51" s="33"/>
      <c r="R51" s="34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8"/>
      <c r="N52" s="29"/>
      <c r="O52" s="31"/>
      <c r="P52" s="35"/>
      <c r="Q52" s="36"/>
      <c r="R52" s="37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49:N50"/>
    <mergeCell ref="O49:O50"/>
    <mergeCell ref="P49:R50"/>
    <mergeCell ref="M51:N52"/>
    <mergeCell ref="O51:O52"/>
    <mergeCell ref="P51:R52"/>
    <mergeCell ref="M45:N46"/>
    <mergeCell ref="O45:O46"/>
    <mergeCell ref="P45:R46"/>
    <mergeCell ref="M47:N48"/>
    <mergeCell ref="O47:O48"/>
    <mergeCell ref="P47:R48"/>
    <mergeCell ref="P31:R32"/>
    <mergeCell ref="P33:R34"/>
    <mergeCell ref="P35:R36"/>
    <mergeCell ref="P37:R38"/>
    <mergeCell ref="P39:R40"/>
    <mergeCell ref="O31:O32"/>
    <mergeCell ref="O33:O34"/>
    <mergeCell ref="O35:O36"/>
    <mergeCell ref="O37:O38"/>
    <mergeCell ref="O39:O40"/>
    <mergeCell ref="M31:N32"/>
    <mergeCell ref="M33:N34"/>
    <mergeCell ref="M35:N36"/>
    <mergeCell ref="M37:N38"/>
    <mergeCell ref="M39:N40"/>
    <mergeCell ref="P26:R26"/>
    <mergeCell ref="M26:N26"/>
    <mergeCell ref="M27:N28"/>
    <mergeCell ref="M29:N30"/>
    <mergeCell ref="O27:O28"/>
    <mergeCell ref="O29:O30"/>
    <mergeCell ref="P27:R28"/>
    <mergeCell ref="P29:R30"/>
    <mergeCell ref="M41:N42"/>
    <mergeCell ref="M43:N44"/>
    <mergeCell ref="O41:O42"/>
    <mergeCell ref="O43:O44"/>
    <mergeCell ref="P41:R42"/>
    <mergeCell ref="P43:R44"/>
    <mergeCell ref="M24:R24"/>
    <mergeCell ref="M25:R25"/>
    <mergeCell ref="C2:H2"/>
    <mergeCell ref="M4:R22"/>
    <mergeCell ref="M2:R2"/>
    <mergeCell ref="M3:R3"/>
    <mergeCell ref="J5:K14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19" sqref="D19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43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SUM(Tabla110[Importa])</f>
        <v>1813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14</v>
      </c>
      <c r="M4" s="23" t="s">
        <v>57</v>
      </c>
      <c r="N4" s="23"/>
      <c r="O4" s="23"/>
      <c r="P4" s="23"/>
      <c r="Q4" s="23"/>
      <c r="R4" s="23"/>
    </row>
    <row r="5" spans="2:18" x14ac:dyDescent="0.25">
      <c r="B5" s="18">
        <f ca="1">IF(Tabla110[[#This Row],['#]]&lt;&gt;"", NOW(), "")</f>
        <v>46038.729075694442</v>
      </c>
      <c r="C5">
        <f t="shared" ref="C5:C68" si="0">IF(ISNUMBER(E5), IF(ISNUMBER(C4), C4+1, 1), "")</f>
        <v>1</v>
      </c>
      <c r="D5" t="s">
        <v>44</v>
      </c>
      <c r="E5">
        <v>1</v>
      </c>
      <c r="F5">
        <v>39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39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46038.729075694442</v>
      </c>
      <c r="C6">
        <f t="shared" si="0"/>
        <v>2</v>
      </c>
      <c r="D6" t="s">
        <v>37</v>
      </c>
      <c r="E6">
        <v>2</v>
      </c>
      <c r="F6">
        <v>5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10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46038.729075694442</v>
      </c>
      <c r="C7">
        <f t="shared" si="0"/>
        <v>3</v>
      </c>
      <c r="D7" t="s">
        <v>46</v>
      </c>
      <c r="E7">
        <v>1</v>
      </c>
      <c r="F7">
        <v>12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12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46038.729075694442</v>
      </c>
      <c r="C8">
        <f t="shared" si="0"/>
        <v>4</v>
      </c>
      <c r="D8" t="s">
        <v>47</v>
      </c>
      <c r="E8">
        <v>1</v>
      </c>
      <c r="F8">
        <v>93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93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46038.729075694442</v>
      </c>
      <c r="C9">
        <f t="shared" si="0"/>
        <v>5</v>
      </c>
      <c r="D9" t="s">
        <v>48</v>
      </c>
      <c r="E9">
        <v>1</v>
      </c>
      <c r="F9">
        <v>150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150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46038.729075694442</v>
      </c>
      <c r="C10">
        <f t="shared" si="0"/>
        <v>6</v>
      </c>
      <c r="D10" t="s">
        <v>34</v>
      </c>
      <c r="E10">
        <v>1</v>
      </c>
      <c r="F10">
        <v>150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150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46038.729075694442</v>
      </c>
      <c r="C11">
        <f t="shared" si="0"/>
        <v>7</v>
      </c>
      <c r="D11" t="s">
        <v>49</v>
      </c>
      <c r="E11">
        <v>1</v>
      </c>
      <c r="F11">
        <v>182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182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46038.729075694442</v>
      </c>
      <c r="C12">
        <f t="shared" si="0"/>
        <v>8</v>
      </c>
      <c r="D12" t="s">
        <v>50</v>
      </c>
      <c r="E12">
        <v>1</v>
      </c>
      <c r="F12">
        <v>88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88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46038.729075694442</v>
      </c>
      <c r="C13">
        <f t="shared" si="0"/>
        <v>9</v>
      </c>
      <c r="D13" t="s">
        <v>51</v>
      </c>
      <c r="E13">
        <v>1</v>
      </c>
      <c r="F13">
        <v>60</v>
      </c>
      <c r="G13" t="s">
        <v>27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54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46038.729075694442</v>
      </c>
      <c r="C14">
        <f t="shared" si="0"/>
        <v>10</v>
      </c>
      <c r="D14" t="s">
        <v>52</v>
      </c>
      <c r="E14">
        <v>1</v>
      </c>
      <c r="F14">
        <v>210</v>
      </c>
      <c r="G14" t="s">
        <v>27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189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46038.729075694442</v>
      </c>
      <c r="C15">
        <f t="shared" si="0"/>
        <v>11</v>
      </c>
      <c r="D15" t="s">
        <v>53</v>
      </c>
      <c r="E15">
        <v>1</v>
      </c>
      <c r="F15">
        <v>75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75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46038.729075694442</v>
      </c>
      <c r="C16">
        <f t="shared" si="0"/>
        <v>12</v>
      </c>
      <c r="D16" t="s">
        <v>54</v>
      </c>
      <c r="E16">
        <v>1</v>
      </c>
      <c r="F16">
        <v>230</v>
      </c>
      <c r="G16" t="s">
        <v>27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207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46038.729075694442</v>
      </c>
      <c r="C17">
        <f t="shared" si="0"/>
        <v>13</v>
      </c>
      <c r="D17" t="s">
        <v>55</v>
      </c>
      <c r="E17">
        <v>2</v>
      </c>
      <c r="F17">
        <v>142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284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46038.729075694442</v>
      </c>
      <c r="C18">
        <f t="shared" si="0"/>
        <v>14</v>
      </c>
      <c r="D18" t="s">
        <v>56</v>
      </c>
      <c r="E18">
        <v>1</v>
      </c>
      <c r="F18">
        <v>280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280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46038.729075694442</v>
      </c>
      <c r="C19" t="str">
        <f t="shared" si="0"/>
        <v/>
      </c>
      <c r="H19" s="5" t="str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45</v>
      </c>
      <c r="N27" s="15">
        <v>7225</v>
      </c>
      <c r="O27" s="40"/>
      <c r="P27" s="41"/>
      <c r="Q27" s="41"/>
      <c r="R27" s="42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zoomScale="91" zoomScaleNormal="91" workbookViewId="0">
      <selection activeCell="D40" sqref="D4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58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SUM(Tabla111[Importa])</f>
        <v>4037.5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35</v>
      </c>
      <c r="M4" s="23" t="s">
        <v>89</v>
      </c>
      <c r="N4" s="23"/>
      <c r="O4" s="23"/>
      <c r="P4" s="23"/>
      <c r="Q4" s="23"/>
      <c r="R4" s="23"/>
    </row>
    <row r="5" spans="2:18" x14ac:dyDescent="0.25">
      <c r="B5" s="18">
        <f ca="1">IF(Tabla111[[#This Row],['#]]&lt;&gt;"", NOW(), "")</f>
        <v>46038.729075694442</v>
      </c>
      <c r="C5">
        <f>IF(ISNUMBER(E5), IF(ISNUMBER(C4), C4+1, 1), "")</f>
        <v>1</v>
      </c>
      <c r="D5" t="s">
        <v>59</v>
      </c>
      <c r="E5">
        <v>1</v>
      </c>
      <c r="F5">
        <v>28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28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46038.729075694442</v>
      </c>
      <c r="C6">
        <f>IF(ISNUMBER(E6), IF(ISNUMBER(C5), C5+1, 1), "")</f>
        <v>2</v>
      </c>
      <c r="D6" t="s">
        <v>60</v>
      </c>
      <c r="E6">
        <v>1</v>
      </c>
      <c r="F6">
        <v>38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38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46038.729075694442</v>
      </c>
      <c r="C7">
        <f>IF(ISNUMBER(E7), IF(ISNUMBER(C6), C6+1, 1), "")</f>
        <v>3</v>
      </c>
      <c r="D7" t="s">
        <v>37</v>
      </c>
      <c r="E7">
        <v>2</v>
      </c>
      <c r="F7">
        <v>5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10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46038.729075694442</v>
      </c>
      <c r="C8">
        <f t="shared" ref="C8:C68" si="0">IF(ISNUMBER(E8), IF(ISNUMBER(C7), C7+1, 1), "")</f>
        <v>4</v>
      </c>
      <c r="D8" t="s">
        <v>62</v>
      </c>
      <c r="E8">
        <v>2</v>
      </c>
      <c r="F8">
        <v>57</v>
      </c>
      <c r="G8" t="s">
        <v>27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103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46038.729075694442</v>
      </c>
      <c r="C9">
        <f t="shared" si="0"/>
        <v>5</v>
      </c>
      <c r="D9" t="s">
        <v>63</v>
      </c>
      <c r="E9">
        <v>1</v>
      </c>
      <c r="F9">
        <v>222</v>
      </c>
      <c r="G9" t="s">
        <v>27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200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46038.729075694442</v>
      </c>
      <c r="C10">
        <f t="shared" si="0"/>
        <v>6</v>
      </c>
      <c r="D10" t="s">
        <v>64</v>
      </c>
      <c r="E10">
        <v>1</v>
      </c>
      <c r="F10">
        <v>48</v>
      </c>
      <c r="G10" t="s">
        <v>27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43.5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46038.729075694442</v>
      </c>
      <c r="C11">
        <f t="shared" si="0"/>
        <v>7</v>
      </c>
      <c r="D11" t="s">
        <v>65</v>
      </c>
      <c r="E11">
        <v>1</v>
      </c>
      <c r="F11">
        <v>35</v>
      </c>
      <c r="G11" t="s">
        <v>27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31.5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46038.729075694442</v>
      </c>
      <c r="C12">
        <f t="shared" si="0"/>
        <v>8</v>
      </c>
      <c r="D12" t="s">
        <v>66</v>
      </c>
      <c r="E12">
        <v>1</v>
      </c>
      <c r="F12">
        <v>93</v>
      </c>
      <c r="G12" t="s">
        <v>27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84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46038.729075694442</v>
      </c>
      <c r="C13">
        <f t="shared" si="0"/>
        <v>9</v>
      </c>
      <c r="D13" t="s">
        <v>67</v>
      </c>
      <c r="E13">
        <v>1</v>
      </c>
      <c r="F13">
        <v>160</v>
      </c>
      <c r="G13" t="s">
        <v>27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144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46038.729075694442</v>
      </c>
      <c r="C14">
        <f t="shared" si="0"/>
        <v>10</v>
      </c>
      <c r="D14" t="s">
        <v>68</v>
      </c>
      <c r="E14">
        <v>1</v>
      </c>
      <c r="F14">
        <v>600</v>
      </c>
      <c r="G14" t="s">
        <v>27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540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46038.729075694442</v>
      </c>
      <c r="C15">
        <f t="shared" si="0"/>
        <v>11</v>
      </c>
      <c r="D15" t="s">
        <v>69</v>
      </c>
      <c r="E15">
        <v>1</v>
      </c>
      <c r="F15">
        <v>250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250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46038.729075694442</v>
      </c>
      <c r="C16">
        <f t="shared" si="0"/>
        <v>12</v>
      </c>
      <c r="D16" t="s">
        <v>32</v>
      </c>
      <c r="E16">
        <v>1</v>
      </c>
      <c r="F16">
        <v>123</v>
      </c>
      <c r="G16" t="s">
        <v>27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117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46038.729075694442</v>
      </c>
      <c r="C17">
        <f t="shared" si="0"/>
        <v>13</v>
      </c>
      <c r="D17" t="s">
        <v>70</v>
      </c>
      <c r="E17">
        <v>1</v>
      </c>
      <c r="F17">
        <v>57</v>
      </c>
      <c r="G17" t="s">
        <v>27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51.5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46038.729075694442</v>
      </c>
      <c r="C18">
        <f t="shared" si="0"/>
        <v>14</v>
      </c>
      <c r="D18" t="s">
        <v>55</v>
      </c>
      <c r="E18">
        <v>1</v>
      </c>
      <c r="F18">
        <v>142</v>
      </c>
      <c r="G18" t="s">
        <v>27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135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46038.729075694442</v>
      </c>
      <c r="C19">
        <f t="shared" si="0"/>
        <v>15</v>
      </c>
      <c r="D19" t="s">
        <v>71</v>
      </c>
      <c r="E19">
        <v>1</v>
      </c>
      <c r="F19">
        <v>28</v>
      </c>
      <c r="G19" t="s">
        <v>27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25.5</v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>
        <f t="shared" si="0"/>
        <v>16</v>
      </c>
      <c r="D20" t="s">
        <v>72</v>
      </c>
      <c r="E20">
        <v>1</v>
      </c>
      <c r="F20">
        <v>35</v>
      </c>
      <c r="G20" t="s">
        <v>27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31.5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73</v>
      </c>
      <c r="E21">
        <v>1</v>
      </c>
      <c r="F21">
        <v>645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645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74</v>
      </c>
      <c r="E22">
        <v>1</v>
      </c>
      <c r="F22">
        <v>70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70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75</v>
      </c>
      <c r="E23">
        <v>1</v>
      </c>
      <c r="F23">
        <v>115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115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76</v>
      </c>
      <c r="E24">
        <v>1</v>
      </c>
      <c r="F24">
        <v>390</v>
      </c>
      <c r="H24" s="5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>390</v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 t="str">
        <f ca="1">IF(Tabla1[[#This Row],['#]]&lt;&gt;"", NOW(), "")</f>
        <v/>
      </c>
      <c r="C25">
        <f t="shared" si="0"/>
        <v>21</v>
      </c>
      <c r="D25" t="s">
        <v>77</v>
      </c>
      <c r="E25">
        <v>1</v>
      </c>
      <c r="F25">
        <v>20</v>
      </c>
      <c r="H25" s="5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>20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78</v>
      </c>
      <c r="E26">
        <v>1</v>
      </c>
      <c r="F26">
        <v>190</v>
      </c>
      <c r="H26" s="5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>190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60" x14ac:dyDescent="0.25">
      <c r="B27" s="18" t="str">
        <f ca="1">IF(Tabla1[[#This Row],['#]]&lt;&gt;"", NOW(), "")</f>
        <v/>
      </c>
      <c r="C27">
        <f t="shared" si="0"/>
        <v>23</v>
      </c>
      <c r="D27" t="s">
        <v>79</v>
      </c>
      <c r="E27">
        <v>1</v>
      </c>
      <c r="F27">
        <v>42</v>
      </c>
      <c r="H27" s="5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>42</v>
      </c>
      <c r="M27" s="13" t="s">
        <v>61</v>
      </c>
      <c r="N27" s="15">
        <v>650</v>
      </c>
      <c r="O27" s="40"/>
      <c r="P27" s="41"/>
      <c r="Q27" s="41"/>
      <c r="R27" s="42"/>
    </row>
    <row r="28" spans="2:18" x14ac:dyDescent="0.25">
      <c r="B28" s="18" t="str">
        <f ca="1">IF(Tabla1[[#This Row],['#]]&lt;&gt;"", NOW(), "")</f>
        <v/>
      </c>
      <c r="C28">
        <f t="shared" si="0"/>
        <v>24</v>
      </c>
      <c r="D28" t="s">
        <v>55</v>
      </c>
      <c r="E28">
        <v>1</v>
      </c>
      <c r="F28">
        <v>142</v>
      </c>
      <c r="G28" t="s">
        <v>27</v>
      </c>
      <c r="H28" s="5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>135</v>
      </c>
      <c r="M28" s="13"/>
      <c r="N28" s="15"/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>
        <f t="shared" si="0"/>
        <v>25</v>
      </c>
      <c r="D29" t="s">
        <v>29</v>
      </c>
      <c r="E29">
        <v>1</v>
      </c>
      <c r="F29">
        <v>90</v>
      </c>
      <c r="G29" t="s">
        <v>27</v>
      </c>
      <c r="H29" s="5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>85.5</v>
      </c>
      <c r="M29" s="13"/>
      <c r="N29" s="15"/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>
        <f t="shared" si="0"/>
        <v>26</v>
      </c>
      <c r="D30" t="s">
        <v>80</v>
      </c>
      <c r="E30">
        <v>1</v>
      </c>
      <c r="F30">
        <v>15</v>
      </c>
      <c r="H30" s="5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>15</v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>
        <f t="shared" si="0"/>
        <v>27</v>
      </c>
      <c r="D31" t="s">
        <v>81</v>
      </c>
      <c r="E31">
        <v>1</v>
      </c>
      <c r="F31">
        <v>57</v>
      </c>
      <c r="G31" t="s">
        <v>27</v>
      </c>
      <c r="H31" s="5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>51.5</v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>
        <f t="shared" si="0"/>
        <v>28</v>
      </c>
      <c r="D32" t="s">
        <v>82</v>
      </c>
      <c r="E32">
        <v>1</v>
      </c>
      <c r="F32">
        <v>34</v>
      </c>
      <c r="G32" t="s">
        <v>27</v>
      </c>
      <c r="H32" s="5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>31</v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>
        <f t="shared" si="0"/>
        <v>29</v>
      </c>
      <c r="D33" t="s">
        <v>83</v>
      </c>
      <c r="E33">
        <v>1</v>
      </c>
      <c r="F33">
        <v>85</v>
      </c>
      <c r="H33" s="5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>85</v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>
        <f t="shared" si="0"/>
        <v>30</v>
      </c>
      <c r="D34" t="s">
        <v>84</v>
      </c>
      <c r="E34">
        <v>2</v>
      </c>
      <c r="F34">
        <v>5</v>
      </c>
      <c r="H34" s="5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>10</v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>
        <f t="shared" si="0"/>
        <v>31</v>
      </c>
      <c r="D35" t="s">
        <v>85</v>
      </c>
      <c r="E35">
        <v>1</v>
      </c>
      <c r="F35">
        <v>118</v>
      </c>
      <c r="H35" s="5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>118</v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>
        <f t="shared" si="0"/>
        <v>32</v>
      </c>
      <c r="D36" t="s">
        <v>86</v>
      </c>
      <c r="E36">
        <v>1</v>
      </c>
      <c r="F36">
        <v>20</v>
      </c>
      <c r="H36" s="5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>20</v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>
        <f t="shared" si="0"/>
        <v>33</v>
      </c>
      <c r="D37" t="s">
        <v>87</v>
      </c>
      <c r="E37">
        <v>1</v>
      </c>
      <c r="F37">
        <v>20</v>
      </c>
      <c r="H37" s="5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>20</v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>
        <f t="shared" si="0"/>
        <v>34</v>
      </c>
      <c r="D38" t="s">
        <v>55</v>
      </c>
      <c r="E38">
        <v>1</v>
      </c>
      <c r="F38">
        <v>142</v>
      </c>
      <c r="H38" s="5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>142</v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>
        <f t="shared" si="0"/>
        <v>35</v>
      </c>
      <c r="D39" t="s">
        <v>88</v>
      </c>
      <c r="E39">
        <v>1</v>
      </c>
      <c r="F39">
        <v>20</v>
      </c>
      <c r="H39" s="5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>20</v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11" sqref="D11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90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SUM(Tabla112[Importa])</f>
        <v>1181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6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IF(Tabla112[[#This Row],['#]]&lt;&gt;"", NOW(), "")</f>
        <v>46038.729075694442</v>
      </c>
      <c r="C5">
        <f t="shared" ref="C5:C68" si="0">IF(ISNUMBER(E5), IF(ISNUMBER(C4), C4+1, 1), "")</f>
        <v>1</v>
      </c>
      <c r="D5" t="s">
        <v>91</v>
      </c>
      <c r="E5">
        <v>1</v>
      </c>
      <c r="F5">
        <v>25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25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46038.729075694442</v>
      </c>
      <c r="C6">
        <f t="shared" si="0"/>
        <v>2</v>
      </c>
      <c r="D6" t="s">
        <v>92</v>
      </c>
      <c r="E6">
        <v>1</v>
      </c>
      <c r="F6">
        <v>625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625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46038.729075694442</v>
      </c>
      <c r="C7">
        <f t="shared" si="0"/>
        <v>3</v>
      </c>
      <c r="D7" t="s">
        <v>93</v>
      </c>
      <c r="E7">
        <v>1</v>
      </c>
      <c r="F7">
        <v>400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400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46038.729075694442</v>
      </c>
      <c r="C8">
        <f t="shared" si="0"/>
        <v>4</v>
      </c>
      <c r="D8" t="s">
        <v>94</v>
      </c>
      <c r="E8">
        <v>1</v>
      </c>
      <c r="F8">
        <v>45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45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46038.729075694442</v>
      </c>
      <c r="C9">
        <f t="shared" si="0"/>
        <v>5</v>
      </c>
      <c r="D9" t="s">
        <v>95</v>
      </c>
      <c r="E9">
        <v>1</v>
      </c>
      <c r="F9">
        <v>45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45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46038.729075694442</v>
      </c>
      <c r="C10">
        <f t="shared" si="0"/>
        <v>6</v>
      </c>
      <c r="D10" t="s">
        <v>96</v>
      </c>
      <c r="E10">
        <v>1</v>
      </c>
      <c r="F10">
        <v>41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41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46038.729075694442</v>
      </c>
      <c r="C11" t="str">
        <f t="shared" si="0"/>
        <v/>
      </c>
      <c r="H11" s="5" t="str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46038.729075694442</v>
      </c>
      <c r="C12" t="str">
        <f t="shared" si="0"/>
        <v/>
      </c>
      <c r="H12" s="5" t="str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46038.729075694442</v>
      </c>
      <c r="C13" t="str">
        <f t="shared" si="0"/>
        <v/>
      </c>
      <c r="H13" s="5" t="str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46038.729075694442</v>
      </c>
      <c r="C14" t="str">
        <f t="shared" si="0"/>
        <v/>
      </c>
      <c r="H14" s="5" t="str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46038.729075694442</v>
      </c>
      <c r="C15" t="str">
        <f t="shared" si="0"/>
        <v/>
      </c>
      <c r="H15" s="5" t="str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46038.729075694442</v>
      </c>
      <c r="C16" t="str">
        <f t="shared" si="0"/>
        <v/>
      </c>
      <c r="H16" s="5" t="str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46038.729075694442</v>
      </c>
      <c r="C17" t="str">
        <f t="shared" si="0"/>
        <v/>
      </c>
      <c r="H17" s="5" t="str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46038.729075694442</v>
      </c>
      <c r="C18" t="str">
        <f t="shared" si="0"/>
        <v/>
      </c>
      <c r="H18" s="5" t="str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46038.729075694442</v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32" sqref="D3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21" t="s">
        <v>97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SUM(Tabla113[Importa])</f>
        <v>3122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27</v>
      </c>
      <c r="M4" s="23" t="s">
        <v>132</v>
      </c>
      <c r="N4" s="23"/>
      <c r="O4" s="23"/>
      <c r="P4" s="23"/>
      <c r="Q4" s="23"/>
      <c r="R4" s="23"/>
    </row>
    <row r="5" spans="2:18" x14ac:dyDescent="0.25">
      <c r="B5" s="18">
        <f ca="1">IF(Tabla113[[#This Row],['#]]&lt;&gt;"", NOW(), "")</f>
        <v>46038.729075694442</v>
      </c>
      <c r="C5">
        <f t="shared" ref="C5:C68" si="0">IF(ISNUMBER(E5), IF(ISNUMBER(C4), C4+1, 1), "")</f>
        <v>1</v>
      </c>
      <c r="D5" t="s">
        <v>98</v>
      </c>
      <c r="E5">
        <v>1</v>
      </c>
      <c r="F5">
        <v>320</v>
      </c>
      <c r="G5" t="s">
        <v>27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304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46038.729075694442</v>
      </c>
      <c r="C6">
        <f t="shared" si="0"/>
        <v>2</v>
      </c>
      <c r="D6" t="s">
        <v>98</v>
      </c>
      <c r="E6">
        <v>1</v>
      </c>
      <c r="F6">
        <v>320</v>
      </c>
      <c r="G6" t="s">
        <v>27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304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46038.729075694442</v>
      </c>
      <c r="C7">
        <f t="shared" si="0"/>
        <v>3</v>
      </c>
      <c r="D7" t="s">
        <v>99</v>
      </c>
      <c r="E7">
        <v>1</v>
      </c>
      <c r="F7">
        <v>12</v>
      </c>
      <c r="G7" t="s">
        <v>27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11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46038.729075694442</v>
      </c>
      <c r="C8">
        <f t="shared" si="0"/>
        <v>4</v>
      </c>
      <c r="D8" t="s">
        <v>100</v>
      </c>
      <c r="E8">
        <v>2</v>
      </c>
      <c r="F8">
        <v>57</v>
      </c>
      <c r="G8" t="s">
        <v>27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103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46038.729075694442</v>
      </c>
      <c r="C9">
        <f t="shared" si="0"/>
        <v>5</v>
      </c>
      <c r="D9" t="s">
        <v>101</v>
      </c>
      <c r="E9">
        <v>1</v>
      </c>
      <c r="F9">
        <v>71</v>
      </c>
      <c r="G9" t="s">
        <v>27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64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46038.729075694442</v>
      </c>
      <c r="C10">
        <f t="shared" si="0"/>
        <v>6</v>
      </c>
      <c r="D10" t="s">
        <v>102</v>
      </c>
      <c r="E10">
        <v>1</v>
      </c>
      <c r="F10">
        <v>32</v>
      </c>
      <c r="G10" t="s">
        <v>27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29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46038.729075694442</v>
      </c>
      <c r="C11">
        <f t="shared" si="0"/>
        <v>7</v>
      </c>
      <c r="D11" t="s">
        <v>103</v>
      </c>
      <c r="E11">
        <v>1</v>
      </c>
      <c r="F11">
        <v>15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15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46038.729075694442</v>
      </c>
      <c r="C12">
        <f t="shared" si="0"/>
        <v>8</v>
      </c>
      <c r="D12" t="s">
        <v>104</v>
      </c>
      <c r="E12">
        <v>1</v>
      </c>
      <c r="F12">
        <v>10</v>
      </c>
      <c r="G12" t="s">
        <v>27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9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46038.729075694442</v>
      </c>
      <c r="C13">
        <f t="shared" si="0"/>
        <v>9</v>
      </c>
      <c r="D13" t="s">
        <v>118</v>
      </c>
      <c r="E13">
        <v>1</v>
      </c>
      <c r="F13">
        <v>20</v>
      </c>
      <c r="G13" t="s">
        <v>27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18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46038.729075694442</v>
      </c>
      <c r="C14">
        <f t="shared" si="0"/>
        <v>10</v>
      </c>
      <c r="D14" t="s">
        <v>119</v>
      </c>
      <c r="E14">
        <v>1</v>
      </c>
      <c r="F14">
        <v>25</v>
      </c>
      <c r="G14" t="s">
        <v>27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22.5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46038.729075694442</v>
      </c>
      <c r="C15">
        <f t="shared" si="0"/>
        <v>11</v>
      </c>
      <c r="D15" t="s">
        <v>55</v>
      </c>
      <c r="E15">
        <v>1</v>
      </c>
      <c r="F15">
        <v>142</v>
      </c>
      <c r="G15" t="s">
        <v>27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135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46038.729075694442</v>
      </c>
      <c r="C16">
        <f t="shared" si="0"/>
        <v>12</v>
      </c>
      <c r="D16" t="s">
        <v>129</v>
      </c>
      <c r="E16">
        <v>1</v>
      </c>
      <c r="F16">
        <v>327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327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46038.729075694442</v>
      </c>
      <c r="C17">
        <f t="shared" si="0"/>
        <v>13</v>
      </c>
      <c r="D17" t="s">
        <v>120</v>
      </c>
      <c r="E17">
        <v>1</v>
      </c>
      <c r="F17">
        <v>185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185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46038.729075694442</v>
      </c>
      <c r="C18">
        <f t="shared" si="0"/>
        <v>14</v>
      </c>
      <c r="D18" t="s">
        <v>121</v>
      </c>
      <c r="E18">
        <v>1</v>
      </c>
      <c r="F18">
        <v>35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35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46038.729075694442</v>
      </c>
      <c r="C19">
        <f t="shared" si="0"/>
        <v>15</v>
      </c>
      <c r="D19" t="s">
        <v>122</v>
      </c>
      <c r="E19">
        <v>1</v>
      </c>
      <c r="F19">
        <v>40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40</v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>
        <f t="shared" si="0"/>
        <v>16</v>
      </c>
      <c r="D20" t="s">
        <v>98</v>
      </c>
      <c r="E20">
        <v>1</v>
      </c>
      <c r="F20">
        <v>320</v>
      </c>
      <c r="G20" t="s">
        <v>27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304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125</v>
      </c>
      <c r="E21">
        <v>1</v>
      </c>
      <c r="F21">
        <v>140</v>
      </c>
      <c r="G21" t="s">
        <v>27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126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123</v>
      </c>
      <c r="E22">
        <v>1</v>
      </c>
      <c r="F22">
        <v>30</v>
      </c>
      <c r="G22" t="s">
        <v>27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27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124</v>
      </c>
      <c r="E23">
        <v>1</v>
      </c>
      <c r="F23">
        <v>215</v>
      </c>
      <c r="G23" t="s">
        <v>27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193.5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126</v>
      </c>
      <c r="E24">
        <v>1</v>
      </c>
      <c r="F24">
        <v>36</v>
      </c>
      <c r="G24" t="s">
        <v>27</v>
      </c>
      <c r="H24" s="5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>32.5</v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127</v>
      </c>
      <c r="E25">
        <v>1</v>
      </c>
      <c r="F25">
        <v>200</v>
      </c>
      <c r="H25" s="5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>200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128</v>
      </c>
      <c r="E26">
        <v>1</v>
      </c>
      <c r="F26">
        <v>15</v>
      </c>
      <c r="H26" s="5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>15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>
        <f t="shared" si="0"/>
        <v>23</v>
      </c>
      <c r="D27" t="s">
        <v>130</v>
      </c>
      <c r="E27">
        <v>1</v>
      </c>
      <c r="F27">
        <v>250</v>
      </c>
      <c r="H27" s="5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>250</v>
      </c>
      <c r="M27" s="13" t="s">
        <v>105</v>
      </c>
      <c r="N27" s="15">
        <v>1559</v>
      </c>
      <c r="O27" s="40" t="s">
        <v>110</v>
      </c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>
        <f t="shared" si="0"/>
        <v>24</v>
      </c>
      <c r="D28" t="s">
        <v>131</v>
      </c>
      <c r="E28">
        <v>1</v>
      </c>
      <c r="F28">
        <v>36</v>
      </c>
      <c r="G28" t="s">
        <v>27</v>
      </c>
      <c r="H28" s="5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>32.5</v>
      </c>
      <c r="M28" s="13" t="s">
        <v>107</v>
      </c>
      <c r="N28" s="15">
        <v>5690</v>
      </c>
      <c r="O28" s="40" t="s">
        <v>110</v>
      </c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>
        <f t="shared" si="0"/>
        <v>25</v>
      </c>
      <c r="D29" t="s">
        <v>29</v>
      </c>
      <c r="E29">
        <v>2</v>
      </c>
      <c r="F29">
        <v>90</v>
      </c>
      <c r="H29" s="5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>180</v>
      </c>
      <c r="M29" s="13" t="s">
        <v>108</v>
      </c>
      <c r="N29" s="15">
        <v>7225</v>
      </c>
      <c r="O29" s="40" t="s">
        <v>109</v>
      </c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>
        <f t="shared" si="0"/>
        <v>26</v>
      </c>
      <c r="D30" t="s">
        <v>70</v>
      </c>
      <c r="E30">
        <v>1</v>
      </c>
      <c r="F30">
        <v>57</v>
      </c>
      <c r="H30" s="5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>57</v>
      </c>
      <c r="M30" s="13" t="s">
        <v>111</v>
      </c>
      <c r="N30" s="15">
        <v>650</v>
      </c>
      <c r="O30" s="40" t="s">
        <v>112</v>
      </c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>
        <f t="shared" si="0"/>
        <v>27</v>
      </c>
      <c r="D31" t="s">
        <v>70</v>
      </c>
      <c r="E31">
        <v>2</v>
      </c>
      <c r="F31">
        <v>57</v>
      </c>
      <c r="G31" t="s">
        <v>27</v>
      </c>
      <c r="H31" s="5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>103</v>
      </c>
      <c r="M31" s="13" t="s">
        <v>113</v>
      </c>
      <c r="N31" s="15">
        <v>5460</v>
      </c>
      <c r="O31" s="40" t="s">
        <v>114</v>
      </c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115</v>
      </c>
      <c r="N32" s="15">
        <v>1500</v>
      </c>
      <c r="O32" s="40" t="s">
        <v>114</v>
      </c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116</v>
      </c>
      <c r="N33" s="15">
        <v>22084</v>
      </c>
      <c r="O33" s="40" t="s">
        <v>117</v>
      </c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E25" sqref="E2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133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SUM(Tabla114[Importa])</f>
        <v>3530.5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16</v>
      </c>
      <c r="M4" s="23" t="s">
        <v>147</v>
      </c>
      <c r="N4" s="23"/>
      <c r="O4" s="23"/>
      <c r="P4" s="23"/>
      <c r="Q4" s="23"/>
      <c r="R4" s="23"/>
    </row>
    <row r="5" spans="2:18" x14ac:dyDescent="0.25">
      <c r="B5" s="18">
        <f ca="1">IF(Tabla114[[#This Row],['#]]&lt;&gt;"", NOW(), "")</f>
        <v>46038.729075694442</v>
      </c>
      <c r="C5">
        <f t="shared" ref="C5:C68" si="0">IF(ISNUMBER(E5), IF(ISNUMBER(C4), C4+1, 1), "")</f>
        <v>1</v>
      </c>
      <c r="D5" t="s">
        <v>135</v>
      </c>
      <c r="E5">
        <v>1</v>
      </c>
      <c r="F5">
        <v>45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45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46038.729075694442</v>
      </c>
      <c r="C6">
        <f t="shared" si="0"/>
        <v>2</v>
      </c>
      <c r="D6" t="s">
        <v>136</v>
      </c>
      <c r="E6">
        <v>5</v>
      </c>
      <c r="F6">
        <v>3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15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46038.729075694442</v>
      </c>
      <c r="C7">
        <f t="shared" si="0"/>
        <v>3</v>
      </c>
      <c r="D7" t="s">
        <v>37</v>
      </c>
      <c r="E7">
        <v>4</v>
      </c>
      <c r="F7">
        <v>5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20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46038.729075694442</v>
      </c>
      <c r="C8">
        <f t="shared" si="0"/>
        <v>4</v>
      </c>
      <c r="D8" t="s">
        <v>137</v>
      </c>
      <c r="E8">
        <v>1</v>
      </c>
      <c r="F8">
        <v>87</v>
      </c>
      <c r="G8" t="s">
        <v>27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78.5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46038.729075694442</v>
      </c>
      <c r="C9">
        <f t="shared" si="0"/>
        <v>5</v>
      </c>
      <c r="D9" t="s">
        <v>138</v>
      </c>
      <c r="E9">
        <v>1</v>
      </c>
      <c r="F9">
        <v>135</v>
      </c>
      <c r="G9" t="s">
        <v>27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121.5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46038.729075694442</v>
      </c>
      <c r="C10">
        <f t="shared" si="0"/>
        <v>6</v>
      </c>
      <c r="D10" t="s">
        <v>146</v>
      </c>
      <c r="E10">
        <v>1</v>
      </c>
      <c r="F10">
        <v>280</v>
      </c>
      <c r="G10" t="s">
        <v>27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252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46038.729075694442</v>
      </c>
      <c r="C11">
        <f t="shared" si="0"/>
        <v>7</v>
      </c>
      <c r="D11" t="s">
        <v>139</v>
      </c>
      <c r="E11">
        <v>1</v>
      </c>
      <c r="F11">
        <v>732</v>
      </c>
      <c r="G11" t="s">
        <v>27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659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46038.729075694442</v>
      </c>
      <c r="C12">
        <f t="shared" si="0"/>
        <v>8</v>
      </c>
      <c r="D12" t="s">
        <v>140</v>
      </c>
      <c r="E12">
        <v>1</v>
      </c>
      <c r="F12">
        <v>95</v>
      </c>
      <c r="G12" t="s">
        <v>27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85.5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46038.729075694442</v>
      </c>
      <c r="C13">
        <f t="shared" si="0"/>
        <v>9</v>
      </c>
      <c r="D13" t="s">
        <v>141</v>
      </c>
      <c r="E13">
        <v>1</v>
      </c>
      <c r="F13">
        <v>380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380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46038.729075694442</v>
      </c>
      <c r="C14">
        <f t="shared" si="0"/>
        <v>10</v>
      </c>
      <c r="D14" t="s">
        <v>142</v>
      </c>
      <c r="E14">
        <v>1</v>
      </c>
      <c r="F14">
        <v>15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15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46038.729075694442</v>
      </c>
      <c r="C15">
        <f t="shared" si="0"/>
        <v>11</v>
      </c>
      <c r="D15" t="s">
        <v>143</v>
      </c>
      <c r="E15">
        <v>1</v>
      </c>
      <c r="F15">
        <v>320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320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46038.729075694442</v>
      </c>
      <c r="C16">
        <f t="shared" si="0"/>
        <v>12</v>
      </c>
      <c r="D16" t="s">
        <v>34</v>
      </c>
      <c r="E16">
        <v>1</v>
      </c>
      <c r="F16">
        <v>150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150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46038.729075694442</v>
      </c>
      <c r="C17">
        <f t="shared" si="0"/>
        <v>13</v>
      </c>
      <c r="D17" t="s">
        <v>70</v>
      </c>
      <c r="E17">
        <v>1</v>
      </c>
      <c r="F17">
        <v>57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57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46038.729075694442</v>
      </c>
      <c r="C18">
        <f t="shared" si="0"/>
        <v>14</v>
      </c>
      <c r="D18" t="s">
        <v>144</v>
      </c>
      <c r="E18">
        <v>1</v>
      </c>
      <c r="F18">
        <v>40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40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46038.729075694442</v>
      </c>
      <c r="C19">
        <f t="shared" si="0"/>
        <v>15</v>
      </c>
      <c r="D19" t="s">
        <v>55</v>
      </c>
      <c r="E19">
        <v>1</v>
      </c>
      <c r="F19">
        <v>142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142</v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>
        <f t="shared" si="0"/>
        <v>16</v>
      </c>
      <c r="D20" t="s">
        <v>145</v>
      </c>
      <c r="E20">
        <v>1</v>
      </c>
      <c r="F20">
        <v>1150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1150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 t="s">
        <v>134</v>
      </c>
      <c r="N27" s="15">
        <v>66</v>
      </c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14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23"/>
      <c r="N4" s="23"/>
      <c r="O4" s="23"/>
      <c r="P4" s="23"/>
      <c r="Q4" s="23"/>
      <c r="R4" s="23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46038.729075694442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46038.729075694442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46038.729075694442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46038.729075694442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46038.729075694442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46038.729075694442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46038.729075694442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46038.729075694442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46038.729075694442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46038.729075694442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46038.729075694442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46038.729075694442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46038.729075694442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46038.729075694442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05-01-26</vt:lpstr>
      <vt:lpstr>Martes 06-01-26</vt:lpstr>
      <vt:lpstr>Miercoles 07-01-26</vt:lpstr>
      <vt:lpstr>Jueves 08-01-26</vt:lpstr>
      <vt:lpstr>Viernes 09-01-26</vt:lpstr>
      <vt:lpstr>Sabado 10-01-26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2026-01-16T23:30:12Z</dcterms:modified>
</cp:coreProperties>
</file>