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E9BA729-468C-46E0-9644-BE0230AE3068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Lunes 26-01-26" sheetId="1" r:id="rId1"/>
    <sheet name="Martes 27-01-26" sheetId="2" r:id="rId2"/>
    <sheet name="Miercoles 28 -01-25" sheetId="3" r:id="rId3"/>
    <sheet name="Jueves 29 -01-26" sheetId="4" r:id="rId4"/>
    <sheet name="Viernes 30-01-26" sheetId="5" r:id="rId5"/>
    <sheet name="Sabado" sheetId="6" r:id="rId6"/>
    <sheet name="Domingo" sheetId="8" r:id="rId7"/>
    <sheet name="Cambios" sheetId="7" r:id="rId8"/>
  </sheets>
  <definedNames>
    <definedName name="_xlnm._FilterDatabase" localSheetId="0" hidden="1">'Lunes 26-01-26'!$B$4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<sst xmlns="http://schemas.openxmlformats.org/spreadsheetml/2006/main" count="290" uniqueCount="127">
  <si>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</si>
  <si>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</si>
  <si>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</si>
  <si>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</si>
  <si>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</si>
  <si>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</si>
  <si>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</si>
  <si>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</si>
  <si>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Miercoles 01-02-03</t>
  </si>
  <si>
    <t>Jueves 01-02-03</t>
  </si>
  <si>
    <t>Sabado 01-02-03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</si>
  <si>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</si>
  <si>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</si>
  <si>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</si>
  <si>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</si>
  <si>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</si>
  <si>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</si>
  <si>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</si>
  <si>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</si>
  <si>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</si>
  <si>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</si>
  <si>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</si>
  <si>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</si>
  <si>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</si>
  <si>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</si>
  <si>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</si>
  <si>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</si>
  <si>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</si>
  <si>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26 DE ENERO-26</t>
  </si>
  <si>
    <t>FOCO DE STOP</t>
  </si>
  <si>
    <t>FOCOD E DIRECCIONAL</t>
  </si>
  <si>
    <t>ACEITE MOTUL 5100 15W-50</t>
  </si>
  <si>
    <t>X</t>
  </si>
  <si>
    <t>BUJIA C9</t>
  </si>
  <si>
    <t>FILTRO D ACEI PULSAR 200NS</t>
  </si>
  <si>
    <t>MANIJA DM200 SOLA IZQU</t>
  </si>
  <si>
    <t>TORNILLOS DE SPROKET FT150</t>
  </si>
  <si>
    <t>PEDIDO MERCADO</t>
  </si>
  <si>
    <t>PEDIDONASAKI</t>
  </si>
  <si>
    <t xml:space="preserve">CUENTA SEMANA PASADA $ 31220 MENOS $ 10382 QUEDA $ 20838 MENOS $ 8020 PEDIDO DE NASAKI QUEDA $ 12818 </t>
  </si>
  <si>
    <t>ESPEJOS DE FT150</t>
  </si>
  <si>
    <t>PUÑOS ROJOS WAPEMEX</t>
  </si>
  <si>
    <t>ESTRELLA FT150</t>
  </si>
  <si>
    <t>BALATA DE DISCO DM200</t>
  </si>
  <si>
    <t>LUBRICANTE DE CADENA WURTH</t>
  </si>
  <si>
    <t>ACEITE REPSOL</t>
  </si>
  <si>
    <t>ACEITE MOTUL 3000</t>
  </si>
  <si>
    <t>FILTRO DE ACEITE PULSAR 200NS</t>
  </si>
  <si>
    <t>Martes 27 DE ENERO-26</t>
  </si>
  <si>
    <t>BALATA DE DISCO DS150</t>
  </si>
  <si>
    <t>LLANTA 130-90-18</t>
  </si>
  <si>
    <t xml:space="preserve">RALLOS DM200 TRASEROS </t>
  </si>
  <si>
    <t xml:space="preserve">JUNTA DE CILINDRO </t>
  </si>
  <si>
    <t>TAZA DE DIRECCION 125Z</t>
  </si>
  <si>
    <t>EJE DE RUEDA DE 150Z TRASERO</t>
  </si>
  <si>
    <t>FILTRO DE ACEITE ZUZUKI GNS125</t>
  </si>
  <si>
    <t>ARBOL DE LEVAS DE FT150</t>
  </si>
  <si>
    <t>AJUSTADOR DE CADENA 125Z</t>
  </si>
  <si>
    <t>ACEITE LUBER</t>
  </si>
  <si>
    <t>FOCO H4 LED H4</t>
  </si>
  <si>
    <t>FILTRO DE AIRE WS150</t>
  </si>
  <si>
    <t>ACEITE AKRON</t>
  </si>
  <si>
    <t>FILTRO DE AIRE D150</t>
  </si>
  <si>
    <t>INTERUPTOR DE ATV</t>
  </si>
  <si>
    <t xml:space="preserve">PORTA FUSIBLES </t>
  </si>
  <si>
    <t>BUJIA C7</t>
  </si>
  <si>
    <t xml:space="preserve">CADENA PARA FT150 ITALIKA </t>
  </si>
  <si>
    <t>BALATA TRASERA DE PULSAR 160NS</t>
  </si>
  <si>
    <t xml:space="preserve">DIRECCIONAL UNIVERSALES </t>
  </si>
  <si>
    <t>VALVULAS DE DM200</t>
  </si>
  <si>
    <t>FOCO LED H6</t>
  </si>
  <si>
    <t>BUJIA D8</t>
  </si>
  <si>
    <t>RODILLOS DE CENTRIFUJO</t>
  </si>
  <si>
    <t>BANDA POWER LINK 743-20-30</t>
  </si>
  <si>
    <t>BALATA DE FT150 TAMBOR</t>
  </si>
  <si>
    <t>FOCO H6 HALKOGENO</t>
  </si>
  <si>
    <t>BALATA DE DISCO ATV 150 ITALIKA</t>
  </si>
  <si>
    <t>MANIJA IZQUIERDA 150Z</t>
  </si>
  <si>
    <t>CADENA 428 X116 ITALIKA</t>
  </si>
  <si>
    <t>RETEN DE BARRAS DE FT150</t>
  </si>
  <si>
    <t>CAMARA 120-80-18</t>
  </si>
  <si>
    <t>TORNILLO E SPROKET FT150</t>
  </si>
  <si>
    <t>CADENA 428 CON ORING  MERCADO</t>
  </si>
  <si>
    <t>BUJIAS C9</t>
  </si>
  <si>
    <t>LUBRICANTE DE CADENA AXPRO</t>
  </si>
  <si>
    <t>PARADOR LATERAL 125Z</t>
  </si>
  <si>
    <t xml:space="preserve">FOCO DE DIRECIONAL </t>
  </si>
  <si>
    <t>PILA QLINK XTX 7</t>
  </si>
  <si>
    <t xml:space="preserve">TERMINAL DE BACTERIA </t>
  </si>
  <si>
    <t xml:space="preserve">DIRECCIONALES UNIVERSALES </t>
  </si>
  <si>
    <t>ESTRELLA DE 125Z</t>
  </si>
  <si>
    <t>FILTRO DE ACEI  BOXER 150</t>
  </si>
  <si>
    <t xml:space="preserve">PROTECTOR DE CALZADO </t>
  </si>
  <si>
    <t>WAPEMEX</t>
  </si>
  <si>
    <t>ESPUMA</t>
  </si>
  <si>
    <t>FILTRO DE GASOLINA PIEDRA</t>
  </si>
  <si>
    <t>BANDA NASAKI 835-20-30</t>
  </si>
  <si>
    <t xml:space="preserve">SELLO DE ESCAPE MOTONETA </t>
  </si>
  <si>
    <t>MANUBRIO DE 3 PIEZAS ROJO</t>
  </si>
  <si>
    <t>ESPEJOS DE  ATV 200</t>
  </si>
  <si>
    <t>CAMARA 80-100-21</t>
  </si>
  <si>
    <t>RED DE ACIENTO WS150</t>
  </si>
  <si>
    <t xml:space="preserve">CUENTA DE LA SEMANA PASADA $ 12818 MENOS $ 256 DE PEDIDO DE WAPEMEX QUEDA $ 12562 MENOS $ 70 DE ESPUMA QUEDA $ 12492 </t>
  </si>
  <si>
    <t>Viernes 30 DE ENERO-26</t>
  </si>
  <si>
    <t>P.MERCADO</t>
  </si>
  <si>
    <t>LUNES 26 DE ENERO-26</t>
  </si>
  <si>
    <t>P.NASAKI</t>
  </si>
  <si>
    <t>P.WAPE</t>
  </si>
  <si>
    <t>JUEVES 29 DE ENERO-26</t>
  </si>
  <si>
    <t xml:space="preserve">ESPUMA </t>
  </si>
  <si>
    <t>VIERNES 30 DE ENERO-26</t>
  </si>
  <si>
    <t>PAGOYAS</t>
  </si>
  <si>
    <t>TOTAL</t>
  </si>
  <si>
    <t xml:space="preserve">TOTAL DE EGRESOS </t>
  </si>
  <si>
    <t>JUNTA DE EBNDIX DS150</t>
  </si>
  <si>
    <t xml:space="preserve">ESPEJS DE ALERON </t>
  </si>
  <si>
    <t>INTERRUPOR FT150</t>
  </si>
  <si>
    <t>ACEITE TOP RANCING</t>
  </si>
  <si>
    <t>FILTRO DE AIRE DM200</t>
  </si>
  <si>
    <t>MANDO DERECHO DM200</t>
  </si>
  <si>
    <t xml:space="preserve">BRAZO DE DIRECCION ATV </t>
  </si>
  <si>
    <t xml:space="preserve">BUHO INDIVIDUAL </t>
  </si>
  <si>
    <t>AUXILIAR LED NASAKI</t>
  </si>
  <si>
    <t xml:space="preserve">DANIEL </t>
  </si>
  <si>
    <t xml:space="preserve">RETEN </t>
  </si>
  <si>
    <t>ROLLO</t>
  </si>
  <si>
    <r>
      <rPr>
        <b/>
        <sz val="14"/>
        <color theme="1"/>
        <rFont val="Calibri"/>
        <family val="2"/>
        <scheme val="minor"/>
      </rPr>
      <t>CORTES DE LA SEMANA       SEMANA PASADA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26 DE ENERO-26</t>
    </r>
    <r>
      <rPr>
        <sz val="11"/>
        <color theme="1"/>
        <rFont val="Calibri"/>
        <family val="2"/>
        <scheme val="minor"/>
      </rPr>
      <t xml:space="preserve">                             $ 31220
</t>
    </r>
    <r>
      <rPr>
        <b/>
        <sz val="16"/>
        <color rgb="FFFF0000"/>
        <rFont val="Calibri"/>
        <family val="2"/>
        <scheme val="minor"/>
      </rPr>
      <t>VENTA $ 1696.5        MENOS   $25908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27 DE ENERO-26 QUEDA$ 5312 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$ 2851.5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MIERCOLES 28 DE ENERO-26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$ 2142.5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JUEVS 29 DE ENERO-26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$ 2124.5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VIERNES 20 DE ENERO-26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$ 1743.5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$10558.5
TOTAL EN CAJA $ 15870.5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</si>
</sst>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3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U33" sqref="U3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20</v>
      </c>
      <c r="K3" s="6">
        <f>SUM(Tabla1[Importa])</f>
        <v>1696.5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26</v>
      </c>
      <c r="C4" t="s">
        <v>18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21</v>
      </c>
      <c r="K4" s="10">
        <f>COUNTIF(C5:C103,"&gt;0")</f>
        <v>17</v>
      </c>
      <c r="M4" s="36" t="s">
        <v>39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46052.801266666669</v>
      </c>
      <c r="C5">
        <f>IF(ISNUMBER(E5), IF(ISNUMBER(C4), C4+1, 1), "")</f>
        <v>1</v>
      </c>
      <c r="D5" t="s">
        <v>29</v>
      </c>
      <c r="E5">
        <v>1</v>
      </c>
      <c r="F5">
        <v>20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20</v>
      </c>
      <c r="J5" s="38" t="s">
        <v>14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46052.801266666669</v>
      </c>
      <c r="C6">
        <f t="shared" ref="C6:C36" si="0">IF(ISNUMBER(E6), IF(ISNUMBER(C5), C5+1, 1), "")</f>
        <v>2</v>
      </c>
      <c r="D6" t="s">
        <v>30</v>
      </c>
      <c r="E6">
        <v>1</v>
      </c>
      <c r="F6">
        <v>12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12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46052.801266666669</v>
      </c>
      <c r="C7">
        <f t="shared" si="0"/>
        <v>3</v>
      </c>
      <c r="D7" t="s">
        <v>31</v>
      </c>
      <c r="E7">
        <v>1</v>
      </c>
      <c r="F7">
        <v>250</v>
      </c>
      <c r="G7" t="s">
        <v>32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237.5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46052.801266666669</v>
      </c>
      <c r="C8">
        <f t="shared" si="0"/>
        <v>4</v>
      </c>
      <c r="D8" t="s">
        <v>31</v>
      </c>
      <c r="E8">
        <v>1</v>
      </c>
      <c r="F8">
        <v>250</v>
      </c>
      <c r="G8" t="s">
        <v>32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237.5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46052.801266666669</v>
      </c>
      <c r="C9">
        <f t="shared" si="0"/>
        <v>5</v>
      </c>
      <c r="D9" t="s">
        <v>33</v>
      </c>
      <c r="E9">
        <v>2</v>
      </c>
      <c r="F9">
        <v>57</v>
      </c>
      <c r="G9" t="s">
        <v>32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103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46052.801266666669</v>
      </c>
      <c r="C10">
        <f t="shared" si="0"/>
        <v>6</v>
      </c>
      <c r="D10" t="s">
        <v>33</v>
      </c>
      <c r="E10">
        <v>1</v>
      </c>
      <c r="F10">
        <v>57</v>
      </c>
      <c r="G10" t="s">
        <v>32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51.5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46052.801266666669</v>
      </c>
      <c r="C11">
        <f t="shared" si="0"/>
        <v>7</v>
      </c>
      <c r="D11" t="s">
        <v>34</v>
      </c>
      <c r="E11">
        <v>1</v>
      </c>
      <c r="F11">
        <v>48</v>
      </c>
      <c r="G11" t="s">
        <v>32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43.5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46052.801266666669</v>
      </c>
      <c r="C12">
        <f t="shared" si="0"/>
        <v>8</v>
      </c>
      <c r="D12" t="s">
        <v>35</v>
      </c>
      <c r="E12">
        <v>1</v>
      </c>
      <c r="F12">
        <v>38</v>
      </c>
      <c r="G12" t="s">
        <v>32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34.5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46052.801266666669</v>
      </c>
      <c r="C13">
        <f t="shared" si="0"/>
        <v>9</v>
      </c>
      <c r="D13" t="s">
        <v>36</v>
      </c>
      <c r="E13">
        <v>1</v>
      </c>
      <c r="F13">
        <v>25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25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46052.801266666669</v>
      </c>
      <c r="C14">
        <f t="shared" si="0"/>
        <v>10</v>
      </c>
      <c r="D14" t="s">
        <v>40</v>
      </c>
      <c r="E14">
        <v>1</v>
      </c>
      <c r="F14">
        <v>185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185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46052.801266666669</v>
      </c>
      <c r="C15">
        <f t="shared" si="0"/>
        <v>11</v>
      </c>
      <c r="D15" t="s">
        <v>41</v>
      </c>
      <c r="E15">
        <v>1</v>
      </c>
      <c r="F15">
        <v>80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80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46052.801266666669</v>
      </c>
      <c r="C16">
        <f t="shared" si="0"/>
        <v>12</v>
      </c>
      <c r="D16" t="s">
        <v>42</v>
      </c>
      <c r="E16">
        <v>1</v>
      </c>
      <c r="F16">
        <v>161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161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46052.801266666669</v>
      </c>
      <c r="C17">
        <f t="shared" si="0"/>
        <v>13</v>
      </c>
      <c r="D17" t="s">
        <v>43</v>
      </c>
      <c r="E17">
        <v>1</v>
      </c>
      <c r="F17">
        <v>48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48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46052.801266666669</v>
      </c>
      <c r="C18">
        <f t="shared" si="0"/>
        <v>14</v>
      </c>
      <c r="D18" t="s">
        <v>44</v>
      </c>
      <c r="E18">
        <v>1</v>
      </c>
      <c r="F18">
        <v>68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68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46052.801266666669</v>
      </c>
      <c r="C19">
        <f t="shared" si="0"/>
        <v>15</v>
      </c>
      <c r="D19" t="s">
        <v>45</v>
      </c>
      <c r="E19">
        <v>1</v>
      </c>
      <c r="F19">
        <v>142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142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46052.801266666669</v>
      </c>
      <c r="C20">
        <f t="shared" si="0"/>
        <v>16</v>
      </c>
      <c r="D20" t="s">
        <v>46</v>
      </c>
      <c r="E20">
        <v>1</v>
      </c>
      <c r="F20">
        <v>200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200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46052.801266666669</v>
      </c>
      <c r="C21">
        <f t="shared" si="0"/>
        <v>17</v>
      </c>
      <c r="D21" t="s">
        <v>47</v>
      </c>
      <c r="E21">
        <v>1</v>
      </c>
      <c r="F21">
        <v>48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48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22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23</v>
      </c>
      <c r="N26" s="31"/>
      <c r="O26" s="14" t="s">
        <v>24</v>
      </c>
      <c r="P26" s="31" t="s">
        <v>25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 t="s">
        <v>37</v>
      </c>
      <c r="N27" s="20"/>
      <c r="O27" s="23">
        <v>10382</v>
      </c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 t="s">
        <v>38</v>
      </c>
      <c r="N29" s="20"/>
      <c r="O29" s="23">
        <v>8020</v>
      </c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6" sqref="D2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48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20</v>
      </c>
      <c r="K3" s="6">
        <f>SUM(Tabla110[Importa])</f>
        <v>2851.5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26</v>
      </c>
      <c r="C4" t="s">
        <v>18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21</v>
      </c>
      <c r="K4" s="10">
        <f>COUNTIF(C5:C103,"&gt;0")</f>
        <v>21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46052.801266666669</v>
      </c>
      <c r="C5">
        <f t="shared" ref="C5:C68" si="0">IF(ISNUMBER(E5), IF(ISNUMBER(C4), C4+1, 1), "")</f>
        <v>1</v>
      </c>
      <c r="D5" t="s">
        <v>29</v>
      </c>
      <c r="E5">
        <v>1</v>
      </c>
      <c r="F5">
        <v>20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20</v>
      </c>
      <c r="J5" s="38" t="s">
        <v>14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46052.801266666669</v>
      </c>
      <c r="C6">
        <f t="shared" si="0"/>
        <v>2</v>
      </c>
      <c r="D6" t="s">
        <v>49</v>
      </c>
      <c r="E6">
        <v>1</v>
      </c>
      <c r="F6">
        <v>36</v>
      </c>
      <c r="G6" t="s">
        <v>32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32.5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46052.801266666669</v>
      </c>
      <c r="C7">
        <f t="shared" si="0"/>
        <v>3</v>
      </c>
      <c r="D7" t="s">
        <v>50</v>
      </c>
      <c r="E7">
        <v>1</v>
      </c>
      <c r="F7">
        <v>1050</v>
      </c>
      <c r="G7" t="s">
        <v>32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945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46052.801266666669</v>
      </c>
      <c r="C8">
        <f t="shared" si="0"/>
        <v>4</v>
      </c>
      <c r="D8" t="s">
        <v>51</v>
      </c>
      <c r="E8">
        <v>1</v>
      </c>
      <c r="F8">
        <v>190</v>
      </c>
      <c r="G8" t="s">
        <v>32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171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46052.801266666669</v>
      </c>
      <c r="C9">
        <f t="shared" si="0"/>
        <v>5</v>
      </c>
      <c r="D9" t="s">
        <v>52</v>
      </c>
      <c r="E9">
        <v>1</v>
      </c>
      <c r="F9">
        <v>15</v>
      </c>
      <c r="G9" t="s">
        <v>32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13.5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46052.801266666669</v>
      </c>
      <c r="C10">
        <f t="shared" si="0"/>
        <v>6</v>
      </c>
      <c r="D10" t="s">
        <v>53</v>
      </c>
      <c r="E10">
        <v>1</v>
      </c>
      <c r="F10">
        <v>60</v>
      </c>
      <c r="G10" t="s">
        <v>32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54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46052.801266666669</v>
      </c>
      <c r="C11">
        <f t="shared" si="0"/>
        <v>7</v>
      </c>
      <c r="D11" t="s">
        <v>54</v>
      </c>
      <c r="E11">
        <v>1</v>
      </c>
      <c r="F11">
        <v>47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47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46052.801266666669</v>
      </c>
      <c r="C12">
        <f t="shared" si="0"/>
        <v>8</v>
      </c>
      <c r="D12" t="s">
        <v>55</v>
      </c>
      <c r="E12">
        <v>1</v>
      </c>
      <c r="F12">
        <v>25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25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46052.801266666669</v>
      </c>
      <c r="C13">
        <f t="shared" si="0"/>
        <v>9</v>
      </c>
      <c r="D13" t="s">
        <v>56</v>
      </c>
      <c r="E13">
        <v>1</v>
      </c>
      <c r="F13">
        <v>276</v>
      </c>
      <c r="G13" t="s">
        <v>32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248.5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46052.801266666669</v>
      </c>
      <c r="C14">
        <f t="shared" si="0"/>
        <v>10</v>
      </c>
      <c r="D14" t="s">
        <v>57</v>
      </c>
      <c r="E14">
        <v>1</v>
      </c>
      <c r="F14">
        <v>88</v>
      </c>
      <c r="G14" t="s">
        <v>32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79.5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46052.801266666669</v>
      </c>
      <c r="C15">
        <f t="shared" si="0"/>
        <v>11</v>
      </c>
      <c r="D15" t="s">
        <v>58</v>
      </c>
      <c r="E15">
        <v>1</v>
      </c>
      <c r="F15">
        <v>90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90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46052.801266666669</v>
      </c>
      <c r="C16">
        <f t="shared" si="0"/>
        <v>12</v>
      </c>
      <c r="D16" t="s">
        <v>59</v>
      </c>
      <c r="E16">
        <v>1</v>
      </c>
      <c r="F16">
        <v>135</v>
      </c>
      <c r="G16" t="s">
        <v>32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121.5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46052.801266666669</v>
      </c>
      <c r="C17">
        <f t="shared" si="0"/>
        <v>13</v>
      </c>
      <c r="D17" t="s">
        <v>60</v>
      </c>
      <c r="E17">
        <v>1</v>
      </c>
      <c r="F17">
        <v>56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56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46052.801266666669</v>
      </c>
      <c r="C18">
        <f t="shared" si="0"/>
        <v>14</v>
      </c>
      <c r="D18" t="s">
        <v>61</v>
      </c>
      <c r="E18">
        <v>1</v>
      </c>
      <c r="F18">
        <v>123</v>
      </c>
      <c r="G18" t="s">
        <v>32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117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46052.801266666669</v>
      </c>
      <c r="C19">
        <f t="shared" si="0"/>
        <v>15</v>
      </c>
      <c r="D19" t="s">
        <v>62</v>
      </c>
      <c r="E19">
        <v>1</v>
      </c>
      <c r="F19">
        <v>60</v>
      </c>
      <c r="G19" t="s">
        <v>32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54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46052.801266666669</v>
      </c>
      <c r="C20">
        <f t="shared" si="0"/>
        <v>16</v>
      </c>
      <c r="D20" t="s">
        <v>63</v>
      </c>
      <c r="E20">
        <v>1</v>
      </c>
      <c r="F20">
        <v>50</v>
      </c>
      <c r="G20" t="s">
        <v>32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45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46052.801266666669</v>
      </c>
      <c r="C21">
        <f t="shared" si="0"/>
        <v>17</v>
      </c>
      <c r="D21" t="s">
        <v>64</v>
      </c>
      <c r="E21">
        <v>1</v>
      </c>
      <c r="F21">
        <v>15</v>
      </c>
      <c r="G21" t="s">
        <v>32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13.5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65</v>
      </c>
      <c r="E22">
        <v>1</v>
      </c>
      <c r="F22">
        <v>57</v>
      </c>
      <c r="G22" t="s">
        <v>32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51.5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66</v>
      </c>
      <c r="E23">
        <v>1</v>
      </c>
      <c r="F23">
        <v>185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185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67</v>
      </c>
      <c r="E24">
        <v>1</v>
      </c>
      <c r="F24">
        <v>350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350</v>
      </c>
      <c r="M24" s="32" t="s">
        <v>22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68</v>
      </c>
      <c r="E25">
        <v>1</v>
      </c>
      <c r="F25">
        <v>132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132</v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23</v>
      </c>
      <c r="N26" s="14" t="s">
        <v>24</v>
      </c>
      <c r="O26" s="31" t="s">
        <v>25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tabSelected="1"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20</v>
      </c>
      <c r="K3" s="6">
        <f>SUM(Tabla111[Importa])</f>
        <v>2142.5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26</v>
      </c>
      <c r="C4" t="s">
        <v>18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21</v>
      </c>
      <c r="K4" s="10">
        <f>COUNTIF(C5:C103,"&gt;0")</f>
        <v>18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46052.801266666669</v>
      </c>
      <c r="C5">
        <f>IF(ISNUMBER(E5), IF(ISNUMBER(C4), C4+1, 1), "")</f>
        <v>1</v>
      </c>
      <c r="D5" t="s">
        <v>69</v>
      </c>
      <c r="E5">
        <v>1</v>
      </c>
      <c r="F5">
        <v>110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110</v>
      </c>
      <c r="J5" s="38" t="s">
        <v>14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46052.801266666669</v>
      </c>
      <c r="C6">
        <f t="shared" ref="C6" si="0">IF(ISNUMBER(E6), IF(ISNUMBER(C5), C5+1, 1), "")</f>
        <v>2</v>
      </c>
      <c r="D6" t="s">
        <v>70</v>
      </c>
      <c r="E6">
        <v>1</v>
      </c>
      <c r="F6">
        <v>135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135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46052.801266666669</v>
      </c>
      <c r="C7">
        <f>IF(ISNUMBER(E7), IF(ISNUMBER(C6), C6+1, 1), "")</f>
        <v>3</v>
      </c>
      <c r="D7" t="s">
        <v>61</v>
      </c>
      <c r="E7">
        <v>1</v>
      </c>
      <c r="F7">
        <v>123</v>
      </c>
      <c r="G7" t="s">
        <v>32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117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46052.801266666669</v>
      </c>
      <c r="C8">
        <f t="shared" ref="C8:C68" si="1">IF(ISNUMBER(E8), IF(ISNUMBER(C7), C7+1, 1), "")</f>
        <v>4</v>
      </c>
      <c r="D8" t="s">
        <v>71</v>
      </c>
      <c r="E8">
        <v>1</v>
      </c>
      <c r="F8">
        <v>57</v>
      </c>
      <c r="G8" t="s">
        <v>32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51.5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46052.801266666669</v>
      </c>
      <c r="C9">
        <f t="shared" si="1"/>
        <v>5</v>
      </c>
      <c r="D9" t="s">
        <v>72</v>
      </c>
      <c r="E9">
        <v>1</v>
      </c>
      <c r="F9">
        <v>35</v>
      </c>
      <c r="G9" t="s">
        <v>32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31.5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46052.801266666669</v>
      </c>
      <c r="C10">
        <f t="shared" si="1"/>
        <v>6</v>
      </c>
      <c r="D10" t="s">
        <v>73</v>
      </c>
      <c r="E10">
        <v>1</v>
      </c>
      <c r="F10">
        <v>350</v>
      </c>
      <c r="G10" t="s">
        <v>32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315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46052.801266666669</v>
      </c>
      <c r="C11">
        <f t="shared" si="1"/>
        <v>7</v>
      </c>
      <c r="D11" t="s">
        <v>74</v>
      </c>
      <c r="E11">
        <v>1</v>
      </c>
      <c r="F11">
        <v>85</v>
      </c>
      <c r="G11" t="s">
        <v>32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76.5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46052.801266666669</v>
      </c>
      <c r="C12">
        <f t="shared" si="1"/>
        <v>8</v>
      </c>
      <c r="D12" t="s">
        <v>45</v>
      </c>
      <c r="E12">
        <v>1</v>
      </c>
      <c r="F12">
        <v>142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142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46052.801266666669</v>
      </c>
      <c r="C13">
        <f t="shared" si="1"/>
        <v>9</v>
      </c>
      <c r="D13" t="s">
        <v>71</v>
      </c>
      <c r="E13">
        <v>1</v>
      </c>
      <c r="F13">
        <v>57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57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46052.801266666669</v>
      </c>
      <c r="C14">
        <f t="shared" si="1"/>
        <v>10</v>
      </c>
      <c r="D14" t="s">
        <v>75</v>
      </c>
      <c r="E14">
        <v>1</v>
      </c>
      <c r="F14">
        <v>40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40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46052.801266666669</v>
      </c>
      <c r="C15">
        <f t="shared" si="1"/>
        <v>11</v>
      </c>
      <c r="D15" t="s">
        <v>76</v>
      </c>
      <c r="E15">
        <v>1</v>
      </c>
      <c r="F15">
        <v>42</v>
      </c>
      <c r="G15" t="s">
        <v>32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38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46052.801266666669</v>
      </c>
      <c r="C16">
        <f t="shared" si="1"/>
        <v>12</v>
      </c>
      <c r="D16" t="s">
        <v>77</v>
      </c>
      <c r="E16">
        <v>1</v>
      </c>
      <c r="F16">
        <v>120</v>
      </c>
      <c r="G16" t="s">
        <v>32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108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46052.801266666669</v>
      </c>
      <c r="C17">
        <f t="shared" si="1"/>
        <v>13</v>
      </c>
      <c r="D17" t="s">
        <v>78</v>
      </c>
      <c r="E17">
        <v>1</v>
      </c>
      <c r="F17">
        <v>185</v>
      </c>
      <c r="G17" t="s">
        <v>32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166.5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46052.801266666669</v>
      </c>
      <c r="C18">
        <f t="shared" si="1"/>
        <v>14</v>
      </c>
      <c r="D18" t="s">
        <v>79</v>
      </c>
      <c r="E18">
        <v>1</v>
      </c>
      <c r="F18">
        <v>35</v>
      </c>
      <c r="G18" t="s">
        <v>32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31.5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46052.801266666669</v>
      </c>
      <c r="C19">
        <f t="shared" si="1"/>
        <v>15</v>
      </c>
      <c r="D19" t="s">
        <v>80</v>
      </c>
      <c r="E19">
        <v>1</v>
      </c>
      <c r="F19">
        <v>100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100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46052.801266666669</v>
      </c>
      <c r="C20">
        <f t="shared" si="1"/>
        <v>16</v>
      </c>
      <c r="D20" t="s">
        <v>81</v>
      </c>
      <c r="E20">
        <v>1</v>
      </c>
      <c r="F20">
        <v>25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25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46052.801266666669</v>
      </c>
      <c r="C21">
        <f t="shared" si="1"/>
        <v>17</v>
      </c>
      <c r="D21" t="s">
        <v>82</v>
      </c>
      <c r="E21">
        <v>1</v>
      </c>
      <c r="F21">
        <v>550</v>
      </c>
      <c r="G21" t="s">
        <v>32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495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1"/>
        <v>18</v>
      </c>
      <c r="D22" t="s">
        <v>83</v>
      </c>
      <c r="E22">
        <v>2</v>
      </c>
      <c r="F22">
        <v>57</v>
      </c>
      <c r="G22" t="s">
        <v>32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103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1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32" t="s">
        <v>22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23</v>
      </c>
      <c r="N26" s="14" t="s">
        <v>24</v>
      </c>
      <c r="O26" s="31" t="s">
        <v>25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20</v>
      </c>
      <c r="K3" s="6">
        <f>SUM(Tabla112[Importa])</f>
        <v>2124.5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26</v>
      </c>
      <c r="C4" t="s">
        <v>18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21</v>
      </c>
      <c r="K4" s="10">
        <f>COUNTIF(C5:C103,"&gt;0")</f>
        <v>19</v>
      </c>
      <c r="M4" s="36" t="s">
        <v>102</v>
      </c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46052.801266666669</v>
      </c>
      <c r="C5">
        <f t="shared" ref="C5:C68" si="0">IF(ISNUMBER(E5), IF(ISNUMBER(C4), C4+1, 1), "")</f>
        <v>1</v>
      </c>
      <c r="D5" t="s">
        <v>84</v>
      </c>
      <c r="E5">
        <v>1</v>
      </c>
      <c r="F5">
        <v>125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125</v>
      </c>
      <c r="J5" s="38" t="s">
        <v>14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46052.801266666669</v>
      </c>
      <c r="C6">
        <f t="shared" si="0"/>
        <v>2</v>
      </c>
      <c r="D6" t="s">
        <v>85</v>
      </c>
      <c r="E6">
        <v>1</v>
      </c>
      <c r="F6">
        <v>70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70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46052.801266666669</v>
      </c>
      <c r="C7">
        <f t="shared" si="0"/>
        <v>3</v>
      </c>
      <c r="D7" t="s">
        <v>86</v>
      </c>
      <c r="E7">
        <v>1</v>
      </c>
      <c r="F7">
        <v>12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12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46052.801266666669</v>
      </c>
      <c r="C8">
        <f t="shared" si="0"/>
        <v>4</v>
      </c>
      <c r="D8" t="s">
        <v>87</v>
      </c>
      <c r="E8">
        <v>1</v>
      </c>
      <c r="F8">
        <v>690</v>
      </c>
      <c r="G8" t="s">
        <v>32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621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46052.801266666669</v>
      </c>
      <c r="C9">
        <f t="shared" si="0"/>
        <v>5</v>
      </c>
      <c r="D9" t="s">
        <v>88</v>
      </c>
      <c r="E9">
        <v>2</v>
      </c>
      <c r="F9">
        <v>5</v>
      </c>
      <c r="G9" t="s">
        <v>32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9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46052.801266666669</v>
      </c>
      <c r="C10">
        <f t="shared" si="0"/>
        <v>6</v>
      </c>
      <c r="D10" t="s">
        <v>36</v>
      </c>
      <c r="E10">
        <v>1</v>
      </c>
      <c r="F10">
        <v>25</v>
      </c>
      <c r="G10" t="s">
        <v>32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22.5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46052.801266666669</v>
      </c>
      <c r="C11">
        <f t="shared" si="0"/>
        <v>7</v>
      </c>
      <c r="D11" t="s">
        <v>89</v>
      </c>
      <c r="E11">
        <v>1</v>
      </c>
      <c r="F11">
        <v>120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120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46052.801266666669</v>
      </c>
      <c r="C12">
        <f t="shared" si="0"/>
        <v>8</v>
      </c>
      <c r="D12" t="s">
        <v>90</v>
      </c>
      <c r="E12">
        <v>1</v>
      </c>
      <c r="F12">
        <v>160</v>
      </c>
      <c r="G12" t="s">
        <v>32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144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46052.801266666669</v>
      </c>
      <c r="C13">
        <f t="shared" si="0"/>
        <v>9</v>
      </c>
      <c r="D13" t="s">
        <v>91</v>
      </c>
      <c r="E13">
        <v>1</v>
      </c>
      <c r="F13">
        <v>32</v>
      </c>
      <c r="G13" t="s">
        <v>32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29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46052.801266666669</v>
      </c>
      <c r="C14">
        <f t="shared" si="0"/>
        <v>10</v>
      </c>
      <c r="D14" t="s">
        <v>92</v>
      </c>
      <c r="E14">
        <v>1</v>
      </c>
      <c r="F14">
        <v>15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15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46052.801266666669</v>
      </c>
      <c r="C15">
        <f t="shared" si="0"/>
        <v>11</v>
      </c>
      <c r="D15" t="s">
        <v>61</v>
      </c>
      <c r="E15">
        <v>1</v>
      </c>
      <c r="F15">
        <v>123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123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46052.801266666669</v>
      </c>
      <c r="C16">
        <f t="shared" si="0"/>
        <v>12</v>
      </c>
      <c r="D16" t="s">
        <v>65</v>
      </c>
      <c r="E16">
        <v>1</v>
      </c>
      <c r="F16">
        <v>57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57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46052.801266666669</v>
      </c>
      <c r="C17">
        <f t="shared" si="0"/>
        <v>13</v>
      </c>
      <c r="D17" t="s">
        <v>95</v>
      </c>
      <c r="E17">
        <v>1</v>
      </c>
      <c r="F17">
        <v>20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20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46052.801266666669</v>
      </c>
      <c r="C18">
        <f t="shared" si="0"/>
        <v>14</v>
      </c>
      <c r="D18" t="s">
        <v>96</v>
      </c>
      <c r="E18">
        <v>1</v>
      </c>
      <c r="F18">
        <v>125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125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46052.801266666669</v>
      </c>
      <c r="C19">
        <f t="shared" si="0"/>
        <v>15</v>
      </c>
      <c r="D19" t="s">
        <v>97</v>
      </c>
      <c r="E19">
        <v>1</v>
      </c>
      <c r="F19">
        <v>10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10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46052.801266666669</v>
      </c>
      <c r="C20">
        <f t="shared" si="0"/>
        <v>16</v>
      </c>
      <c r="D20" t="s">
        <v>98</v>
      </c>
      <c r="E20">
        <v>1</v>
      </c>
      <c r="F20">
        <v>250</v>
      </c>
      <c r="G20" t="s">
        <v>32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225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46052.801266666669</v>
      </c>
      <c r="C21">
        <f t="shared" si="0"/>
        <v>17</v>
      </c>
      <c r="D21" t="s">
        <v>99</v>
      </c>
      <c r="E21">
        <v>1</v>
      </c>
      <c r="F21">
        <v>210</v>
      </c>
      <c r="G21" t="s">
        <v>32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189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100</v>
      </c>
      <c r="E22">
        <v>1</v>
      </c>
      <c r="F22">
        <v>93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93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101</v>
      </c>
      <c r="E23">
        <v>1</v>
      </c>
      <c r="F23">
        <v>115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115</v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22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23</v>
      </c>
      <c r="N26" s="14" t="s">
        <v>24</v>
      </c>
      <c r="O26" s="31" t="s">
        <v>25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 t="s">
        <v>93</v>
      </c>
      <c r="N27" s="15">
        <v>256</v>
      </c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 t="s">
        <v>94</v>
      </c>
      <c r="N28" s="15">
        <v>70</v>
      </c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103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20</v>
      </c>
      <c r="K3" s="6">
        <f>SUM(Tabla113[Importa])</f>
        <v>1743.5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26</v>
      </c>
      <c r="C4" t="s">
        <v>18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21</v>
      </c>
      <c r="K4" s="10">
        <f>COUNTIF(C5:C103,"&gt;0")</f>
        <v>11</v>
      </c>
      <c r="M4" s="36" t="s">
        <v>126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46052.801266666669</v>
      </c>
      <c r="C5">
        <f t="shared" ref="C5:C68" si="0">IF(ISNUMBER(E5), IF(ISNUMBER(C4), C4+1, 1), "")</f>
        <v>1</v>
      </c>
      <c r="D5" t="s">
        <v>114</v>
      </c>
      <c r="E5">
        <v>1</v>
      </c>
      <c r="F5">
        <v>34</v>
      </c>
      <c r="G5" t="s">
        <v>32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31</v>
      </c>
      <c r="J5" s="38" t="s">
        <v>14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46052.801266666669</v>
      </c>
      <c r="C6">
        <f t="shared" si="0"/>
        <v>2</v>
      </c>
      <c r="D6" t="s">
        <v>115</v>
      </c>
      <c r="E6">
        <v>1</v>
      </c>
      <c r="F6">
        <v>299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299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46052.801266666669</v>
      </c>
      <c r="C7">
        <f t="shared" si="0"/>
        <v>3</v>
      </c>
      <c r="D7" t="s">
        <v>116</v>
      </c>
      <c r="E7">
        <v>1</v>
      </c>
      <c r="F7">
        <v>48</v>
      </c>
      <c r="G7" t="s">
        <v>32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43.5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46052.801266666669</v>
      </c>
      <c r="C8">
        <f t="shared" si="0"/>
        <v>4</v>
      </c>
      <c r="D8" t="s">
        <v>117</v>
      </c>
      <c r="E8">
        <v>1</v>
      </c>
      <c r="F8">
        <v>75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75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46052.801266666669</v>
      </c>
      <c r="C9">
        <f t="shared" si="0"/>
        <v>5</v>
      </c>
      <c r="D9" t="s">
        <v>118</v>
      </c>
      <c r="E9">
        <v>1</v>
      </c>
      <c r="F9">
        <v>70</v>
      </c>
      <c r="G9" t="s">
        <v>32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63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46052.801266666669</v>
      </c>
      <c r="C10">
        <f t="shared" si="0"/>
        <v>6</v>
      </c>
      <c r="D10" t="s">
        <v>71</v>
      </c>
      <c r="E10">
        <v>1</v>
      </c>
      <c r="F10">
        <v>57</v>
      </c>
      <c r="G10" t="s">
        <v>32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51.5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46052.801266666669</v>
      </c>
      <c r="C11">
        <f t="shared" si="0"/>
        <v>7</v>
      </c>
      <c r="D11" t="s">
        <v>119</v>
      </c>
      <c r="E11">
        <v>1</v>
      </c>
      <c r="F11">
        <v>87</v>
      </c>
      <c r="G11" t="s">
        <v>32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78.5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46052.801266666669</v>
      </c>
      <c r="C12">
        <f t="shared" si="0"/>
        <v>8</v>
      </c>
      <c r="D12" t="s">
        <v>120</v>
      </c>
      <c r="E12">
        <v>1</v>
      </c>
      <c r="F12">
        <v>600</v>
      </c>
      <c r="G12" t="s">
        <v>32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540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46052.801266666669</v>
      </c>
      <c r="C13">
        <f t="shared" si="0"/>
        <v>9</v>
      </c>
      <c r="D13" t="s">
        <v>101</v>
      </c>
      <c r="E13">
        <v>1</v>
      </c>
      <c r="F13">
        <v>115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115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46052.801266666669</v>
      </c>
      <c r="C14">
        <f t="shared" si="0"/>
        <v>10</v>
      </c>
      <c r="D14" t="s">
        <v>121</v>
      </c>
      <c r="E14">
        <v>1</v>
      </c>
      <c r="F14">
        <v>177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177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46052.801266666669</v>
      </c>
      <c r="C15">
        <f t="shared" si="0"/>
        <v>11</v>
      </c>
      <c r="D15" t="s">
        <v>122</v>
      </c>
      <c r="E15">
        <v>2</v>
      </c>
      <c r="F15">
        <v>150</v>
      </c>
      <c r="G15" t="s">
        <v>32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270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46052.801266666669</v>
      </c>
      <c r="C16" t="str">
        <f t="shared" si="0"/>
        <v/>
      </c>
      <c r="H16" s="5" t="str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46052.801266666669</v>
      </c>
      <c r="C17" t="str">
        <f t="shared" si="0"/>
        <v/>
      </c>
      <c r="H17" s="5" t="str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46052.801266666669</v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46052.801266666669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46052.801266666669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46052.801266666669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22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23</v>
      </c>
      <c r="N26" s="14" t="s">
        <v>24</v>
      </c>
      <c r="O26" s="31" t="s">
        <v>25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104</v>
      </c>
      <c r="N27" s="15">
        <v>10382</v>
      </c>
      <c r="O27" s="39" t="s">
        <v>105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106</v>
      </c>
      <c r="N28" s="15">
        <v>8020</v>
      </c>
      <c r="O28" s="39" t="s">
        <v>105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107</v>
      </c>
      <c r="N29" s="15">
        <v>256</v>
      </c>
      <c r="O29" s="39" t="s">
        <v>108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109</v>
      </c>
      <c r="N30" s="15">
        <v>70</v>
      </c>
      <c r="O30" s="39" t="s">
        <v>108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106</v>
      </c>
      <c r="N31" s="15">
        <v>5097</v>
      </c>
      <c r="O31" s="39" t="s">
        <v>110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123</v>
      </c>
      <c r="N32" s="15">
        <v>342</v>
      </c>
      <c r="O32" s="39" t="s">
        <v>110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124</v>
      </c>
      <c r="N33" s="15">
        <v>175</v>
      </c>
      <c r="O33" s="39" t="s">
        <v>110</v>
      </c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 t="s">
        <v>125</v>
      </c>
      <c r="N34" s="15">
        <v>66</v>
      </c>
      <c r="O34" s="39" t="s">
        <v>110</v>
      </c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 t="s">
        <v>111</v>
      </c>
      <c r="N35" s="15">
        <v>1500</v>
      </c>
      <c r="O35" s="39" t="s">
        <v>110</v>
      </c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 t="s">
        <v>112</v>
      </c>
      <c r="N36" s="15">
        <v>25908</v>
      </c>
      <c r="O36" s="39" t="s">
        <v>113</v>
      </c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10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20</v>
      </c>
      <c r="K3" s="6">
        <f>SUM(Tabla114[Importa])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26</v>
      </c>
      <c r="C4" t="s">
        <v>18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21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IF(Tabla114[[#This Row],['#]]&lt;&gt;"", NOW(), "")</f>
        <v/>
      </c>
      <c r="C5" t="str">
        <f t="shared" ref="C5:C68" si="0">IF(ISNUMBER(E5), IF(ISNUMBER(C4), C4+1, 1), "")</f>
        <v/>
      </c>
      <c r="H5" s="5" t="str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/>
      </c>
      <c r="J5" s="38" t="s">
        <v>14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46052.801266666669</v>
      </c>
      <c r="C6" t="str">
        <f t="shared" si="0"/>
        <v/>
      </c>
      <c r="H6" s="5" t="str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46052.801266666669</v>
      </c>
      <c r="C7" t="str">
        <f t="shared" si="0"/>
        <v/>
      </c>
      <c r="H7" s="5" t="str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46052.801266666669</v>
      </c>
      <c r="C8" t="str">
        <f t="shared" si="0"/>
        <v/>
      </c>
      <c r="H8" s="5" t="str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46052.801266666669</v>
      </c>
      <c r="C9" t="str">
        <f t="shared" si="0"/>
        <v/>
      </c>
      <c r="H9" s="5" t="str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46052.801266666669</v>
      </c>
      <c r="C10" t="str">
        <f t="shared" si="0"/>
        <v/>
      </c>
      <c r="H10" s="5" t="str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46052.801266666669</v>
      </c>
      <c r="C11" t="str">
        <f t="shared" si="0"/>
        <v/>
      </c>
      <c r="H11" s="5" t="str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46052.801266666669</v>
      </c>
      <c r="C12" t="str">
        <f t="shared" si="0"/>
        <v/>
      </c>
      <c r="H12" s="5" t="str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46052.801266666669</v>
      </c>
      <c r="C13" t="str">
        <f t="shared" si="0"/>
        <v/>
      </c>
      <c r="H13" s="5" t="str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46052.801266666669</v>
      </c>
      <c r="C14" t="str">
        <f t="shared" si="0"/>
        <v/>
      </c>
      <c r="H14" s="5" t="str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46052.801266666669</v>
      </c>
      <c r="C15" t="str">
        <f t="shared" si="0"/>
        <v/>
      </c>
      <c r="H15" s="5" t="str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46052.801266666669</v>
      </c>
      <c r="C16" t="str">
        <f t="shared" si="0"/>
        <v/>
      </c>
      <c r="H16" s="5" t="str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46052.801266666669</v>
      </c>
      <c r="C17" t="str">
        <f t="shared" si="0"/>
        <v/>
      </c>
      <c r="H17" s="5" t="str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46052.801266666669</v>
      </c>
      <c r="C18" t="str">
        <f t="shared" si="0"/>
        <v/>
      </c>
      <c r="H18" s="5" t="str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46052.801266666669</v>
      </c>
      <c r="C19" t="str">
        <f t="shared" si="0"/>
        <v/>
      </c>
      <c r="H19" s="5" t="str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46052.801266666669</v>
      </c>
      <c r="C20" t="str">
        <f t="shared" si="0"/>
        <v/>
      </c>
      <c r="H20" s="5" t="str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46052.801266666669</v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22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23</v>
      </c>
      <c r="N26" s="14" t="s">
        <v>24</v>
      </c>
      <c r="O26" s="31" t="s">
        <v>25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20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26</v>
      </c>
      <c r="C4" t="s">
        <v>18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21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14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46052.801266666669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46052.801266666669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46052.801266666669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46052.801266666669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46052.801266666669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46052.801266666669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46052.801266666669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46052.801266666669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46052.801266666669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46052.801266666669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46052.801266666669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46052.801266666669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46052.801266666669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46052.801266666669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46052.801266666669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46052.801266666669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22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23</v>
      </c>
      <c r="N26" s="14" t="s">
        <v>24</v>
      </c>
      <c r="O26" s="31" t="s">
        <v>25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11</v>
      </c>
      <c r="C3" t="s">
        <v>12</v>
      </c>
      <c r="D3" t="s">
        <v>13</v>
      </c>
    </row>
    <row r="4" spans="2:5" ht="30" x14ac:dyDescent="0.25">
      <c r="B4" s="4" t="s">
        <v>15</v>
      </c>
      <c r="C4" s="2">
        <v>45576</v>
      </c>
      <c r="D4" s="3">
        <v>1.1000000000000001</v>
      </c>
      <c r="E4" s="3"/>
    </row>
    <row r="5" spans="2:5" ht="45" x14ac:dyDescent="0.25">
      <c r="B5" s="7" t="s">
        <v>19</v>
      </c>
      <c r="C5" s="3" t="s">
        <v>16</v>
      </c>
      <c r="D5" s="3">
        <v>1.2</v>
      </c>
      <c r="E5" s="3"/>
    </row>
    <row r="6" spans="2:5" ht="30" x14ac:dyDescent="0.25">
      <c r="B6" s="7" t="s">
        <v>27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26-01-26</vt:lpstr>
      <vt:lpstr>Martes 27-01-26</vt:lpstr>
      <vt:lpstr>Miercoles 28 -01-25</vt:lpstr>
      <vt:lpstr>Jueves 29 -01-26</vt:lpstr>
      <vt:lpstr>Viernes 30-01-26</vt:lpstr>
      <vt:lpstr>Sabado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2026-01-31T01:16:02Z</dcterms:modified>
</cp:coreProperties>
</file>