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52DD04C-43E5-4D8B-86F3-2DA5DBE522C7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1-06-26" sheetId="1" r:id="rId1"/>
    <sheet name="Martes 02-06-26" sheetId="2" r:id="rId2"/>
    <sheet name="Miercoles 03-06-26" sheetId="3" r:id="rId3"/>
    <sheet name="Jueves 04-06-26" sheetId="4" r:id="rId4"/>
    <sheet name="Viernes 05-06-26" sheetId="5" r:id="rId5"/>
    <sheet name="Sabado 06-06-26" sheetId="6" r:id="rId6"/>
    <sheet name="Domingo" sheetId="8" r:id="rId7"/>
    <sheet name="Cambios" sheetId="7" r:id="rId8"/>
  </sheets>
  <definedNames>
    <definedName name="_xlnm._FilterDatabase" localSheetId="0" hidden="1">'Lunes 01-06-26'!$B$4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6" l="1"/>
  <c r="C5" i="3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<sst xmlns="http://schemas.openxmlformats.org/spreadsheetml/2006/main" count="285" uniqueCount="137">
  <si>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</si>
  <si>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</si>
  <si>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</si>
  <si>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</si>
  <si>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</si>
  <si>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</si>
  <si>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</si>
  <si>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</si>
  <si>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Viernes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</si>
  <si>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</si>
  <si>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</si>
  <si>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</si>
  <si>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</si>
  <si>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</si>
  <si>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</si>
  <si>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</si>
  <si>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</si>
  <si>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</si>
  <si>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</si>
  <si>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</si>
  <si>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</si>
  <si>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</si>
  <si>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</si>
  <si>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</si>
  <si>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</si>
  <si>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</si>
  <si>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01 DE JUNIO-26</t>
  </si>
  <si>
    <t xml:space="preserve">FOCO H6 </t>
  </si>
  <si>
    <t>RESBALON DE CENTRIFUJO</t>
  </si>
  <si>
    <t>X</t>
  </si>
  <si>
    <t xml:space="preserve">CHICOTE CE CLTUH UNIVERSAL </t>
  </si>
  <si>
    <t>AORCADOR UNIVERSAL</t>
  </si>
  <si>
    <t>EMPAQUE DE MOTOR DM200</t>
  </si>
  <si>
    <t>ESTRELLA DE FT150</t>
  </si>
  <si>
    <t>BOTON DE ENCENDIDO D150</t>
  </si>
  <si>
    <t>PUÑOS</t>
  </si>
  <si>
    <t>CLAXON DS150</t>
  </si>
  <si>
    <t>GOMAS DE IMAPCTO FT150</t>
  </si>
  <si>
    <t>CINTA DE ASBESTO</t>
  </si>
  <si>
    <t xml:space="preserve">ACEITE TOP RANCING </t>
  </si>
  <si>
    <t xml:space="preserve">CHICOTE DE CLUTH </t>
  </si>
  <si>
    <t>RED DE ACIENTO GTS175</t>
  </si>
  <si>
    <t>PEDAL DE CAMBIOS DM200</t>
  </si>
  <si>
    <t>CASCO NIÑO  NEGRO</t>
  </si>
  <si>
    <t xml:space="preserve">CUENTA SEMANA PASADA $ 19049 MENOS$ 413 DE PUÑOS QUEDA $ 18636 MENOS $ 270 DE COSAS QUE LLEVO DANIEL QUEDA $ 18366 </t>
  </si>
  <si>
    <t xml:space="preserve">COSAS QUE LLEVO DANIEL </t>
  </si>
  <si>
    <t>Martes 02 DE JUNIO-26</t>
  </si>
  <si>
    <t xml:space="preserve">ACEITE AKRON </t>
  </si>
  <si>
    <t>SEGURO DE PIÑON</t>
  </si>
  <si>
    <t>BANDA 743 -20-30 WAPEMEX</t>
  </si>
  <si>
    <t>BUJE DE RIND FT150</t>
  </si>
  <si>
    <t xml:space="preserve">HUESO DE BUJE </t>
  </si>
  <si>
    <t xml:space="preserve">BOTON DE DIRECCIONAL MOTONETA </t>
  </si>
  <si>
    <t xml:space="preserve">FOCO </t>
  </si>
  <si>
    <t>STIKER</t>
  </si>
  <si>
    <t>PIJAS Y GRAPAS</t>
  </si>
  <si>
    <t>CHCICOTE DE VELOCIMETRO WS150</t>
  </si>
  <si>
    <t xml:space="preserve">PORTA FUSIBLE </t>
  </si>
  <si>
    <t>BALATA TAMBOR CHICO CS125</t>
  </si>
  <si>
    <t xml:space="preserve">AUXILIAR LED </t>
  </si>
  <si>
    <t>x</t>
  </si>
  <si>
    <t>PUÑOS DE FT150 YOG</t>
  </si>
  <si>
    <t xml:space="preserve">TUERCA </t>
  </si>
  <si>
    <t>BALATA DE TAMBOR DE FT150</t>
  </si>
  <si>
    <t>PEDIDO MERCADO</t>
  </si>
  <si>
    <t xml:space="preserve">PEDIDO NASAKI </t>
  </si>
  <si>
    <t xml:space="preserve">CUENTA DE SEMANA PASADA $ 18366 MENOS 390 QUEDA $ 17976 MENOS $ 4505 DE PEDIDO DE NASAKI QUEDA $ 13471 </t>
  </si>
  <si>
    <t>BALERO 6003</t>
  </si>
  <si>
    <t>SALPICADERA DELANTERA WS150</t>
  </si>
  <si>
    <t>GOMAS DE IMPACTO FT125</t>
  </si>
  <si>
    <t>Miercoles 03 DE JUNIO-2026</t>
  </si>
  <si>
    <t xml:space="preserve">ESPEJOS DE MOTONETA </t>
  </si>
  <si>
    <t>PEDIDO OSACAR</t>
  </si>
  <si>
    <t xml:space="preserve">SEGUROM PIÑON </t>
  </si>
  <si>
    <t>FOCO DE STOP</t>
  </si>
  <si>
    <t xml:space="preserve">CUENTA DE AYER $ 13471 MENOS $ 1180 DE PEDIDOD E OSCAR QUEDA $ 12291 </t>
  </si>
  <si>
    <t xml:space="preserve">SILENCIADOR </t>
  </si>
  <si>
    <t>SALPICADERA DELANTERA FT150</t>
  </si>
  <si>
    <t>LLANTA 110-80-17</t>
  </si>
  <si>
    <t>PEGAMENTO SUPERGLU</t>
  </si>
  <si>
    <t>Jueves 04 DE JUNIO-26</t>
  </si>
  <si>
    <t>CLAXON</t>
  </si>
  <si>
    <t>TORNILLO M10</t>
  </si>
  <si>
    <t>BUJIA C7</t>
  </si>
  <si>
    <t>FILTRO DE AIRE WS175 ITALIKA</t>
  </si>
  <si>
    <t xml:space="preserve">FARO AUXILIAR DE MOTO </t>
  </si>
  <si>
    <t xml:space="preserve">PUÑOS AZULES </t>
  </si>
  <si>
    <t>MANIJA DE WS150 SPORT</t>
  </si>
  <si>
    <t xml:space="preserve">CONTRAPESO DE AMORTIGUADOR </t>
  </si>
  <si>
    <t>LUNES 01 DE JUNIO-26</t>
  </si>
  <si>
    <t>DANIEL</t>
  </si>
  <si>
    <t>P.MERCADO</t>
  </si>
  <si>
    <t>MARTES 02 DE JUNIO-26</t>
  </si>
  <si>
    <t>P.NASAKI</t>
  </si>
  <si>
    <t xml:space="preserve">P.OSCAR </t>
  </si>
  <si>
    <t>MIERCOLES 03 DE JUNIO-26</t>
  </si>
  <si>
    <t>PAGOYAS</t>
  </si>
  <si>
    <t>VIERNES 05 DE JUNIO-26</t>
  </si>
  <si>
    <t>TOTAL</t>
  </si>
  <si>
    <t>TIRAS LED ROJA</t>
  </si>
  <si>
    <t>CABLE SUELTO NEGRO</t>
  </si>
  <si>
    <t>FOCOS UNIVERSAS MOTONETA</t>
  </si>
  <si>
    <t>PUÑOS ROJOS</t>
  </si>
  <si>
    <t>DIRECCIONAL UNIVERSAL</t>
  </si>
  <si>
    <t>CALAVERA DE YBR125</t>
  </si>
  <si>
    <t>TOTAL DE EGRESOS</t>
  </si>
  <si>
    <t>ALESSIA</t>
  </si>
  <si>
    <t>BUJIA D8</t>
  </si>
  <si>
    <t xml:space="preserve">FILTRO DE GASOLINA CARTON </t>
  </si>
  <si>
    <t xml:space="preserve">LIMPIADOR DE CARBURADOR </t>
  </si>
  <si>
    <t xml:space="preserve">DIRECCIONALES UNIVERSALES </t>
  </si>
  <si>
    <t xml:space="preserve">CANDADO 428 </t>
  </si>
  <si>
    <t>ESPONJA DE FT150</t>
  </si>
  <si>
    <t>BALERO 6302</t>
  </si>
  <si>
    <t>BALATA DE DISCO DS150</t>
  </si>
  <si>
    <t xml:space="preserve">CHCICOTE DE CLUTH UNIVERSAL </t>
  </si>
  <si>
    <t>TIRA LED AZUL</t>
  </si>
  <si>
    <t>BUJE DE MOTOR DS150</t>
  </si>
  <si>
    <t xml:space="preserve">TERNINAL BACTERIA </t>
  </si>
  <si>
    <r>
      <rPr>
        <b/>
        <sz val="14"/>
        <color theme="1"/>
        <rFont val="Calibri"/>
        <family val="2"/>
        <scheme val="minor"/>
      </rPr>
      <t>CORTES DE LA SEMANA  CUENTA SEMANA PASA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01 DE JUNIO-26                    $19049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$ 1218.5       MENOS   $18258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02 DE JUNIO-26                $791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1602.5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03 DE JUNIO-26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$1540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JUEVES 04 DE JUNIO-26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$ 800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05 DE JUNIO-26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$ 1387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TOTAL $6548
TOTAL EN CAJA $ 7339</t>
    </r>
    <r>
      <rPr>
        <sz val="20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</si>
  <si>
    <t>Sabado 06 DE JUNIO-26</t>
  </si>
  <si>
    <t>CAMARA 90-90-21</t>
  </si>
  <si>
    <t>CHCICOTE DE ACELERADOR YBR125</t>
  </si>
  <si>
    <t>MANIJA IZQUIERDA 150Z</t>
  </si>
  <si>
    <t>RETEN DE MOTRO FT150</t>
  </si>
  <si>
    <t>VALVULAS DE MOTRO FT150</t>
  </si>
  <si>
    <t>ANILLOS DE PISTON FT150</t>
  </si>
  <si>
    <t>BALANCIN INFERIOR FT150</t>
  </si>
  <si>
    <t>CADENA 428 X 136</t>
  </si>
  <si>
    <t>ARBOLDE LEVAS FT150</t>
  </si>
  <si>
    <t>BOMBA DE FRENO FT150</t>
  </si>
  <si>
    <t>ESTATOR DE FT150</t>
  </si>
  <si>
    <t>CUBRE PUÑOS</t>
  </si>
  <si>
    <t>GOGLESS ROJO</t>
  </si>
  <si>
    <t>GOGLESS NEGRO</t>
  </si>
  <si>
    <t xml:space="preserve">SWUIT UNIVERAL </t>
  </si>
  <si>
    <r>
      <t xml:space="preserve">CUENTA DE HOY SABADO $ 2042.5 MENOS $ 300 DE PAGO DE YAS QUEDA $ 1742.5 MAS LO DE AYER EN CAJA $ 7339 
</t>
    </r>
    <r>
      <rPr>
        <b/>
        <sz val="22"/>
        <color theme="1"/>
        <rFont val="Calibri"/>
        <family val="2"/>
        <scheme val="minor"/>
      </rPr>
      <t xml:space="preserve">TOTAL EN CAJA $ 9081.5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</si>
</sst>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3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2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19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18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15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14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1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0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3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2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S32" sqref="S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18</v>
      </c>
      <c r="K3" s="6">
        <f>SUM(Tabla1[Importa])</f>
        <v>1218.5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19</v>
      </c>
      <c r="K4" s="10">
        <f>COUNTIF(C5:C103,"&gt;0")</f>
        <v>15</v>
      </c>
      <c r="M4" s="36" t="s">
        <v>44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46179.806114930558</v>
      </c>
      <c r="C5">
        <f>IF(ISNUMBER(E5), IF(ISNUMBER(C4), C4+1, 1), "")</f>
        <v>1</v>
      </c>
      <c r="D5" t="s">
        <v>27</v>
      </c>
      <c r="E5">
        <v>2</v>
      </c>
      <c r="F5">
        <v>35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70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46179.806114930558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15</v>
      </c>
      <c r="G6" t="s">
        <v>29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13.5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46179.806114930558</v>
      </c>
      <c r="C7">
        <f t="shared" si="0"/>
        <v>3</v>
      </c>
      <c r="D7" t="s">
        <v>30</v>
      </c>
      <c r="E7">
        <v>1</v>
      </c>
      <c r="F7">
        <v>20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46179.806114930558</v>
      </c>
      <c r="C8">
        <f t="shared" si="0"/>
        <v>4</v>
      </c>
      <c r="D8" t="s">
        <v>31</v>
      </c>
      <c r="E8">
        <v>1</v>
      </c>
      <c r="F8">
        <v>5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46179.806114930558</v>
      </c>
      <c r="C9">
        <f t="shared" si="0"/>
        <v>5</v>
      </c>
      <c r="D9" t="s">
        <v>32</v>
      </c>
      <c r="E9">
        <v>1</v>
      </c>
      <c r="F9">
        <v>87</v>
      </c>
      <c r="G9" t="s">
        <v>29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78.5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46179.806114930558</v>
      </c>
      <c r="C10">
        <f t="shared" si="0"/>
        <v>6</v>
      </c>
      <c r="D10" t="s">
        <v>33</v>
      </c>
      <c r="E10">
        <v>1</v>
      </c>
      <c r="F10">
        <v>161</v>
      </c>
      <c r="G10" t="s">
        <v>29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145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46179.806114930558</v>
      </c>
      <c r="C11">
        <f t="shared" si="0"/>
        <v>7</v>
      </c>
      <c r="D11" t="s">
        <v>34</v>
      </c>
      <c r="E11">
        <v>1</v>
      </c>
      <c r="F11">
        <v>31</v>
      </c>
      <c r="G11" t="s">
        <v>29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28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46179.806114930558</v>
      </c>
      <c r="C12">
        <f t="shared" si="0"/>
        <v>8</v>
      </c>
      <c r="D12" t="s">
        <v>36</v>
      </c>
      <c r="E12">
        <v>1</v>
      </c>
      <c r="F12">
        <v>50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50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46179.806114930558</v>
      </c>
      <c r="C13">
        <f t="shared" si="0"/>
        <v>9</v>
      </c>
      <c r="D13" t="s">
        <v>37</v>
      </c>
      <c r="E13">
        <v>1</v>
      </c>
      <c r="F13">
        <v>35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35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46179.806114930558</v>
      </c>
      <c r="C14">
        <f t="shared" si="0"/>
        <v>10</v>
      </c>
      <c r="D14" t="s">
        <v>38</v>
      </c>
      <c r="E14">
        <v>1</v>
      </c>
      <c r="F14">
        <v>111</v>
      </c>
      <c r="G14" t="s">
        <v>29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100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46179.806114930558</v>
      </c>
      <c r="C15">
        <f t="shared" si="0"/>
        <v>11</v>
      </c>
      <c r="D15" t="s">
        <v>39</v>
      </c>
      <c r="E15">
        <v>1</v>
      </c>
      <c r="F15">
        <v>75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75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46179.806114930558</v>
      </c>
      <c r="C16">
        <f t="shared" si="0"/>
        <v>12</v>
      </c>
      <c r="D16" t="s">
        <v>40</v>
      </c>
      <c r="E16">
        <v>1</v>
      </c>
      <c r="F16">
        <v>15</v>
      </c>
      <c r="G16" t="s">
        <v>29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13.5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46179.806114930558</v>
      </c>
      <c r="C17">
        <f t="shared" si="0"/>
        <v>13</v>
      </c>
      <c r="D17" t="s">
        <v>41</v>
      </c>
      <c r="E17">
        <v>1</v>
      </c>
      <c r="F17">
        <v>115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115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46179.806114930558</v>
      </c>
      <c r="C18">
        <f t="shared" si="0"/>
        <v>14</v>
      </c>
      <c r="D18" t="s">
        <v>42</v>
      </c>
      <c r="E18">
        <v>1</v>
      </c>
      <c r="F18">
        <v>100</v>
      </c>
      <c r="G18" t="s">
        <v>29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90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46179.806114930558</v>
      </c>
      <c r="C19">
        <f t="shared" si="0"/>
        <v>15</v>
      </c>
      <c r="D19" t="s">
        <v>43</v>
      </c>
      <c r="E19">
        <v>1</v>
      </c>
      <c r="F19">
        <v>380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380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20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21</v>
      </c>
      <c r="N26" s="31"/>
      <c r="O26" s="14" t="s">
        <v>22</v>
      </c>
      <c r="P26" s="31" t="s">
        <v>23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 t="s">
        <v>35</v>
      </c>
      <c r="N27" s="20"/>
      <c r="O27" s="23">
        <v>413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 t="s">
        <v>45</v>
      </c>
      <c r="N29" s="20"/>
      <c r="O29" s="23">
        <v>270</v>
      </c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46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SUM(Tabla110[Importa])</f>
        <v>1602.5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22</v>
      </c>
      <c r="M4" s="36" t="s">
        <v>66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46179.806114930558</v>
      </c>
      <c r="C5">
        <f t="shared" ref="C5:C68" si="0">IF(ISNUMBER(E5), IF(ISNUMBER(C4), C4+1, 1), "")</f>
        <v>1</v>
      </c>
      <c r="D5" t="s">
        <v>47</v>
      </c>
      <c r="E5">
        <v>1</v>
      </c>
      <c r="F5">
        <v>123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123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46179.806114930558</v>
      </c>
      <c r="C6">
        <f t="shared" si="0"/>
        <v>2</v>
      </c>
      <c r="D6" t="s">
        <v>48</v>
      </c>
      <c r="E6">
        <v>1</v>
      </c>
      <c r="F6">
        <v>10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46179.806114930558</v>
      </c>
      <c r="C7">
        <f t="shared" si="0"/>
        <v>3</v>
      </c>
      <c r="D7" t="s">
        <v>49</v>
      </c>
      <c r="E7">
        <v>1</v>
      </c>
      <c r="F7">
        <v>110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110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46179.806114930558</v>
      </c>
      <c r="C8">
        <f t="shared" si="0"/>
        <v>4</v>
      </c>
      <c r="D8" t="s">
        <v>50</v>
      </c>
      <c r="E8">
        <v>1</v>
      </c>
      <c r="F8">
        <v>42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42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46179.806114930558</v>
      </c>
      <c r="C9">
        <f t="shared" si="0"/>
        <v>5</v>
      </c>
      <c r="D9" t="s">
        <v>51</v>
      </c>
      <c r="E9">
        <v>4</v>
      </c>
      <c r="F9">
        <v>20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80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46179.806114930558</v>
      </c>
      <c r="C10">
        <f t="shared" si="0"/>
        <v>6</v>
      </c>
      <c r="D10" t="s">
        <v>52</v>
      </c>
      <c r="E10">
        <v>1</v>
      </c>
      <c r="F10">
        <v>15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46179.806114930558</v>
      </c>
      <c r="C11">
        <f t="shared" si="0"/>
        <v>7</v>
      </c>
      <c r="D11" t="s">
        <v>53</v>
      </c>
      <c r="E11">
        <v>1</v>
      </c>
      <c r="F11">
        <v>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46179.806114930558</v>
      </c>
      <c r="C12">
        <f t="shared" si="0"/>
        <v>8</v>
      </c>
      <c r="D12" t="s">
        <v>54</v>
      </c>
      <c r="E12">
        <v>3</v>
      </c>
      <c r="F12">
        <v>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46179.806114930558</v>
      </c>
      <c r="C13">
        <f t="shared" si="0"/>
        <v>9</v>
      </c>
      <c r="D13" t="s">
        <v>55</v>
      </c>
      <c r="E13">
        <v>2</v>
      </c>
      <c r="F13">
        <v>20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40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46179.806114930558</v>
      </c>
      <c r="C14">
        <f t="shared" si="0"/>
        <v>10</v>
      </c>
      <c r="D14" t="s">
        <v>56</v>
      </c>
      <c r="E14">
        <v>1</v>
      </c>
      <c r="F14">
        <v>40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40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46179.806114930558</v>
      </c>
      <c r="C15">
        <f t="shared" si="0"/>
        <v>11</v>
      </c>
      <c r="D15" t="s">
        <v>57</v>
      </c>
      <c r="E15">
        <v>1</v>
      </c>
      <c r="F15">
        <v>15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46179.806114930558</v>
      </c>
      <c r="C16">
        <f t="shared" si="0"/>
        <v>12</v>
      </c>
      <c r="D16" t="s">
        <v>54</v>
      </c>
      <c r="E16">
        <v>1</v>
      </c>
      <c r="F16">
        <v>5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46179.806114930558</v>
      </c>
      <c r="C17">
        <f t="shared" si="0"/>
        <v>13</v>
      </c>
      <c r="D17" t="s">
        <v>58</v>
      </c>
      <c r="E17">
        <v>2</v>
      </c>
      <c r="F17">
        <v>78</v>
      </c>
      <c r="G17" t="s">
        <v>29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140.5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46179.806114930558</v>
      </c>
      <c r="C18">
        <f t="shared" si="0"/>
        <v>14</v>
      </c>
      <c r="D18" t="s">
        <v>59</v>
      </c>
      <c r="E18">
        <v>1</v>
      </c>
      <c r="F18">
        <v>396</v>
      </c>
      <c r="G18" t="s">
        <v>60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356.5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46179.806114930558</v>
      </c>
      <c r="C19">
        <f t="shared" si="0"/>
        <v>15</v>
      </c>
      <c r="D19" t="s">
        <v>54</v>
      </c>
      <c r="E19">
        <v>1</v>
      </c>
      <c r="F19">
        <v>5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5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61</v>
      </c>
      <c r="E20">
        <v>1</v>
      </c>
      <c r="F20">
        <v>65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65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62</v>
      </c>
      <c r="E21">
        <v>1</v>
      </c>
      <c r="F21">
        <v>28</v>
      </c>
      <c r="G21" t="s">
        <v>29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25.5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63</v>
      </c>
      <c r="E22">
        <v>1</v>
      </c>
      <c r="F22">
        <v>85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85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63</v>
      </c>
      <c r="E23">
        <v>1</v>
      </c>
      <c r="F23">
        <v>70</v>
      </c>
      <c r="G23" t="s">
        <v>29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63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67</v>
      </c>
      <c r="E24">
        <v>1</v>
      </c>
      <c r="F24">
        <v>30</v>
      </c>
      <c r="G24" t="s">
        <v>29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27</v>
      </c>
      <c r="M24" s="32" t="s">
        <v>20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68</v>
      </c>
      <c r="E25">
        <v>1</v>
      </c>
      <c r="F25">
        <v>333</v>
      </c>
      <c r="G25" t="s">
        <v>60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300</v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>
        <f t="shared" si="0"/>
        <v>22</v>
      </c>
      <c r="D26" t="s">
        <v>69</v>
      </c>
      <c r="E26">
        <v>1</v>
      </c>
      <c r="F26">
        <v>35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35</v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45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64</v>
      </c>
      <c r="N27" s="15">
        <v>390</v>
      </c>
      <c r="O27" s="39"/>
      <c r="P27" s="40"/>
      <c r="Q27" s="40"/>
      <c r="R27" s="41"/>
    </row>
    <row r="28" spans="2:18" ht="30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65</v>
      </c>
      <c r="N28" s="15">
        <v>4505</v>
      </c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25" priority="1">
      <formula>C5&gt;0&amp;ISBLANK(B5)</formula>
    </cfRule>
  </conditionalFormatting>
  <conditionalFormatting sqref="D5:D6">
    <cfRule type="expression" dxfId="2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70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SUM(Tabla111[Importa])</f>
        <v>1540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8</v>
      </c>
      <c r="M4" s="36" t="s">
        <v>75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46179.806114930558</v>
      </c>
      <c r="C5">
        <f>IF(ISNUMBER(E5), IF(ISNUMBER(C4), C4+1, 1), "")</f>
        <v>1</v>
      </c>
      <c r="D5" t="s">
        <v>71</v>
      </c>
      <c r="E5">
        <v>1</v>
      </c>
      <c r="F5">
        <v>170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170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46179.806114930558</v>
      </c>
      <c r="C6">
        <f t="shared" ref="C6" si="0">IF(ISNUMBER(E6), IF(ISNUMBER(C5), C5+1, 1), "")</f>
        <v>2</v>
      </c>
      <c r="D6" t="s">
        <v>73</v>
      </c>
      <c r="E6">
        <v>1</v>
      </c>
      <c r="F6">
        <v>10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46179.806114930558</v>
      </c>
      <c r="C7">
        <f>IF(ISNUMBER(E7), IF(ISNUMBER(C6), C6+1, 1), "")</f>
        <v>3</v>
      </c>
      <c r="D7" t="s">
        <v>74</v>
      </c>
      <c r="E7">
        <v>1</v>
      </c>
      <c r="F7">
        <v>20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46179.806114930558</v>
      </c>
      <c r="C8">
        <f t="shared" ref="C8:C68" si="1">IF(ISNUMBER(E8), IF(ISNUMBER(C7), C7+1, 1), "")</f>
        <v>4</v>
      </c>
      <c r="D8" t="s">
        <v>54</v>
      </c>
      <c r="E8">
        <v>2</v>
      </c>
      <c r="F8">
        <v>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46179.806114930558</v>
      </c>
      <c r="C9">
        <f t="shared" si="1"/>
        <v>5</v>
      </c>
      <c r="D9" t="s">
        <v>76</v>
      </c>
      <c r="E9">
        <v>1</v>
      </c>
      <c r="F9">
        <v>140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140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46179.806114930558</v>
      </c>
      <c r="C10">
        <f t="shared" si="1"/>
        <v>6</v>
      </c>
      <c r="D10" t="s">
        <v>77</v>
      </c>
      <c r="E10">
        <v>1</v>
      </c>
      <c r="F10">
        <v>290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290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46179.806114930558</v>
      </c>
      <c r="C11">
        <f t="shared" si="1"/>
        <v>7</v>
      </c>
      <c r="D11" t="s">
        <v>78</v>
      </c>
      <c r="E11">
        <v>1</v>
      </c>
      <c r="F11">
        <v>850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850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46179.806114930558</v>
      </c>
      <c r="C12">
        <f t="shared" si="1"/>
        <v>8</v>
      </c>
      <c r="D12" t="s">
        <v>79</v>
      </c>
      <c r="E12">
        <v>2</v>
      </c>
      <c r="F12">
        <v>25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50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46179.806114930558</v>
      </c>
      <c r="C13" t="str">
        <f t="shared" si="1"/>
        <v/>
      </c>
      <c r="H13" s="5" t="str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46179.806114930558</v>
      </c>
      <c r="C14" t="str">
        <f t="shared" si="1"/>
        <v/>
      </c>
      <c r="H14" s="5" t="str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46179.806114930558</v>
      </c>
      <c r="C15" t="str">
        <f t="shared" si="1"/>
        <v/>
      </c>
      <c r="H15" s="5" t="str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46179.806114930558</v>
      </c>
      <c r="C16" t="str">
        <f t="shared" si="1"/>
        <v/>
      </c>
      <c r="H16" s="5" t="str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46179.806114930558</v>
      </c>
      <c r="C17" t="str">
        <f t="shared" si="1"/>
        <v/>
      </c>
      <c r="H17" s="5" t="str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46179.806114930558</v>
      </c>
      <c r="C18" t="str">
        <f t="shared" si="1"/>
        <v/>
      </c>
      <c r="H18" s="5" t="str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46179.806114930558</v>
      </c>
      <c r="C19" t="str">
        <f t="shared" si="1"/>
        <v/>
      </c>
      <c r="H19" s="5" t="str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1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1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30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72</v>
      </c>
      <c r="N27" s="15">
        <v>1180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21" priority="1">
      <formula>C5&gt;0&amp;ISBLANK(B5)</formula>
    </cfRule>
  </conditionalFormatting>
  <conditionalFormatting sqref="D5:D6">
    <cfRule type="expression" dxfId="2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7" sqref="D1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80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SUM(Tabla112[Importa])</f>
        <v>800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12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46179.806114930558</v>
      </c>
      <c r="C5">
        <f t="shared" ref="C5:C68" si="0">IF(ISNUMBER(E5), IF(ISNUMBER(C4), C4+1, 1), "")</f>
        <v>1</v>
      </c>
      <c r="D5" t="s">
        <v>81</v>
      </c>
      <c r="E5">
        <v>1</v>
      </c>
      <c r="F5">
        <v>50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50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46179.806114930558</v>
      </c>
      <c r="C6">
        <f t="shared" si="0"/>
        <v>2</v>
      </c>
      <c r="D6" t="s">
        <v>82</v>
      </c>
      <c r="E6">
        <v>2</v>
      </c>
      <c r="F6">
        <v>10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20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46179.806114930558</v>
      </c>
      <c r="C7">
        <f t="shared" si="0"/>
        <v>3</v>
      </c>
      <c r="D7" t="s">
        <v>83</v>
      </c>
      <c r="E7">
        <v>1</v>
      </c>
      <c r="F7">
        <v>50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50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46179.806114930558</v>
      </c>
      <c r="C8">
        <f t="shared" si="0"/>
        <v>4</v>
      </c>
      <c r="D8" t="s">
        <v>84</v>
      </c>
      <c r="E8">
        <v>1</v>
      </c>
      <c r="F8">
        <v>70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70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46179.806114930558</v>
      </c>
      <c r="C9">
        <f t="shared" si="0"/>
        <v>5</v>
      </c>
      <c r="D9" t="s">
        <v>54</v>
      </c>
      <c r="E9">
        <v>2</v>
      </c>
      <c r="F9">
        <v>5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46179.806114930558</v>
      </c>
      <c r="C10">
        <f t="shared" si="0"/>
        <v>6</v>
      </c>
      <c r="D10" t="s">
        <v>85</v>
      </c>
      <c r="E10">
        <v>1</v>
      </c>
      <c r="F10">
        <v>200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200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46179.806114930558</v>
      </c>
      <c r="C11">
        <f t="shared" si="0"/>
        <v>7</v>
      </c>
      <c r="D11" t="s">
        <v>86</v>
      </c>
      <c r="E11">
        <v>1</v>
      </c>
      <c r="F11">
        <v>130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130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46179.806114930558</v>
      </c>
      <c r="C12">
        <f t="shared" si="0"/>
        <v>8</v>
      </c>
      <c r="D12" t="s">
        <v>87</v>
      </c>
      <c r="E12">
        <v>1</v>
      </c>
      <c r="F12">
        <v>99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99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46179.806114930558</v>
      </c>
      <c r="C13">
        <f t="shared" si="0"/>
        <v>9</v>
      </c>
      <c r="D13" t="s">
        <v>88</v>
      </c>
      <c r="E13">
        <v>1</v>
      </c>
      <c r="F13">
        <v>52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52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46179.806114930558</v>
      </c>
      <c r="C14">
        <f t="shared" si="0"/>
        <v>10</v>
      </c>
      <c r="D14" t="s">
        <v>99</v>
      </c>
      <c r="E14">
        <v>3</v>
      </c>
      <c r="F14">
        <v>15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45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46179.806114930558</v>
      </c>
      <c r="C15">
        <f t="shared" si="0"/>
        <v>11</v>
      </c>
      <c r="D15" t="s">
        <v>100</v>
      </c>
      <c r="E15">
        <v>2</v>
      </c>
      <c r="F15">
        <v>12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24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46179.806114930558</v>
      </c>
      <c r="C16">
        <f t="shared" si="0"/>
        <v>12</v>
      </c>
      <c r="D16" t="s">
        <v>101</v>
      </c>
      <c r="E16">
        <v>2</v>
      </c>
      <c r="F16">
        <v>25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50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46179.806114930558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46179.806114930558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46179.806114930558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7" priority="1">
      <formula>C5&gt;0&amp;ISBLANK(B5)</formula>
    </cfRule>
  </conditionalFormatting>
  <conditionalFormatting sqref="D5:D6">
    <cfRule type="expression" dxfId="1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SUM(Tabla113[Importa])</f>
        <v>1387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21</v>
      </c>
      <c r="M4" s="36" t="s">
        <v>119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46179.806114930558</v>
      </c>
      <c r="C5">
        <f t="shared" ref="C5:C68" si="0">IF(ISNUMBER(E5), IF(ISNUMBER(C4), C4+1, 1), "")</f>
        <v>1</v>
      </c>
      <c r="D5" t="s">
        <v>102</v>
      </c>
      <c r="E5">
        <v>1</v>
      </c>
      <c r="F5">
        <v>95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95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46179.806114930558</v>
      </c>
      <c r="C6">
        <f t="shared" si="0"/>
        <v>2</v>
      </c>
      <c r="D6" t="s">
        <v>77</v>
      </c>
      <c r="E6">
        <v>1</v>
      </c>
      <c r="F6">
        <v>290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290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46179.806114930558</v>
      </c>
      <c r="C7">
        <f t="shared" si="0"/>
        <v>3</v>
      </c>
      <c r="D7" t="s">
        <v>103</v>
      </c>
      <c r="E7">
        <v>1</v>
      </c>
      <c r="F7">
        <v>120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46179.806114930558</v>
      </c>
      <c r="C8">
        <f t="shared" si="0"/>
        <v>4</v>
      </c>
      <c r="D8" t="s">
        <v>103</v>
      </c>
      <c r="E8">
        <v>1</v>
      </c>
      <c r="F8">
        <v>120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120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46179.806114930558</v>
      </c>
      <c r="C9">
        <f t="shared" si="0"/>
        <v>5</v>
      </c>
      <c r="D9" t="s">
        <v>104</v>
      </c>
      <c r="E9">
        <v>1</v>
      </c>
      <c r="F9">
        <v>150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150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46179.806114930558</v>
      </c>
      <c r="C10">
        <f t="shared" si="0"/>
        <v>6</v>
      </c>
      <c r="D10" t="s">
        <v>47</v>
      </c>
      <c r="E10">
        <v>1</v>
      </c>
      <c r="F10">
        <v>123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123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46179.806114930558</v>
      </c>
      <c r="C11">
        <f t="shared" si="0"/>
        <v>7</v>
      </c>
      <c r="D11" t="s">
        <v>107</v>
      </c>
      <c r="E11">
        <v>1</v>
      </c>
      <c r="F11">
        <v>50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46179.806114930558</v>
      </c>
      <c r="C12">
        <f t="shared" si="0"/>
        <v>8</v>
      </c>
      <c r="D12" t="s">
        <v>108</v>
      </c>
      <c r="E12">
        <v>1</v>
      </c>
      <c r="F12">
        <v>15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46179.806114930558</v>
      </c>
      <c r="C13">
        <f t="shared" si="0"/>
        <v>9</v>
      </c>
      <c r="D13" t="s">
        <v>109</v>
      </c>
      <c r="E13">
        <v>1</v>
      </c>
      <c r="F13">
        <v>75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75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46179.806114930558</v>
      </c>
      <c r="C14">
        <f t="shared" si="0"/>
        <v>10</v>
      </c>
      <c r="D14" t="s">
        <v>54</v>
      </c>
      <c r="E14">
        <v>2</v>
      </c>
      <c r="F14">
        <v>5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46179.806114930558</v>
      </c>
      <c r="C15">
        <f t="shared" si="0"/>
        <v>11</v>
      </c>
      <c r="D15" t="s">
        <v>74</v>
      </c>
      <c r="E15">
        <v>2</v>
      </c>
      <c r="F15">
        <v>20</v>
      </c>
      <c r="G15" t="s">
        <v>29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36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46179.806114930558</v>
      </c>
      <c r="C16">
        <f t="shared" si="0"/>
        <v>12</v>
      </c>
      <c r="D16" t="s">
        <v>110</v>
      </c>
      <c r="E16">
        <v>1</v>
      </c>
      <c r="F16">
        <v>90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90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46179.806114930558</v>
      </c>
      <c r="C17">
        <f t="shared" si="0"/>
        <v>13</v>
      </c>
      <c r="D17" t="s">
        <v>111</v>
      </c>
      <c r="E17">
        <v>1</v>
      </c>
      <c r="F17">
        <v>28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28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46179.806114930558</v>
      </c>
      <c r="C18">
        <f t="shared" si="0"/>
        <v>14</v>
      </c>
      <c r="D18" t="s">
        <v>112</v>
      </c>
      <c r="E18">
        <v>1</v>
      </c>
      <c r="F18">
        <v>28</v>
      </c>
      <c r="G18" t="s">
        <v>29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25.5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46179.806114930558</v>
      </c>
      <c r="C19">
        <f t="shared" si="0"/>
        <v>15</v>
      </c>
      <c r="D19" t="s">
        <v>113</v>
      </c>
      <c r="E19">
        <v>2</v>
      </c>
      <c r="F19">
        <v>30</v>
      </c>
      <c r="G19" t="s">
        <v>29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54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108</v>
      </c>
      <c r="E20">
        <v>1</v>
      </c>
      <c r="F20">
        <v>15</v>
      </c>
      <c r="G20" t="s">
        <v>29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13.5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114</v>
      </c>
      <c r="E21">
        <v>1</v>
      </c>
      <c r="F21">
        <v>36</v>
      </c>
      <c r="G21" t="s">
        <v>29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32.5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115</v>
      </c>
      <c r="E22">
        <v>1</v>
      </c>
      <c r="F22">
        <v>15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15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116</v>
      </c>
      <c r="E23">
        <v>1</v>
      </c>
      <c r="F23">
        <v>15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15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117</v>
      </c>
      <c r="E24">
        <v>1</v>
      </c>
      <c r="F24">
        <v>25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25</v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118</v>
      </c>
      <c r="E25">
        <v>1</v>
      </c>
      <c r="F25">
        <v>5</v>
      </c>
      <c r="G25" t="s">
        <v>29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4.5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35</v>
      </c>
      <c r="N27" s="15">
        <v>413</v>
      </c>
      <c r="O27" s="39" t="s">
        <v>89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90</v>
      </c>
      <c r="N28" s="15">
        <v>270</v>
      </c>
      <c r="O28" s="39" t="s">
        <v>89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91</v>
      </c>
      <c r="N29" s="15">
        <v>390</v>
      </c>
      <c r="O29" s="39" t="s">
        <v>92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93</v>
      </c>
      <c r="N30" s="15">
        <v>4505</v>
      </c>
      <c r="O30" s="39" t="s">
        <v>92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94</v>
      </c>
      <c r="N31" s="15">
        <v>1180</v>
      </c>
      <c r="O31" s="39" t="s">
        <v>95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106</v>
      </c>
      <c r="N32" s="15">
        <v>10000</v>
      </c>
      <c r="O32" s="39" t="s">
        <v>97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96</v>
      </c>
      <c r="N33" s="15">
        <v>1500</v>
      </c>
      <c r="O33" s="39" t="s">
        <v>97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98</v>
      </c>
      <c r="N34" s="15">
        <v>18258</v>
      </c>
      <c r="O34" s="39" t="s">
        <v>105</v>
      </c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120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SUM(Tabla114[Importa])</f>
        <v>2042.5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18</v>
      </c>
      <c r="M4" s="36" t="s">
        <v>136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46179.806114930558</v>
      </c>
      <c r="C5">
        <f t="shared" ref="C5:C68" si="0">IF(ISNUMBER(E5), IF(ISNUMBER(C4), C4+1, 1), "")</f>
        <v>1</v>
      </c>
      <c r="D5" t="s">
        <v>121</v>
      </c>
      <c r="E5">
        <v>1</v>
      </c>
      <c r="F5">
        <v>90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90</v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46179.806114930558</v>
      </c>
      <c r="C6">
        <f t="shared" si="0"/>
        <v>2</v>
      </c>
      <c r="D6" t="s">
        <v>122</v>
      </c>
      <c r="E6">
        <v>1</v>
      </c>
      <c r="F6">
        <v>43</v>
      </c>
      <c r="G6" t="s">
        <v>29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39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46179.806114930558</v>
      </c>
      <c r="C7">
        <f t="shared" si="0"/>
        <v>3</v>
      </c>
      <c r="D7" t="s">
        <v>123</v>
      </c>
      <c r="E7">
        <v>1</v>
      </c>
      <c r="F7">
        <v>35</v>
      </c>
      <c r="G7" t="s">
        <v>29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31.5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46179.806114930558</v>
      </c>
      <c r="C8">
        <f t="shared" si="0"/>
        <v>4</v>
      </c>
      <c r="D8" t="s">
        <v>108</v>
      </c>
      <c r="E8">
        <v>1</v>
      </c>
      <c r="F8">
        <v>15</v>
      </c>
      <c r="G8" t="s">
        <v>29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13.5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46179.806114930558</v>
      </c>
      <c r="C9">
        <f t="shared" si="0"/>
        <v>5</v>
      </c>
      <c r="D9" t="s">
        <v>109</v>
      </c>
      <c r="E9">
        <v>1</v>
      </c>
      <c r="F9">
        <v>75</v>
      </c>
      <c r="G9" t="s">
        <v>29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67.5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46179.806114930558</v>
      </c>
      <c r="C10">
        <f t="shared" si="0"/>
        <v>6</v>
      </c>
      <c r="D10" t="s">
        <v>124</v>
      </c>
      <c r="E10">
        <v>1</v>
      </c>
      <c r="F10">
        <v>50</v>
      </c>
      <c r="G10" t="s">
        <v>29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45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46179.806114930558</v>
      </c>
      <c r="C11">
        <f t="shared" si="0"/>
        <v>7</v>
      </c>
      <c r="D11" t="s">
        <v>125</v>
      </c>
      <c r="E11">
        <v>1</v>
      </c>
      <c r="F11">
        <v>126</v>
      </c>
      <c r="G11" t="s">
        <v>60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113.5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46179.806114930558</v>
      </c>
      <c r="C12">
        <f t="shared" si="0"/>
        <v>8</v>
      </c>
      <c r="D12" t="s">
        <v>126</v>
      </c>
      <c r="E12">
        <v>1</v>
      </c>
      <c r="F12">
        <v>55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55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46179.806114930558</v>
      </c>
      <c r="C13">
        <f t="shared" si="0"/>
        <v>9</v>
      </c>
      <c r="D13" t="s">
        <v>127</v>
      </c>
      <c r="E13">
        <v>1</v>
      </c>
      <c r="F13">
        <v>130</v>
      </c>
      <c r="G13" t="s">
        <v>29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117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46179.806114930558</v>
      </c>
      <c r="C14">
        <f t="shared" si="0"/>
        <v>10</v>
      </c>
      <c r="D14" t="s">
        <v>128</v>
      </c>
      <c r="E14">
        <v>1</v>
      </c>
      <c r="F14">
        <v>175</v>
      </c>
      <c r="G14" t="s">
        <v>29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157.5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46179.806114930558</v>
      </c>
      <c r="C15">
        <f t="shared" si="0"/>
        <v>11</v>
      </c>
      <c r="D15" t="s">
        <v>129</v>
      </c>
      <c r="E15">
        <v>1</v>
      </c>
      <c r="F15">
        <v>276</v>
      </c>
      <c r="G15" t="s">
        <v>29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248.5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46179.806114930558</v>
      </c>
      <c r="C16">
        <f t="shared" si="0"/>
        <v>12</v>
      </c>
      <c r="D16" t="s">
        <v>130</v>
      </c>
      <c r="E16">
        <v>1</v>
      </c>
      <c r="F16">
        <v>230</v>
      </c>
      <c r="G16" t="s">
        <v>29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207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46179.806114930558</v>
      </c>
      <c r="C17">
        <f t="shared" si="0"/>
        <v>13</v>
      </c>
      <c r="D17" t="s">
        <v>131</v>
      </c>
      <c r="E17">
        <v>1</v>
      </c>
      <c r="F17">
        <v>255</v>
      </c>
      <c r="G17" t="s">
        <v>29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229.5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46179.806114930558</v>
      </c>
      <c r="C18">
        <f t="shared" si="0"/>
        <v>14</v>
      </c>
      <c r="D18" t="s">
        <v>53</v>
      </c>
      <c r="E18">
        <v>1</v>
      </c>
      <c r="F18">
        <v>35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35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46179.806114930558</v>
      </c>
      <c r="C19">
        <f t="shared" si="0"/>
        <v>15</v>
      </c>
      <c r="D19" t="s">
        <v>134</v>
      </c>
      <c r="E19">
        <v>1</v>
      </c>
      <c r="F19">
        <v>190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190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132</v>
      </c>
      <c r="E20">
        <v>1</v>
      </c>
      <c r="F20">
        <v>190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190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>IF(ISNUMBER(E21), IF(ISNUMBER(C20), C20+1, 1), "")</f>
        <v>17</v>
      </c>
      <c r="D21" t="s">
        <v>133</v>
      </c>
      <c r="E21">
        <v>1</v>
      </c>
      <c r="F21">
        <v>190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190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135</v>
      </c>
      <c r="E22">
        <v>1</v>
      </c>
      <c r="F22">
        <v>23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23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18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12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46179.806114930558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46179.806114930558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46179.806114930558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46179.806114930558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46179.806114930558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46179.806114930558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46179.806114930558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46179.806114930558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46179.806114930558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46179.806114930558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46179.806114930558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46179.806114930558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46179.806114930558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46179.806114930558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20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21</v>
      </c>
      <c r="N26" s="14" t="s">
        <v>22</v>
      </c>
      <c r="O26" s="31" t="s">
        <v>23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9</v>
      </c>
      <c r="C3" t="s">
        <v>10</v>
      </c>
      <c r="D3" t="s">
        <v>11</v>
      </c>
    </row>
    <row r="4" spans="2:5" ht="30" x14ac:dyDescent="0.25">
      <c r="B4" s="4" t="s">
        <v>13</v>
      </c>
      <c r="C4" s="2">
        <v>45576</v>
      </c>
      <c r="D4" s="3">
        <v>1.1000000000000001</v>
      </c>
      <c r="E4" s="3"/>
    </row>
    <row r="5" spans="2:5" ht="45" x14ac:dyDescent="0.25">
      <c r="B5" s="7" t="s">
        <v>17</v>
      </c>
      <c r="C5" s="3" t="s">
        <v>14</v>
      </c>
      <c r="D5" s="3">
        <v>1.2</v>
      </c>
      <c r="E5" s="3"/>
    </row>
    <row r="6" spans="2:5" ht="30" x14ac:dyDescent="0.25">
      <c r="B6" s="7" t="s">
        <v>25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01-06-26</vt:lpstr>
      <vt:lpstr>Martes 02-06-26</vt:lpstr>
      <vt:lpstr>Miercoles 03-06-26</vt:lpstr>
      <vt:lpstr>Jueves 04-06-26</vt:lpstr>
      <vt:lpstr>Viernes 05-06-26</vt:lpstr>
      <vt:lpstr>Sabado 06-06-26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2026-06-07T01:24:47Z</dcterms:modified>
</cp:coreProperties>
</file>