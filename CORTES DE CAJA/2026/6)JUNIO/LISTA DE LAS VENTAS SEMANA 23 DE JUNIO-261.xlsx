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D56EDB9-8364-4E9E-B8FF-333E37282B23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8-06-26" sheetId="1" r:id="rId1"/>
    <sheet name="Martes 09-06-26" sheetId="2" r:id="rId2"/>
    <sheet name="Miercoles 10-06-26" sheetId="3" r:id="rId3"/>
    <sheet name="Jueves 11-06-26" sheetId="4" r:id="rId4"/>
    <sheet name="Viernes 11-06-26" sheetId="5" r:id="rId5"/>
    <sheet name="Sabado 13-06-26" sheetId="6" r:id="rId6"/>
    <sheet name="Domingo" sheetId="8" r:id="rId7"/>
    <sheet name="Cambios" sheetId="7" r:id="rId8"/>
  </sheets>
  <definedNames>
    <definedName name="_xlnm._FilterDatabase" localSheetId="0" hidden="1">'Lunes 08-06-26'!$B$4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4" l="1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<sst xmlns="http://schemas.openxmlformats.org/spreadsheetml/2006/main" count="306" uniqueCount="144">
  <si>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</si>
  <si>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</si>
  <si>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</si>
  <si>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</si>
  <si>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</si>
  <si>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</si>
  <si>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</si>
  <si>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</si>
  <si>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Miercoles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</si>
  <si>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</si>
  <si>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</si>
  <si>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</si>
  <si>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</si>
  <si>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</si>
  <si>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</si>
  <si>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</si>
  <si>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</si>
  <si>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</si>
  <si>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</si>
  <si>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</si>
  <si>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</si>
  <si>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</si>
  <si>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</si>
  <si>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</si>
  <si>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</si>
  <si>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</si>
  <si>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08 DE JUNIO-26</t>
  </si>
  <si>
    <t>FOCO STOP</t>
  </si>
  <si>
    <t>CAPUCHON DE BUJIA FT150</t>
  </si>
  <si>
    <t>CENTRIFUJOS DE DS150</t>
  </si>
  <si>
    <t>ACEITE MOTUL 7100-10W-40</t>
  </si>
  <si>
    <t>LEVA DE FRENO FT150</t>
  </si>
  <si>
    <t xml:space="preserve">SWUITH UNIVERSAL </t>
  </si>
  <si>
    <t>X</t>
  </si>
  <si>
    <t xml:space="preserve">LIQUIDO DE FRENO </t>
  </si>
  <si>
    <t>BALATA DE TAMBOR DS150 WAPEMEX</t>
  </si>
  <si>
    <t>BALERO 6204</t>
  </si>
  <si>
    <t>BALERO 6004</t>
  </si>
  <si>
    <t xml:space="preserve">JUNTA DE </t>
  </si>
  <si>
    <t>LLANTA 3.50.10</t>
  </si>
  <si>
    <t>FILTRO DE AIRE WS150 SPORT</t>
  </si>
  <si>
    <t>CAPUCHON DE BUJIA DS150</t>
  </si>
  <si>
    <t>TUBO MOVIL DS150</t>
  </si>
  <si>
    <t xml:space="preserve">ACEITE AKRON </t>
  </si>
  <si>
    <t>Martes 09-junio-26</t>
  </si>
  <si>
    <t>CARBURADOR DE DS150</t>
  </si>
  <si>
    <t xml:space="preserve">TORNILLOS </t>
  </si>
  <si>
    <t xml:space="preserve">ANTICONGELANTE </t>
  </si>
  <si>
    <t>PEDIDO MERCADO</t>
  </si>
  <si>
    <t xml:space="preserve">CHCICOTE DE CLUTH UNIVERSAL </t>
  </si>
  <si>
    <t>SWUITH DE TORNILLO UNIVERSAL</t>
  </si>
  <si>
    <t>JUNTA DE MOTRO DS150</t>
  </si>
  <si>
    <t>PEDIDO NASAKI</t>
  </si>
  <si>
    <t>FLECHA ATV</t>
  </si>
  <si>
    <t>MASA TRASERA DE ATV 150</t>
  </si>
  <si>
    <t xml:space="preserve">BALATA DE DISCO ATV </t>
  </si>
  <si>
    <t xml:space="preserve">ACEITE YAMALUME </t>
  </si>
  <si>
    <t>GOMAS DE IMPACTO HONDA CARGO</t>
  </si>
  <si>
    <t>PEDAL DE ARRANQUE DM200</t>
  </si>
  <si>
    <t xml:space="preserve">PILA DE YTX QLINK </t>
  </si>
  <si>
    <t>FILTRO DE AIRE DM200</t>
  </si>
  <si>
    <t>BUJIA C9</t>
  </si>
  <si>
    <t>ACEITE MOTUL 5000</t>
  </si>
  <si>
    <t>BUJIA D8</t>
  </si>
  <si>
    <t>FILTRO DE ACEI PULSAR 200NS</t>
  </si>
  <si>
    <t xml:space="preserve">CUENTA DE SEMANA PASADA $ 9081.5 MENOS PEDIDO DE MERCADO $ 428 QUEDA $ 8653.5 MENOS PEDIDO DE NASAKI $ 5263.5 </t>
  </si>
  <si>
    <t>BALATA DE TAMBOR DS150</t>
  </si>
  <si>
    <t>CLUTHTDE MOTONETA 175</t>
  </si>
  <si>
    <t xml:space="preserve">MANGUERA DE GASOLINA </t>
  </si>
  <si>
    <t>PEDIDO OSCAR</t>
  </si>
  <si>
    <t xml:space="preserve">ROLLO </t>
  </si>
  <si>
    <t>MR MOTO</t>
  </si>
  <si>
    <t>PILA 12N7 3B WAPEMEX</t>
  </si>
  <si>
    <t>ACEITE REPSOL</t>
  </si>
  <si>
    <t xml:space="preserve">FILTRO DE GASOLINA </t>
  </si>
  <si>
    <t>LLANTA 4.60.18</t>
  </si>
  <si>
    <t xml:space="preserve">SELENOIDE FT150 ITALIKA </t>
  </si>
  <si>
    <t>BALATA DE TAMBOR</t>
  </si>
  <si>
    <t>SEGURO DE CADENA 428</t>
  </si>
  <si>
    <t>CADENA 428X 126</t>
  </si>
  <si>
    <t>TORNILOS DE SPROKET</t>
  </si>
  <si>
    <t>FOCO H4 HALOGENO</t>
  </si>
  <si>
    <t xml:space="preserve">ARNES DE INTERMITENTE </t>
  </si>
  <si>
    <t>BOTON DE INTERMITENTE DS150</t>
  </si>
  <si>
    <t>LUBRICANTE  DE CADENA  AXPRO</t>
  </si>
  <si>
    <t xml:space="preserve">CUBREPUÑOS LED ROJOS </t>
  </si>
  <si>
    <t>DIRECCIONALES UNIVERSALES WAPEMEX</t>
  </si>
  <si>
    <t>SELLO DE ESCAPE FT150</t>
  </si>
  <si>
    <t xml:space="preserve">CUENTA DE AYER $ 5263.5 MENOS 5000 DE PEDIDO MR MOTO MENOS 66 DE ROLLO Y FABULOSO MENOS $ 197 DE PEDIDO DE OSCAR SE ACOMPLETO CON LO DE ESTA SEMANA PAS PAGAR LOS 1360 </t>
  </si>
  <si>
    <t>Jueves 11 DE JUNIO-26</t>
  </si>
  <si>
    <t>CAMARA 3.00.18</t>
  </si>
  <si>
    <t>CHICOTE DE ACELERADOR FZ16</t>
  </si>
  <si>
    <t xml:space="preserve">BALATA </t>
  </si>
  <si>
    <t xml:space="preserve">ACEITE YAMALUBE </t>
  </si>
  <si>
    <t>FILTRO DE ACEITE FZ16</t>
  </si>
  <si>
    <t>BALATA DE ATV</t>
  </si>
  <si>
    <t>BALATA DE TAMBOR CHICO</t>
  </si>
  <si>
    <t>FLASER DE FT150</t>
  </si>
  <si>
    <t>GOMAS DE RC200</t>
  </si>
  <si>
    <t>CDI DE DS150</t>
  </si>
  <si>
    <t>BUJIA C7</t>
  </si>
  <si>
    <t>CAPUCHON DE BUJIA C7</t>
  </si>
  <si>
    <t xml:space="preserve">FILTRO DE GASOLINA CARTON </t>
  </si>
  <si>
    <t>Viernes 11 DE JUNIO-26</t>
  </si>
  <si>
    <t>MERCADO</t>
  </si>
  <si>
    <t>MARTES 09 DE JUNIO-26</t>
  </si>
  <si>
    <t>P.NASAKI</t>
  </si>
  <si>
    <t>MIERCOLES 10 DE JUNIO-26</t>
  </si>
  <si>
    <t>P.OSCAR</t>
  </si>
  <si>
    <t>ROLLO</t>
  </si>
  <si>
    <t>PAGOYAS</t>
  </si>
  <si>
    <t>VIERNES 12 DE JUNIO-26</t>
  </si>
  <si>
    <t xml:space="preserve">TOTAL </t>
  </si>
  <si>
    <t xml:space="preserve">TOTAL DE EGRESOS </t>
  </si>
  <si>
    <t xml:space="preserve">ESPEJOS DE ALERON </t>
  </si>
  <si>
    <t xml:space="preserve">ESPEJOS DE MOTONETA ITALIKA </t>
  </si>
  <si>
    <t xml:space="preserve">MANIJAS DE LUJO </t>
  </si>
  <si>
    <t xml:space="preserve">PUÑOS ROJOS UNIVERSALES </t>
  </si>
  <si>
    <t>BOMBA DE ACEITE DM250 ITALIKA</t>
  </si>
  <si>
    <t>CAMARA 130 -70-17</t>
  </si>
  <si>
    <t>CHICOTE UNIVERSAL DE CLUTH</t>
  </si>
  <si>
    <t>STIKER</t>
  </si>
  <si>
    <t xml:space="preserve">CLAXON ALESSIA </t>
  </si>
  <si>
    <t>Sabado 13 DE JUNIO-26</t>
  </si>
  <si>
    <t>CALAVERA TRASERA DM200</t>
  </si>
  <si>
    <t>ESTATOR GTS175 ITALIKA</t>
  </si>
  <si>
    <t>FILTRO DE AIRE WS175 SPORT</t>
  </si>
  <si>
    <t>SWUITH UNIVERSALDE TORNILLO</t>
  </si>
  <si>
    <t>AUXILIARES LED DE LUPA</t>
  </si>
  <si>
    <t xml:space="preserve">FOCO LED </t>
  </si>
  <si>
    <t xml:space="preserve">TIRAS LED AZULES </t>
  </si>
  <si>
    <t>LLANAT 90-90-17</t>
  </si>
  <si>
    <t>CABLE NEGRO</t>
  </si>
  <si>
    <t>FLASER FT150</t>
  </si>
  <si>
    <t>DIRECCIONAL</t>
  </si>
  <si>
    <t>FILTRO DE AIRE WS150 SPORT ITALIKA</t>
  </si>
  <si>
    <t xml:space="preserve">LUBRICANTE DE CADENA LUBER </t>
  </si>
  <si>
    <t>CHICOTE DE CLUTH DM200</t>
  </si>
  <si>
    <t xml:space="preserve">CADENA REFORZADA CON ORING 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</si>
  <si>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08 DE JUNIO-26                       $9081.5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$ 1292                MENOS $ 11744   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09 DE JUNIO-26                    $ 0000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$ 4308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10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$ 3706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11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$ 848.5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12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$ 1548.5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 xml:space="preserve">TOTAL $11703
MENOS $ 2662.5 
QUEDA $ 9040.5  
TOTAL EN CAJA $ 9040.5 </t>
    </r>
  </si>
  <si>
    <t>ACEITE MOTUL 7100-10W40</t>
  </si>
  <si>
    <t>FOCO LED H4</t>
  </si>
  <si>
    <t xml:space="preserve">GOGLEES  BLANCOS </t>
  </si>
  <si>
    <r>
      <t xml:space="preserve">CUENTA DE HOY SABADO $ 3748 MENOS $ 300 DE PAGO DE YAS QUEDA $ 3448 MAS LO DE AYER EN CAJA 9040.5 
</t>
    </r>
    <r>
      <rPr>
        <b/>
        <sz val="22"/>
        <color theme="1"/>
        <rFont val="Calibri"/>
        <family val="2"/>
        <scheme val="minor"/>
      </rPr>
      <t xml:space="preserve">TOTAL EN CAJA $ 12488.5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</si>
</sst>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6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18</v>
      </c>
      <c r="K3" s="6">
        <f>SUM(Tabla1[Importa])</f>
        <v>1292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16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46186.800871296298</v>
      </c>
      <c r="C5">
        <f>IF(ISNUMBER(E5), IF(ISNUMBER(C4), C4+1, 1), "")</f>
        <v>1</v>
      </c>
      <c r="D5" t="s">
        <v>27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20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 t="shared" si="0"/>
        <v>3</v>
      </c>
      <c r="D7" t="s">
        <v>29</v>
      </c>
      <c r="E7">
        <v>1</v>
      </c>
      <c r="F7">
        <v>35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si="0"/>
        <v>4</v>
      </c>
      <c r="D8" t="s">
        <v>30</v>
      </c>
      <c r="E8">
        <v>1</v>
      </c>
      <c r="F8">
        <v>280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280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31</v>
      </c>
      <c r="E9">
        <v>1</v>
      </c>
      <c r="F9">
        <v>45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32</v>
      </c>
      <c r="E10">
        <v>1</v>
      </c>
      <c r="F10">
        <v>63</v>
      </c>
      <c r="G10" t="s">
        <v>33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34</v>
      </c>
      <c r="E11">
        <v>1</v>
      </c>
      <c r="F11">
        <v>55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55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35</v>
      </c>
      <c r="E12">
        <v>1</v>
      </c>
      <c r="F12">
        <v>70</v>
      </c>
      <c r="G12" t="s">
        <v>33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63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36</v>
      </c>
      <c r="E13">
        <v>1</v>
      </c>
      <c r="F13">
        <v>48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48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37</v>
      </c>
      <c r="E14">
        <v>1</v>
      </c>
      <c r="F14">
        <v>30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30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38</v>
      </c>
      <c r="E15">
        <v>1</v>
      </c>
      <c r="F15">
        <v>20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>
        <f t="shared" si="0"/>
        <v>12</v>
      </c>
      <c r="D16" t="s">
        <v>39</v>
      </c>
      <c r="E16">
        <v>1</v>
      </c>
      <c r="F16">
        <v>450</v>
      </c>
      <c r="G16" t="s">
        <v>33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405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>
        <f t="shared" si="0"/>
        <v>13</v>
      </c>
      <c r="D17" t="s">
        <v>40</v>
      </c>
      <c r="E17">
        <v>1</v>
      </c>
      <c r="F17">
        <v>54</v>
      </c>
      <c r="G17" t="s">
        <v>33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49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>
        <f t="shared" si="0"/>
        <v>14</v>
      </c>
      <c r="D18" t="s">
        <v>41</v>
      </c>
      <c r="E18">
        <v>1</v>
      </c>
      <c r="F18">
        <v>20</v>
      </c>
      <c r="G18" t="s">
        <v>33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>
        <f t="shared" si="0"/>
        <v>15</v>
      </c>
      <c r="D19" t="s">
        <v>42</v>
      </c>
      <c r="E19">
        <v>2</v>
      </c>
      <c r="F19">
        <v>15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>
        <f t="shared" si="0"/>
        <v>16</v>
      </c>
      <c r="D20" t="s">
        <v>43</v>
      </c>
      <c r="E20">
        <v>1</v>
      </c>
      <c r="F20">
        <v>123</v>
      </c>
      <c r="G20" t="s">
        <v>33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117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20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21</v>
      </c>
      <c r="N26" s="31"/>
      <c r="O26" s="14" t="s">
        <v>22</v>
      </c>
      <c r="P26" s="31" t="s">
        <v>23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K39" sqref="K3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SUM(Tabla110[Importa])</f>
        <v>4308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22</v>
      </c>
      <c r="M4" s="36" t="s">
        <v>65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46186.800871296298</v>
      </c>
      <c r="C5">
        <f t="shared" ref="C5:C68" si="0">IF(ISNUMBER(E5), IF(ISNUMBER(C4), C4+1, 1), "")</f>
        <v>1</v>
      </c>
      <c r="D5" t="s">
        <v>45</v>
      </c>
      <c r="E5">
        <v>1</v>
      </c>
      <c r="F5">
        <v>560</v>
      </c>
      <c r="G5" t="s">
        <v>33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504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 t="shared" si="0"/>
        <v>2</v>
      </c>
      <c r="D6" t="s">
        <v>46</v>
      </c>
      <c r="E6">
        <v>3</v>
      </c>
      <c r="F6">
        <v>6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 t="shared" si="0"/>
        <v>3</v>
      </c>
      <c r="D7" t="s">
        <v>47</v>
      </c>
      <c r="E7">
        <v>2</v>
      </c>
      <c r="F7">
        <v>40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80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si="0"/>
        <v>4</v>
      </c>
      <c r="D8" t="s">
        <v>49</v>
      </c>
      <c r="E8">
        <v>1</v>
      </c>
      <c r="F8">
        <v>15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50</v>
      </c>
      <c r="E9">
        <v>1</v>
      </c>
      <c r="F9">
        <v>70</v>
      </c>
      <c r="G9" t="s">
        <v>33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63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51</v>
      </c>
      <c r="E10">
        <v>1</v>
      </c>
      <c r="F10">
        <v>75</v>
      </c>
      <c r="G10" t="s">
        <v>33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67.5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53</v>
      </c>
      <c r="E11">
        <v>1</v>
      </c>
      <c r="F11">
        <v>1000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1000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54</v>
      </c>
      <c r="E12">
        <v>1</v>
      </c>
      <c r="F12">
        <v>390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390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54</v>
      </c>
      <c r="E13">
        <v>1</v>
      </c>
      <c r="F13">
        <v>390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390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55</v>
      </c>
      <c r="E14">
        <v>1</v>
      </c>
      <c r="F14">
        <v>42</v>
      </c>
      <c r="G14" t="s">
        <v>33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56</v>
      </c>
      <c r="E15">
        <v>1</v>
      </c>
      <c r="F15">
        <v>150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>
        <f t="shared" si="0"/>
        <v>12</v>
      </c>
      <c r="D16" t="s">
        <v>57</v>
      </c>
      <c r="E16">
        <v>1</v>
      </c>
      <c r="F16">
        <v>48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48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>
        <f t="shared" si="0"/>
        <v>13</v>
      </c>
      <c r="D17" t="s">
        <v>58</v>
      </c>
      <c r="E17">
        <v>1</v>
      </c>
      <c r="F17">
        <v>150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>
        <f t="shared" si="0"/>
        <v>14</v>
      </c>
      <c r="D18" t="s">
        <v>59</v>
      </c>
      <c r="E18">
        <v>1</v>
      </c>
      <c r="F18">
        <v>590</v>
      </c>
      <c r="G18" t="s">
        <v>33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531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>
        <f t="shared" si="0"/>
        <v>15</v>
      </c>
      <c r="D19" t="s">
        <v>60</v>
      </c>
      <c r="E19">
        <v>1</v>
      </c>
      <c r="F19">
        <v>71</v>
      </c>
      <c r="G19" t="s">
        <v>33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64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>
        <f t="shared" si="0"/>
        <v>16</v>
      </c>
      <c r="D20" t="s">
        <v>61</v>
      </c>
      <c r="E20">
        <v>2</v>
      </c>
      <c r="F20">
        <v>50</v>
      </c>
      <c r="G20" t="s">
        <v>33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90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62</v>
      </c>
      <c r="E21">
        <v>1</v>
      </c>
      <c r="F21">
        <v>232</v>
      </c>
      <c r="G21" t="s">
        <v>33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220.5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62</v>
      </c>
      <c r="E22">
        <v>1</v>
      </c>
      <c r="F22">
        <v>232</v>
      </c>
      <c r="G22" t="s">
        <v>33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220.5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63</v>
      </c>
      <c r="E23">
        <v>1</v>
      </c>
      <c r="F23">
        <v>50</v>
      </c>
      <c r="G23" t="s">
        <v>33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45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43</v>
      </c>
      <c r="E24">
        <v>1</v>
      </c>
      <c r="F24">
        <v>123</v>
      </c>
      <c r="G24" t="s">
        <v>33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117</v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64</v>
      </c>
      <c r="E25">
        <v>1</v>
      </c>
      <c r="F25">
        <v>48</v>
      </c>
      <c r="G25" t="s">
        <v>33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43.5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66</v>
      </c>
      <c r="E26">
        <v>1</v>
      </c>
      <c r="F26">
        <v>70</v>
      </c>
      <c r="G26" t="s">
        <v>33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63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48</v>
      </c>
      <c r="N27" s="15">
        <v>428</v>
      </c>
      <c r="O27" s="39"/>
      <c r="P27" s="40"/>
      <c r="Q27" s="40"/>
      <c r="R27" s="41"/>
    </row>
    <row r="28" spans="2:18" ht="30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52</v>
      </c>
      <c r="N28" s="15">
        <v>3390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SUM(Tabla111[Importa])</f>
        <v>3706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22</v>
      </c>
      <c r="M4" s="36" t="s">
        <v>88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46186.800871296298</v>
      </c>
      <c r="C5">
        <f>IF(ISNUMBER(E5), IF(ISNUMBER(C4), C4+1, 1), "")</f>
        <v>1</v>
      </c>
      <c r="D5" t="s">
        <v>67</v>
      </c>
      <c r="E5">
        <v>1</v>
      </c>
      <c r="F5">
        <v>700</v>
      </c>
      <c r="G5" t="s">
        <v>33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630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>IF(ISNUMBER(E6), IF(ISNUMBER(C5), C5+1, 1), "")</f>
        <v>2</v>
      </c>
      <c r="D6" t="s">
        <v>40</v>
      </c>
      <c r="E6">
        <v>1</v>
      </c>
      <c r="F6">
        <v>70</v>
      </c>
      <c r="G6" t="s">
        <v>33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63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>IF(ISNUMBER(E7), IF(ISNUMBER(C6), C6+1, 1), "")</f>
        <v>3</v>
      </c>
      <c r="D7" t="s">
        <v>68</v>
      </c>
      <c r="E7">
        <v>1</v>
      </c>
      <c r="F7">
        <v>15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ref="C8:C68" si="0">IF(ISNUMBER(E8), IF(ISNUMBER(C7), C7+1, 1), "")</f>
        <v>4</v>
      </c>
      <c r="D8" t="s">
        <v>72</v>
      </c>
      <c r="E8">
        <v>1</v>
      </c>
      <c r="F8">
        <v>580</v>
      </c>
      <c r="G8" t="s">
        <v>33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522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73</v>
      </c>
      <c r="E9">
        <v>1</v>
      </c>
      <c r="F9">
        <v>147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147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73</v>
      </c>
      <c r="E10">
        <v>1</v>
      </c>
      <c r="F10">
        <v>147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147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74</v>
      </c>
      <c r="E11">
        <v>1</v>
      </c>
      <c r="F11">
        <v>20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60</v>
      </c>
      <c r="E12">
        <v>1</v>
      </c>
      <c r="F12">
        <v>71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71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63</v>
      </c>
      <c r="E13">
        <v>1</v>
      </c>
      <c r="F13">
        <v>50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75</v>
      </c>
      <c r="E14">
        <v>1</v>
      </c>
      <c r="F14">
        <v>950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950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76</v>
      </c>
      <c r="E15">
        <v>1</v>
      </c>
      <c r="F15">
        <v>180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180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>
        <f t="shared" si="0"/>
        <v>12</v>
      </c>
      <c r="D16" t="s">
        <v>77</v>
      </c>
      <c r="E16">
        <v>1</v>
      </c>
      <c r="F16">
        <v>65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65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>
        <f t="shared" si="0"/>
        <v>13</v>
      </c>
      <c r="D17" t="s">
        <v>78</v>
      </c>
      <c r="E17">
        <v>1</v>
      </c>
      <c r="F17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>
        <f t="shared" si="0"/>
        <v>14</v>
      </c>
      <c r="D18" t="s">
        <v>79</v>
      </c>
      <c r="E18">
        <v>1</v>
      </c>
      <c r="F18">
        <v>185</v>
      </c>
      <c r="G18" t="s">
        <v>33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166.5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>
        <f t="shared" si="0"/>
        <v>15</v>
      </c>
      <c r="D19" t="s">
        <v>80</v>
      </c>
      <c r="E19">
        <v>1</v>
      </c>
      <c r="F19">
        <v>24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>
        <f t="shared" si="0"/>
        <v>16</v>
      </c>
      <c r="D20" t="s">
        <v>81</v>
      </c>
      <c r="E20">
        <v>1</v>
      </c>
      <c r="F20">
        <v>40</v>
      </c>
      <c r="G20" t="s">
        <v>33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36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82</v>
      </c>
      <c r="E21">
        <v>1</v>
      </c>
      <c r="F21">
        <v>14</v>
      </c>
      <c r="G21" t="s">
        <v>33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13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83</v>
      </c>
      <c r="E22">
        <v>1</v>
      </c>
      <c r="F22">
        <v>15</v>
      </c>
      <c r="G22" t="s">
        <v>33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13.5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84</v>
      </c>
      <c r="E23">
        <v>1</v>
      </c>
      <c r="F23">
        <v>125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125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85</v>
      </c>
      <c r="E24">
        <v>1</v>
      </c>
      <c r="F24">
        <v>320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320</v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86</v>
      </c>
      <c r="E25">
        <v>1</v>
      </c>
      <c r="F25">
        <v>110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110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87</v>
      </c>
      <c r="E26">
        <v>1</v>
      </c>
      <c r="F26">
        <v>10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10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69</v>
      </c>
      <c r="N27" s="15">
        <v>1360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70</v>
      </c>
      <c r="N28" s="15">
        <v>66</v>
      </c>
      <c r="O28" s="39"/>
      <c r="P28" s="40"/>
      <c r="Q28" s="40"/>
      <c r="R28" s="41"/>
    </row>
    <row r="29" spans="2:18" ht="30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 t="s">
        <v>71</v>
      </c>
      <c r="N29" s="15">
        <v>5000</v>
      </c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topLeftCell="A2"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SUM(Tabla112[Importa])</f>
        <v>848.5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14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46186.800871296298</v>
      </c>
      <c r="C5">
        <f t="shared" ref="C5:C68" si="0">IF(ISNUMBER(E5), IF(ISNUMBER(C4), C4+1, 1), "")</f>
        <v>1</v>
      </c>
      <c r="D5" t="s">
        <v>90</v>
      </c>
      <c r="E5">
        <v>1</v>
      </c>
      <c r="F5">
        <v>65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65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 t="shared" si="0"/>
        <v>2</v>
      </c>
      <c r="D6" t="s">
        <v>91</v>
      </c>
      <c r="E6">
        <v>1</v>
      </c>
      <c r="F6">
        <v>54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54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 t="shared" si="0"/>
        <v>3</v>
      </c>
      <c r="D7" t="s">
        <v>92</v>
      </c>
      <c r="E7">
        <v>1</v>
      </c>
      <c r="F7">
        <v>70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si="0"/>
        <v>4</v>
      </c>
      <c r="D8" t="s">
        <v>93</v>
      </c>
      <c r="E8">
        <v>1</v>
      </c>
      <c r="F8">
        <v>150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150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94</v>
      </c>
      <c r="E9">
        <v>1</v>
      </c>
      <c r="F9">
        <v>32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32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95</v>
      </c>
      <c r="E10">
        <v>1</v>
      </c>
      <c r="F10">
        <v>42</v>
      </c>
      <c r="G10" t="s">
        <v>33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38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96</v>
      </c>
      <c r="E11">
        <v>1</v>
      </c>
      <c r="F11">
        <v>65</v>
      </c>
      <c r="G11" t="s">
        <v>33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97</v>
      </c>
      <c r="E12">
        <v>1</v>
      </c>
      <c r="F12">
        <v>25</v>
      </c>
      <c r="G12" t="s">
        <v>33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22.5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98</v>
      </c>
      <c r="E13">
        <v>1</v>
      </c>
      <c r="F13">
        <v>70</v>
      </c>
      <c r="G13" t="s">
        <v>33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63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99</v>
      </c>
      <c r="E14">
        <v>1</v>
      </c>
      <c r="F14">
        <v>75</v>
      </c>
      <c r="G14" t="s">
        <v>33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67.5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100</v>
      </c>
      <c r="E15">
        <v>1</v>
      </c>
      <c r="F15">
        <v>50</v>
      </c>
      <c r="G15" t="s">
        <v>33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>
        <f t="shared" si="0"/>
        <v>12</v>
      </c>
      <c r="D16" t="s">
        <v>101</v>
      </c>
      <c r="E16">
        <v>1</v>
      </c>
      <c r="F16">
        <v>20</v>
      </c>
      <c r="G16" t="s">
        <v>33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>
        <f t="shared" si="0"/>
        <v>13</v>
      </c>
      <c r="D17" t="s">
        <v>93</v>
      </c>
      <c r="E17">
        <v>1</v>
      </c>
      <c r="F17">
        <v>150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>
        <f t="shared" si="0"/>
        <v>14</v>
      </c>
      <c r="D18" t="s">
        <v>102</v>
      </c>
      <c r="E18">
        <v>1</v>
      </c>
      <c r="F18">
        <v>15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SUM(Tabla113[Importa])</f>
        <v>1548.5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11</v>
      </c>
      <c r="M4" s="36" t="s">
        <v>139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46186.800871296298</v>
      </c>
      <c r="C5">
        <f t="shared" ref="C5:C68" si="0">IF(ISNUMBER(E5), IF(ISNUMBER(C4), C4+1, 1), "")</f>
        <v>1</v>
      </c>
      <c r="D5" t="s">
        <v>114</v>
      </c>
      <c r="E5">
        <v>1</v>
      </c>
      <c r="F5">
        <v>297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297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 t="shared" si="0"/>
        <v>2</v>
      </c>
      <c r="D6" t="s">
        <v>115</v>
      </c>
      <c r="E6">
        <v>1</v>
      </c>
      <c r="F6">
        <v>170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170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 t="shared" si="0"/>
        <v>3</v>
      </c>
      <c r="D7" t="s">
        <v>93</v>
      </c>
      <c r="E7">
        <v>1</v>
      </c>
      <c r="F7">
        <v>150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si="0"/>
        <v>4</v>
      </c>
      <c r="D8" t="s">
        <v>116</v>
      </c>
      <c r="E8">
        <v>1</v>
      </c>
      <c r="F8">
        <v>380</v>
      </c>
      <c r="G8" t="s">
        <v>33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117</v>
      </c>
      <c r="E9">
        <v>1</v>
      </c>
      <c r="F9">
        <v>95</v>
      </c>
      <c r="G9" t="s">
        <v>33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85.5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118</v>
      </c>
      <c r="E10">
        <v>1</v>
      </c>
      <c r="F10">
        <v>285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285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63</v>
      </c>
      <c r="E11">
        <v>1</v>
      </c>
      <c r="F11">
        <v>50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119</v>
      </c>
      <c r="E12">
        <v>1</v>
      </c>
      <c r="F12">
        <v>99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99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120</v>
      </c>
      <c r="E13">
        <v>1</v>
      </c>
      <c r="F13">
        <v>15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121</v>
      </c>
      <c r="E14">
        <v>2</v>
      </c>
      <c r="F14">
        <v>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122</v>
      </c>
      <c r="E15">
        <v>1</v>
      </c>
      <c r="F15">
        <v>50</v>
      </c>
      <c r="G15" t="s">
        <v>33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104</v>
      </c>
      <c r="N27" s="15">
        <v>428</v>
      </c>
      <c r="O27" s="39" t="s">
        <v>105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106</v>
      </c>
      <c r="N28" s="15">
        <v>3390</v>
      </c>
      <c r="O28" s="39" t="s">
        <v>105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108</v>
      </c>
      <c r="N29" s="15">
        <v>1360</v>
      </c>
      <c r="O29" s="39" t="s">
        <v>107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109</v>
      </c>
      <c r="N30" s="15">
        <v>66</v>
      </c>
      <c r="O30" s="39" t="s">
        <v>107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71</v>
      </c>
      <c r="N31" s="15">
        <v>5000</v>
      </c>
      <c r="O31" s="39" t="s">
        <v>107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110</v>
      </c>
      <c r="N32" s="15">
        <v>1500</v>
      </c>
      <c r="O32" s="39" t="s">
        <v>111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112</v>
      </c>
      <c r="N33" s="15">
        <v>11744</v>
      </c>
      <c r="O33" s="39" t="s">
        <v>113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123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SUM(Tabla114[Importa])</f>
        <v>3748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21</v>
      </c>
      <c r="M4" s="36" t="s">
        <v>143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46186.800871296298</v>
      </c>
      <c r="C5">
        <f t="shared" ref="C5:C68" si="0">IF(ISNUMBER(E5), IF(ISNUMBER(C4), C4+1, 1), "")</f>
        <v>1</v>
      </c>
      <c r="D5" t="s">
        <v>124</v>
      </c>
      <c r="E5">
        <v>1</v>
      </c>
      <c r="F5">
        <v>110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110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>
        <f t="shared" si="0"/>
        <v>2</v>
      </c>
      <c r="D6" t="s">
        <v>125</v>
      </c>
      <c r="E6">
        <v>1</v>
      </c>
      <c r="F6">
        <v>520</v>
      </c>
      <c r="G6" t="s">
        <v>33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468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>
        <f t="shared" si="0"/>
        <v>3</v>
      </c>
      <c r="D7" t="s">
        <v>126</v>
      </c>
      <c r="E7">
        <v>1</v>
      </c>
      <c r="F7">
        <v>54</v>
      </c>
      <c r="G7" t="s">
        <v>33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>
        <f t="shared" si="0"/>
        <v>4</v>
      </c>
      <c r="D8" t="s">
        <v>127</v>
      </c>
      <c r="E8">
        <v>1</v>
      </c>
      <c r="F8">
        <v>70</v>
      </c>
      <c r="G8" t="s">
        <v>33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>
        <f t="shared" si="0"/>
        <v>5</v>
      </c>
      <c r="D9" t="s">
        <v>128</v>
      </c>
      <c r="E9">
        <v>1</v>
      </c>
      <c r="F9">
        <v>200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>
        <f t="shared" si="0"/>
        <v>6</v>
      </c>
      <c r="D10" t="s">
        <v>129</v>
      </c>
      <c r="E10">
        <v>1</v>
      </c>
      <c r="F10">
        <v>90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>
        <f t="shared" si="0"/>
        <v>7</v>
      </c>
      <c r="D11" t="s">
        <v>130</v>
      </c>
      <c r="E11">
        <v>1</v>
      </c>
      <c r="F11">
        <v>3</v>
      </c>
      <c r="G11">
        <v>15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>
        <f t="shared" si="0"/>
        <v>8</v>
      </c>
      <c r="D12" t="s">
        <v>131</v>
      </c>
      <c r="E12">
        <v>1</v>
      </c>
      <c r="F12">
        <v>650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650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>
        <f t="shared" si="0"/>
        <v>9</v>
      </c>
      <c r="D13" t="s">
        <v>91</v>
      </c>
      <c r="E13">
        <v>1</v>
      </c>
      <c r="F13">
        <v>50</v>
      </c>
      <c r="G13" t="s">
        <v>33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>
        <f t="shared" si="0"/>
        <v>10</v>
      </c>
      <c r="D14" t="s">
        <v>43</v>
      </c>
      <c r="E14">
        <v>1</v>
      </c>
      <c r="F14">
        <v>130</v>
      </c>
      <c r="G14" t="s">
        <v>33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123.5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>
        <f t="shared" si="0"/>
        <v>11</v>
      </c>
      <c r="D15" t="s">
        <v>132</v>
      </c>
      <c r="E15">
        <v>2</v>
      </c>
      <c r="F15">
        <v>12</v>
      </c>
      <c r="G15" t="s">
        <v>33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>
        <f t="shared" si="0"/>
        <v>12</v>
      </c>
      <c r="D16" t="s">
        <v>133</v>
      </c>
      <c r="E16">
        <v>1</v>
      </c>
      <c r="F16">
        <v>25</v>
      </c>
      <c r="G16" t="s">
        <v>33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22.5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>
        <f t="shared" si="0"/>
        <v>13</v>
      </c>
      <c r="D17" t="s">
        <v>134</v>
      </c>
      <c r="E17">
        <v>1</v>
      </c>
      <c r="F17">
        <v>120</v>
      </c>
      <c r="G17" t="s">
        <v>33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108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>
        <f t="shared" si="0"/>
        <v>14</v>
      </c>
      <c r="D18" t="s">
        <v>43</v>
      </c>
      <c r="E18">
        <v>1</v>
      </c>
      <c r="F18">
        <v>130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130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>
        <f t="shared" si="0"/>
        <v>15</v>
      </c>
      <c r="D19" t="s">
        <v>135</v>
      </c>
      <c r="E19">
        <v>1</v>
      </c>
      <c r="F19">
        <v>70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70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>
        <f t="shared" si="0"/>
        <v>16</v>
      </c>
      <c r="D20" t="s">
        <v>136</v>
      </c>
      <c r="E20">
        <v>1</v>
      </c>
      <c r="F20">
        <v>90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90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137</v>
      </c>
      <c r="E21">
        <v>1</v>
      </c>
      <c r="F21">
        <v>45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138</v>
      </c>
      <c r="E22">
        <v>1</v>
      </c>
      <c r="F22">
        <v>799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799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140</v>
      </c>
      <c r="E23">
        <v>1</v>
      </c>
      <c r="F23">
        <v>320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320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141</v>
      </c>
      <c r="E24">
        <v>1</v>
      </c>
      <c r="F24">
        <v>150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150</v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142</v>
      </c>
      <c r="E25">
        <v>1</v>
      </c>
      <c r="F25">
        <v>190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190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46186.800871296298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46186.800871296298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46186.800871296298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46186.800871296298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46186.800871296298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46186.800871296298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46186.800871296298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46186.800871296298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46186.800871296298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46186.800871296298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46186.800871296298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46186.800871296298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46186.800871296298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46186.800871296298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46186.800871296298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08-06-26</vt:lpstr>
      <vt:lpstr>Martes 09-06-26</vt:lpstr>
      <vt:lpstr>Miercoles 10-06-26</vt:lpstr>
      <vt:lpstr>Jueves 11-06-26</vt:lpstr>
      <vt:lpstr>Viernes 11-06-26</vt:lpstr>
      <vt:lpstr>Sabado 13-06-26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2026-06-14T01:14:51Z</dcterms:modified>
</cp:coreProperties>
</file>