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A21D3CC-1B9D-407F-B00B-6F9374C1377E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2-06-26" sheetId="1" r:id="rId1"/>
    <sheet name="Martes 23-06-26" sheetId="2" r:id="rId2"/>
    <sheet name="Miercoles 24-06-26" sheetId="3" r:id="rId3"/>
    <sheet name="Jueves 25-06-26" sheetId="4" r:id="rId4"/>
    <sheet name="Viernes 26-06-26" sheetId="5" r:id="rId5"/>
    <sheet name="Sabado 27-06-26" sheetId="6" r:id="rId6"/>
    <sheet name="Domingo" sheetId="8" r:id="rId7"/>
    <sheet name="Cambios" sheetId="7" r:id="rId8"/>
  </sheets>
  <definedNames>
    <definedName name="_xlnm._FilterDatabase" localSheetId="0" hidden="1">'Lunes 22-06-26'!$B$4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4" i="6"/>
  <c r="C25" i="6" s="1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<sst xmlns="http://schemas.openxmlformats.org/spreadsheetml/2006/main" count="325" uniqueCount="142">
  <si>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</si>
  <si>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</si>
  <si>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</si>
  <si>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</si>
  <si>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</si>
  <si>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</si>
  <si>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</si>
  <si>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</si>
  <si>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</si>
  <si>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</si>
  <si>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</si>
  <si>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</si>
  <si>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</si>
  <si>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</si>
  <si>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</si>
  <si>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</si>
  <si>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</si>
  <si>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</si>
  <si>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</si>
  <si>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</si>
  <si>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</si>
  <si>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</si>
  <si>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</si>
  <si>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</si>
  <si>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</si>
  <si>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22 DE JUNIO-26</t>
  </si>
  <si>
    <t>CHICOTE DE ACELERAQDOR YBR125</t>
  </si>
  <si>
    <t>ACEITE LUBER</t>
  </si>
  <si>
    <t>X</t>
  </si>
  <si>
    <t>LIMPIADOR DE CARBURADOR AXPRO</t>
  </si>
  <si>
    <t xml:space="preserve">MEDIA LUNA </t>
  </si>
  <si>
    <t>BUJIA D8</t>
  </si>
  <si>
    <t>SELLO DE ESCAPE</t>
  </si>
  <si>
    <t xml:space="preserve">ARNES H6 </t>
  </si>
  <si>
    <t>RESORTES DE DT150</t>
  </si>
  <si>
    <t xml:space="preserve">COPLE PARA MOFLE </t>
  </si>
  <si>
    <t>ESPEJOS DE 170Z</t>
  </si>
  <si>
    <t xml:space="preserve">PEDAL DE CAMBIOS 250Z </t>
  </si>
  <si>
    <t>PIPETA DE CARBURADOR 170Z</t>
  </si>
  <si>
    <t xml:space="preserve">CONTRAPESO </t>
  </si>
  <si>
    <t>GOMAS DE IMPACTO RC200</t>
  </si>
  <si>
    <t>SALPICADERA DE 150Z</t>
  </si>
  <si>
    <t>JUNTA DERECHA FT150</t>
  </si>
  <si>
    <t xml:space="preserve">TUERCA </t>
  </si>
  <si>
    <t>SWUITH DE FT150</t>
  </si>
  <si>
    <t>ACEITE AKRON</t>
  </si>
  <si>
    <t>RED DE CASCO</t>
  </si>
  <si>
    <t>BALATA DE TAMBOR DS150 WAPEMEX</t>
  </si>
  <si>
    <t xml:space="preserve">MANIJA IZQUIERDA SZ150 </t>
  </si>
  <si>
    <t>PILA 12N7 -3B QLINK</t>
  </si>
  <si>
    <t xml:space="preserve">FARO UNIVERSAL CON REDILLAS </t>
  </si>
  <si>
    <t>CDI FT150</t>
  </si>
  <si>
    <t>CAPUCHON DE BUJIA FT150</t>
  </si>
  <si>
    <t>EJE DE CAMBIO 250Z</t>
  </si>
  <si>
    <t>BUJIA C7</t>
  </si>
  <si>
    <t xml:space="preserve">FILTRO DE AIRE WS150 ITALIKA </t>
  </si>
  <si>
    <t>EJE TRASERO 125Z</t>
  </si>
  <si>
    <t>CUENTA DE SEMANA PASADA $ 22377 MENOS $ 1411 DE ACEITE AKRON QUEDA $ 20966</t>
  </si>
  <si>
    <t>Martes 23 DE JUNIO-26</t>
  </si>
  <si>
    <t xml:space="preserve">ACEITE AKRON </t>
  </si>
  <si>
    <t>ACEITE REPSOL</t>
  </si>
  <si>
    <t xml:space="preserve">FILTRO DE GASOLINA CARTON </t>
  </si>
  <si>
    <t>BALATA DE DISCO DS150</t>
  </si>
  <si>
    <t>ACEITE YAMALIUBE</t>
  </si>
  <si>
    <t>FILTRO DE ACEITE FZ16</t>
  </si>
  <si>
    <t>CHCICOTE DE CLUTH DM150</t>
  </si>
  <si>
    <t xml:space="preserve">CADENA 520 REFORZADA CON ORING </t>
  </si>
  <si>
    <t>BUJIA C9</t>
  </si>
  <si>
    <t>BALATA DE DICO DS150</t>
  </si>
  <si>
    <t>PEDIDO NASAKI</t>
  </si>
  <si>
    <t xml:space="preserve">TAPON DE CARTEL </t>
  </si>
  <si>
    <t xml:space="preserve">CUENTA DE AYER $ 20966 MENOS $ 4259 DE PEDIDO DE NASAKI QUEDA $ 16707 </t>
  </si>
  <si>
    <t>Miercoles 24 DE JUNIO -26</t>
  </si>
  <si>
    <t>LUBRICANTED E CADENA LUBER</t>
  </si>
  <si>
    <t>ACEITE MOTUL 3000</t>
  </si>
  <si>
    <t>FILTRO DE ACEITE VORTEX 250</t>
  </si>
  <si>
    <t xml:space="preserve">DIRECCIONAL UNIVERSAL </t>
  </si>
  <si>
    <t xml:space="preserve">TERMINAL DE BACTERIA </t>
  </si>
  <si>
    <t xml:space="preserve">ACEITE REPSOL </t>
  </si>
  <si>
    <t xml:space="preserve">CHCICOTE DE CLUTH UNIVERSAL </t>
  </si>
  <si>
    <t>BIRLOS DE FT150</t>
  </si>
  <si>
    <t>ROTULA INFERIOR ATV ITALIKA</t>
  </si>
  <si>
    <t xml:space="preserve">SWITH DE PRESION </t>
  </si>
  <si>
    <t>PORTA FUSIBLE</t>
  </si>
  <si>
    <t>Jueves 25 DE JUNIO-26</t>
  </si>
  <si>
    <t>PIPETA DE CARBUARDOR FT250 ITALIKA</t>
  </si>
  <si>
    <t>TAZAS DE DIRECCION FT150</t>
  </si>
  <si>
    <t xml:space="preserve">CADENA 428 X 136 ITALIKA </t>
  </si>
  <si>
    <t>AJUSTADOR DE CADENA FT125 WAPEMEX</t>
  </si>
  <si>
    <t>SELLO DE ESCAPE FT150</t>
  </si>
  <si>
    <t>ROTULA INFERIOR</t>
  </si>
  <si>
    <t xml:space="preserve">ROTULA INFERIOR </t>
  </si>
  <si>
    <t>RETEN DE BARRAS FT150</t>
  </si>
  <si>
    <t xml:space="preserve">CANDADO CON ALARMA </t>
  </si>
  <si>
    <t xml:space="preserve">FUNDA PARA CUBRIR LA MOTO </t>
  </si>
  <si>
    <t>TAPON DE GASOLINA FT150</t>
  </si>
  <si>
    <t>x</t>
  </si>
  <si>
    <t>Viernes 26 DE JUNIO-26</t>
  </si>
  <si>
    <t>AKRON</t>
  </si>
  <si>
    <t>P.NASAKI</t>
  </si>
  <si>
    <t>PAGOYAS</t>
  </si>
  <si>
    <t>LUNES 22 DE JUNIO-26</t>
  </si>
  <si>
    <t>MARTES 23DE JUNIO-26</t>
  </si>
  <si>
    <t>VIERNES 26 DE JUNIO-26</t>
  </si>
  <si>
    <t>SALPICADERA DE FT125</t>
  </si>
  <si>
    <t xml:space="preserve">TORNILLOS </t>
  </si>
  <si>
    <t>STIKER</t>
  </si>
  <si>
    <t>TOTAL</t>
  </si>
  <si>
    <t xml:space="preserve">TOTAL DE EGRESOS </t>
  </si>
  <si>
    <t>AUXILIARES  LUPA</t>
  </si>
  <si>
    <t xml:space="preserve">SWUITH UNIVERSAL </t>
  </si>
  <si>
    <t>CALIPER DM200</t>
  </si>
  <si>
    <t>FILTRO DE AIRE PULSAR 200NS</t>
  </si>
  <si>
    <t>BUJIA DE IRIDIUM</t>
  </si>
  <si>
    <t xml:space="preserve">POSAPOIE  UNIVERSAL </t>
  </si>
  <si>
    <t>MOTUL 7100 20W-50</t>
  </si>
  <si>
    <r>
      <rPr>
        <b/>
        <sz val="14"/>
        <color theme="1"/>
        <rFont val="Calibri"/>
        <family val="2"/>
        <scheme val="minor"/>
      </rPr>
      <t xml:space="preserve">CORTES DE LA SEMANA  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22 DE JUNIO-26                    $ 22377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$ 3310            MENOS $ 7170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23 DE JUNIO-26               $ 15207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$ 1729.5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24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$ 1550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25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$ 1836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26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$ 1932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TOTAL $ 10357.5 
TOTAL EN CAJA $ 25564.5</t>
    </r>
  </si>
  <si>
    <t>Sabado 27 DE JUNIO-26</t>
  </si>
  <si>
    <t>LUBRICANTE DE CADENA LUBER</t>
  </si>
  <si>
    <t>ABRAZADERA DE MANGUERA</t>
  </si>
  <si>
    <t xml:space="preserve">GUANTES ROJOS </t>
  </si>
  <si>
    <t xml:space="preserve">LIQUIDO DE FRENOS </t>
  </si>
  <si>
    <t>KID DE ARRASTRE DM200</t>
  </si>
  <si>
    <t>CADENA 428 X 136</t>
  </si>
  <si>
    <t>SPROKET DE AT110</t>
  </si>
  <si>
    <t>BANDA 835-20-30</t>
  </si>
  <si>
    <t xml:space="preserve">AORCADORES DE CLUTH UNIVERSAL </t>
  </si>
  <si>
    <t>ESPEJOS DE 170Z ITALIKA</t>
  </si>
  <si>
    <t>CHICOTE DE ACELERADOR UNIVERSAL</t>
  </si>
  <si>
    <t xml:space="preserve">CHICOTE DE CLUTH UNIUVERSAL </t>
  </si>
  <si>
    <t>BALATA DE DISCO DS150 NASAKI</t>
  </si>
  <si>
    <t>SWUITH DE 250Z</t>
  </si>
  <si>
    <t>PEDAL DE CAMBIOS 150Z</t>
  </si>
  <si>
    <t>MANIJA IZQUIERDA 150Z WAPEMEX</t>
  </si>
  <si>
    <t>WAPEMEX</t>
  </si>
  <si>
    <t>CAPUCHON DE BUJIA DE FT150</t>
  </si>
  <si>
    <t xml:space="preserve">GUANTES NEGROS </t>
  </si>
  <si>
    <t>TORNILLO</t>
  </si>
  <si>
    <t>CAMARA 3.00.17</t>
  </si>
  <si>
    <t xml:space="preserve">GUANTES AZULES </t>
  </si>
  <si>
    <t xml:space="preserve">CHICOTE DE CLUTH UNIVERSAL </t>
  </si>
  <si>
    <r>
      <t xml:space="preserve">CUENTA DE AYER $ 25564.5 MENOS $ 5160 QUEDA </t>
    </r>
    <r>
      <rPr>
        <b/>
        <sz val="16"/>
        <color rgb="FFFF0000"/>
        <rFont val="Calibri"/>
        <family val="2"/>
        <scheme val="minor"/>
      </rPr>
      <t xml:space="preserve">$ 20404.5 
</t>
    </r>
    <r>
      <rPr>
        <b/>
        <sz val="16"/>
        <color theme="1"/>
        <rFont val="Calibri"/>
        <family val="2"/>
        <scheme val="minor"/>
      </rPr>
      <t xml:space="preserve">CUENTA DE HOY SABADO$ 3002 MENOS $ 300 DE PAGO DE YAS QUEDA $ 2702 MAS LO DE CAJA $ 20404.5 
TOTAL EN CAJA $ 23106.5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</si>
</sst>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4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14" fillId="4" borderId="0" xfId="0" applyFont="1" applyFill="1" applyAlignment="1">
      <alignment horizontal="left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7" sqref="D3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3310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32</v>
      </c>
      <c r="M4" s="36" t="s">
        <v>57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46202.761779398148</v>
      </c>
      <c r="C5">
        <f>IF(ISNUMBER(E5), IF(ISNUMBER(C4), C4+1, 1), "")</f>
        <v>1</v>
      </c>
      <c r="D5" t="s">
        <v>26</v>
      </c>
      <c r="E5">
        <v>1</v>
      </c>
      <c r="F5">
        <v>90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46202.761779398148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90</v>
      </c>
      <c r="G6" t="s">
        <v>28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85.5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46202.761779398148</v>
      </c>
      <c r="C7">
        <f t="shared" si="0"/>
        <v>3</v>
      </c>
      <c r="D7" t="s">
        <v>29</v>
      </c>
      <c r="E7">
        <v>1</v>
      </c>
      <c r="F7">
        <v>75</v>
      </c>
      <c r="G7" t="s">
        <v>28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67.5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46202.761779398148</v>
      </c>
      <c r="C8">
        <f t="shared" si="0"/>
        <v>4</v>
      </c>
      <c r="D8" t="s">
        <v>30</v>
      </c>
      <c r="E8">
        <v>1</v>
      </c>
      <c r="F8">
        <v>30</v>
      </c>
      <c r="G8" t="s">
        <v>28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27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46202.761779398148</v>
      </c>
      <c r="C9">
        <f t="shared" si="0"/>
        <v>5</v>
      </c>
      <c r="D9" t="s">
        <v>31</v>
      </c>
      <c r="E9">
        <v>1</v>
      </c>
      <c r="F9">
        <v>50</v>
      </c>
      <c r="G9" t="s">
        <v>28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45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46202.761779398148</v>
      </c>
      <c r="C10">
        <f t="shared" si="0"/>
        <v>6</v>
      </c>
      <c r="D10" t="s">
        <v>32</v>
      </c>
      <c r="E10">
        <v>1</v>
      </c>
      <c r="F10">
        <v>10</v>
      </c>
      <c r="G10" t="s">
        <v>28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9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46202.761779398148</v>
      </c>
      <c r="C11">
        <f t="shared" si="0"/>
        <v>7</v>
      </c>
      <c r="D11" t="s">
        <v>33</v>
      </c>
      <c r="E11">
        <v>1</v>
      </c>
      <c r="F11">
        <v>30</v>
      </c>
      <c r="G11" t="s">
        <v>28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27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46202.761779398148</v>
      </c>
      <c r="C12">
        <f t="shared" si="0"/>
        <v>8</v>
      </c>
      <c r="D12" t="s">
        <v>34</v>
      </c>
      <c r="E12">
        <v>1</v>
      </c>
      <c r="F12">
        <v>28</v>
      </c>
      <c r="G12" t="s">
        <v>28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25.5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46202.761779398148</v>
      </c>
      <c r="C13">
        <f t="shared" si="0"/>
        <v>9</v>
      </c>
      <c r="D13" t="s">
        <v>35</v>
      </c>
      <c r="E13">
        <v>1</v>
      </c>
      <c r="F13">
        <v>75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75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46202.761779398148</v>
      </c>
      <c r="C14">
        <f t="shared" si="0"/>
        <v>10</v>
      </c>
      <c r="D14" t="s">
        <v>36</v>
      </c>
      <c r="E14">
        <v>1</v>
      </c>
      <c r="F14">
        <v>166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166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46202.761779398148</v>
      </c>
      <c r="C15">
        <f t="shared" si="0"/>
        <v>11</v>
      </c>
      <c r="D15" t="s">
        <v>37</v>
      </c>
      <c r="E15">
        <v>1</v>
      </c>
      <c r="F15">
        <v>165</v>
      </c>
      <c r="G15" t="s">
        <v>28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148.5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46202.761779398148</v>
      </c>
      <c r="C16">
        <f t="shared" si="0"/>
        <v>12</v>
      </c>
      <c r="D16" t="s">
        <v>38</v>
      </c>
      <c r="E16">
        <v>1</v>
      </c>
      <c r="F16">
        <v>130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130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46202.761779398148</v>
      </c>
      <c r="C17">
        <f t="shared" si="0"/>
        <v>13</v>
      </c>
      <c r="D17" t="s">
        <v>39</v>
      </c>
      <c r="E17">
        <v>1</v>
      </c>
      <c r="F17">
        <v>115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115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46202.761779398148</v>
      </c>
      <c r="C18">
        <f t="shared" si="0"/>
        <v>14</v>
      </c>
      <c r="D18" t="s">
        <v>40</v>
      </c>
      <c r="E18">
        <v>1</v>
      </c>
      <c r="F18">
        <v>70</v>
      </c>
      <c r="G18" t="s">
        <v>28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63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46202.761779398148</v>
      </c>
      <c r="C19">
        <f t="shared" si="0"/>
        <v>15</v>
      </c>
      <c r="D19" t="s">
        <v>41</v>
      </c>
      <c r="E19">
        <v>1</v>
      </c>
      <c r="F19">
        <v>390</v>
      </c>
      <c r="G19" t="s">
        <v>28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351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46202.761779398148</v>
      </c>
      <c r="C20">
        <f t="shared" si="0"/>
        <v>16</v>
      </c>
      <c r="D20" t="s">
        <v>42</v>
      </c>
      <c r="E20">
        <v>1</v>
      </c>
      <c r="F20">
        <v>32</v>
      </c>
      <c r="G20" t="s">
        <v>28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29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46202.761779398148</v>
      </c>
      <c r="C21">
        <f t="shared" si="0"/>
        <v>17</v>
      </c>
      <c r="D21" t="s">
        <v>43</v>
      </c>
      <c r="E21">
        <v>2</v>
      </c>
      <c r="F21">
        <v>5</v>
      </c>
      <c r="G21" t="s">
        <v>28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9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46202.761779398148</v>
      </c>
      <c r="C22">
        <f t="shared" si="0"/>
        <v>18</v>
      </c>
      <c r="D22" t="s">
        <v>44</v>
      </c>
      <c r="E22">
        <v>1</v>
      </c>
      <c r="F22">
        <v>170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170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46202.761779398148</v>
      </c>
      <c r="C23">
        <f t="shared" si="0"/>
        <v>19</v>
      </c>
      <c r="D23" t="s">
        <v>46</v>
      </c>
      <c r="E23">
        <v>1</v>
      </c>
      <c r="F23">
        <v>60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60</v>
      </c>
    </row>
    <row r="24" spans="2:18" ht="15" customHeight="1" x14ac:dyDescent="0.25">
      <c r="B24" s="18">
        <f ca="1">IF(Tabla1[[#This Row],['#]]&lt;&gt;"", NOW(), "")</f>
        <v>46202.761779398148</v>
      </c>
      <c r="C24">
        <f t="shared" si="0"/>
        <v>20</v>
      </c>
      <c r="D24" t="s">
        <v>47</v>
      </c>
      <c r="E24">
        <v>1</v>
      </c>
      <c r="F24">
        <v>70</v>
      </c>
      <c r="G24" t="s">
        <v>28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63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46202.761779398148</v>
      </c>
      <c r="C25">
        <f t="shared" si="0"/>
        <v>21</v>
      </c>
      <c r="D25" t="s">
        <v>48</v>
      </c>
      <c r="E25">
        <v>1</v>
      </c>
      <c r="F25">
        <v>40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40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46202.761779398148</v>
      </c>
      <c r="C26">
        <f t="shared" si="0"/>
        <v>22</v>
      </c>
      <c r="D26" t="s">
        <v>49</v>
      </c>
      <c r="E26">
        <v>1</v>
      </c>
      <c r="F26">
        <v>700</v>
      </c>
      <c r="G26" t="s">
        <v>28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630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46202.761779398148</v>
      </c>
      <c r="C27">
        <f t="shared" si="0"/>
        <v>23</v>
      </c>
      <c r="D27" t="s">
        <v>50</v>
      </c>
      <c r="E27">
        <v>1</v>
      </c>
      <c r="F27">
        <v>400</v>
      </c>
      <c r="G27" t="s">
        <v>28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360</v>
      </c>
      <c r="M27" s="19" t="s">
        <v>45</v>
      </c>
      <c r="N27" s="20"/>
      <c r="O27" s="23">
        <v>1411</v>
      </c>
      <c r="P27" s="25"/>
      <c r="Q27" s="26"/>
      <c r="R27" s="27"/>
    </row>
    <row r="28" spans="2:18" x14ac:dyDescent="0.25">
      <c r="B28" s="18">
        <f ca="1">IF(Tabla1[[#This Row],['#]]&lt;&gt;"", NOW(), "")</f>
        <v>46202.761779398148</v>
      </c>
      <c r="C28">
        <f t="shared" si="0"/>
        <v>24</v>
      </c>
      <c r="D28" t="s">
        <v>31</v>
      </c>
      <c r="E28">
        <v>1</v>
      </c>
      <c r="F28">
        <v>50</v>
      </c>
      <c r="G28" t="s">
        <v>28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45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46202.761779398148</v>
      </c>
      <c r="C29">
        <f t="shared" si="0"/>
        <v>25</v>
      </c>
      <c r="D29" t="s">
        <v>51</v>
      </c>
      <c r="E29">
        <v>1</v>
      </c>
      <c r="F29">
        <v>80</v>
      </c>
      <c r="G29" t="s">
        <v>28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72</v>
      </c>
      <c r="M29" s="19"/>
      <c r="N29" s="20"/>
      <c r="O29" s="23"/>
      <c r="P29" s="25"/>
      <c r="Q29" s="26"/>
      <c r="R29" s="27"/>
    </row>
    <row r="30" spans="2:18" x14ac:dyDescent="0.25">
      <c r="B30" s="18">
        <f ca="1">IF(Tabla1[[#This Row],['#]]&lt;&gt;"", NOW(), "")</f>
        <v>46202.761779398148</v>
      </c>
      <c r="C30">
        <f t="shared" si="0"/>
        <v>26</v>
      </c>
      <c r="D30" t="s">
        <v>52</v>
      </c>
      <c r="E30">
        <v>1</v>
      </c>
      <c r="F30">
        <v>20</v>
      </c>
      <c r="G30" t="s">
        <v>28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18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46202.761779398148</v>
      </c>
      <c r="C31">
        <f t="shared" si="0"/>
        <v>27</v>
      </c>
      <c r="D31" t="s">
        <v>53</v>
      </c>
      <c r="E31">
        <v>1</v>
      </c>
      <c r="F31">
        <v>84</v>
      </c>
      <c r="G31" t="s">
        <v>28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76</v>
      </c>
      <c r="M31" s="19"/>
      <c r="N31" s="20"/>
      <c r="O31" s="23"/>
      <c r="P31" s="25"/>
      <c r="Q31" s="26"/>
      <c r="R31" s="27"/>
    </row>
    <row r="32" spans="2:18" x14ac:dyDescent="0.25">
      <c r="B32" s="18">
        <f ca="1">IF(Tabla1[[#This Row],['#]]&lt;&gt;"", NOW(), "")</f>
        <v>46202.761779398148</v>
      </c>
      <c r="C32">
        <f t="shared" si="0"/>
        <v>28</v>
      </c>
      <c r="D32" t="s">
        <v>27</v>
      </c>
      <c r="E32">
        <v>1</v>
      </c>
      <c r="F32">
        <v>90</v>
      </c>
      <c r="G32" t="s">
        <v>28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85.5</v>
      </c>
      <c r="M32" s="21"/>
      <c r="N32" s="22"/>
      <c r="O32" s="24"/>
      <c r="P32" s="28"/>
      <c r="Q32" s="29"/>
      <c r="R32" s="30"/>
    </row>
    <row r="33" spans="2:18" x14ac:dyDescent="0.25">
      <c r="B33" s="18">
        <f ca="1">IF(Tabla1[[#This Row],['#]]&lt;&gt;"", NOW(), "")</f>
        <v>46202.761779398148</v>
      </c>
      <c r="C33">
        <f t="shared" si="0"/>
        <v>29</v>
      </c>
      <c r="D33" t="s">
        <v>31</v>
      </c>
      <c r="E33">
        <v>1</v>
      </c>
      <c r="F33">
        <v>50</v>
      </c>
      <c r="G33" t="s">
        <v>28</v>
      </c>
      <c r="H33" s="5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>45</v>
      </c>
      <c r="M33" s="19"/>
      <c r="N33" s="20"/>
      <c r="O33" s="23"/>
      <c r="P33" s="25"/>
      <c r="Q33" s="26"/>
      <c r="R33" s="27"/>
    </row>
    <row r="34" spans="2:18" x14ac:dyDescent="0.25">
      <c r="B34" s="18">
        <f ca="1">IF(Tabla1[[#This Row],['#]]&lt;&gt;"", NOW(), "")</f>
        <v>46202.761779398148</v>
      </c>
      <c r="C34">
        <f t="shared" si="0"/>
        <v>30</v>
      </c>
      <c r="D34" t="s">
        <v>54</v>
      </c>
      <c r="E34">
        <v>1</v>
      </c>
      <c r="F34">
        <v>50</v>
      </c>
      <c r="G34" t="s">
        <v>28</v>
      </c>
      <c r="H34" s="5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>45</v>
      </c>
      <c r="M34" s="21"/>
      <c r="N34" s="22"/>
      <c r="O34" s="24"/>
      <c r="P34" s="28"/>
      <c r="Q34" s="29"/>
      <c r="R34" s="30"/>
    </row>
    <row r="35" spans="2:18" x14ac:dyDescent="0.25">
      <c r="B35" s="18">
        <f ca="1">IF(Tabla1[[#This Row],['#]]&lt;&gt;"", NOW(), "")</f>
        <v>46202.761779398148</v>
      </c>
      <c r="C35">
        <f t="shared" si="0"/>
        <v>31</v>
      </c>
      <c r="D35" t="s">
        <v>55</v>
      </c>
      <c r="E35">
        <v>1</v>
      </c>
      <c r="F35">
        <v>97</v>
      </c>
      <c r="G35" t="s">
        <v>28</v>
      </c>
      <c r="H35" s="5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>87.5</v>
      </c>
      <c r="M35" s="19"/>
      <c r="N35" s="20"/>
      <c r="O35" s="23"/>
      <c r="P35" s="25"/>
      <c r="Q35" s="26"/>
      <c r="R35" s="27"/>
    </row>
    <row r="36" spans="2:18" x14ac:dyDescent="0.25">
      <c r="B36" s="18">
        <f ca="1">IF(Tabla1[[#This Row],['#]]&lt;&gt;"", NOW(), "")</f>
        <v>46202.761779398148</v>
      </c>
      <c r="C36">
        <f t="shared" si="0"/>
        <v>32</v>
      </c>
      <c r="D36" t="s">
        <v>56</v>
      </c>
      <c r="E36">
        <v>1</v>
      </c>
      <c r="F36">
        <v>50</v>
      </c>
      <c r="H36" s="5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>50</v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58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1729.5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71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46202.761779398148</v>
      </c>
      <c r="C5">
        <f t="shared" ref="C5:C68" si="0">IF(ISNUMBER(E5), IF(ISNUMBER(C4), C4+1, 1), "")</f>
        <v>1</v>
      </c>
      <c r="D5" t="s">
        <v>59</v>
      </c>
      <c r="E5">
        <v>1</v>
      </c>
      <c r="F5">
        <v>130</v>
      </c>
      <c r="G5" t="s">
        <v>28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123.5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46202.761779398148</v>
      </c>
      <c r="C6">
        <f t="shared" si="0"/>
        <v>2</v>
      </c>
      <c r="D6" t="s">
        <v>60</v>
      </c>
      <c r="E6">
        <v>1</v>
      </c>
      <c r="F6">
        <v>147</v>
      </c>
      <c r="G6" t="s">
        <v>28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140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46202.761779398148</v>
      </c>
      <c r="C7">
        <f t="shared" si="0"/>
        <v>3</v>
      </c>
      <c r="D7" t="s">
        <v>31</v>
      </c>
      <c r="E7">
        <v>1</v>
      </c>
      <c r="F7">
        <v>50</v>
      </c>
      <c r="G7" t="s">
        <v>28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45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46202.761779398148</v>
      </c>
      <c r="C8">
        <f t="shared" si="0"/>
        <v>4</v>
      </c>
      <c r="D8" t="s">
        <v>61</v>
      </c>
      <c r="E8">
        <v>1</v>
      </c>
      <c r="F8">
        <v>15</v>
      </c>
      <c r="G8" t="s">
        <v>28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46202.761779398148</v>
      </c>
      <c r="C9">
        <f t="shared" si="0"/>
        <v>5</v>
      </c>
      <c r="D9" t="s">
        <v>62</v>
      </c>
      <c r="E9">
        <v>1</v>
      </c>
      <c r="F9">
        <v>36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32.5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46202.761779398148</v>
      </c>
      <c r="C10">
        <f t="shared" si="0"/>
        <v>6</v>
      </c>
      <c r="D10" t="s">
        <v>62</v>
      </c>
      <c r="E10">
        <v>1</v>
      </c>
      <c r="F10">
        <v>36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32.5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46202.761779398148</v>
      </c>
      <c r="C11">
        <f t="shared" si="0"/>
        <v>7</v>
      </c>
      <c r="D11" t="s">
        <v>63</v>
      </c>
      <c r="E11">
        <v>1</v>
      </c>
      <c r="F11">
        <v>150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46202.761779398148</v>
      </c>
      <c r="C12">
        <f t="shared" si="0"/>
        <v>8</v>
      </c>
      <c r="D12" t="s">
        <v>64</v>
      </c>
      <c r="E12">
        <v>1</v>
      </c>
      <c r="F12">
        <v>32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32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46202.761779398148</v>
      </c>
      <c r="C13">
        <f t="shared" si="0"/>
        <v>9</v>
      </c>
      <c r="D13" t="s">
        <v>65</v>
      </c>
      <c r="E13">
        <v>1</v>
      </c>
      <c r="F13">
        <v>68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68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46202.761779398148</v>
      </c>
      <c r="C14">
        <f t="shared" si="0"/>
        <v>10</v>
      </c>
      <c r="D14" t="s">
        <v>61</v>
      </c>
      <c r="E14">
        <v>2</v>
      </c>
      <c r="F14">
        <v>15</v>
      </c>
      <c r="G14" t="s">
        <v>28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27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46202.761779398148</v>
      </c>
      <c r="C15">
        <f t="shared" si="0"/>
        <v>11</v>
      </c>
      <c r="D15" t="s">
        <v>66</v>
      </c>
      <c r="E15">
        <v>1</v>
      </c>
      <c r="F15">
        <v>799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719.5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46202.761779398148</v>
      </c>
      <c r="C16">
        <f t="shared" si="0"/>
        <v>12</v>
      </c>
      <c r="D16" t="s">
        <v>67</v>
      </c>
      <c r="E16">
        <v>1</v>
      </c>
      <c r="F16">
        <v>50</v>
      </c>
      <c r="G16" t="s">
        <v>28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45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46202.761779398148</v>
      </c>
      <c r="C17">
        <f t="shared" si="0"/>
        <v>13</v>
      </c>
      <c r="D17" t="s">
        <v>59</v>
      </c>
      <c r="E17">
        <v>1</v>
      </c>
      <c r="F17">
        <v>130</v>
      </c>
      <c r="G17" t="s">
        <v>28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123.5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46202.761779398148</v>
      </c>
      <c r="C18">
        <f t="shared" si="0"/>
        <v>14</v>
      </c>
      <c r="D18" t="s">
        <v>68</v>
      </c>
      <c r="E18">
        <v>1</v>
      </c>
      <c r="F18">
        <v>36</v>
      </c>
      <c r="G18" t="s">
        <v>28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32.5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46202.761779398148</v>
      </c>
      <c r="C19">
        <f t="shared" si="0"/>
        <v>15</v>
      </c>
      <c r="D19" t="s">
        <v>29</v>
      </c>
      <c r="E19">
        <v>1</v>
      </c>
      <c r="F19">
        <v>75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75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46202.761779398148</v>
      </c>
      <c r="C20">
        <f t="shared" si="0"/>
        <v>16</v>
      </c>
      <c r="D20" t="s">
        <v>31</v>
      </c>
      <c r="E20">
        <v>1</v>
      </c>
      <c r="F20">
        <v>50</v>
      </c>
      <c r="G20" t="s">
        <v>28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46202.761779398148</v>
      </c>
      <c r="C21">
        <f t="shared" si="0"/>
        <v>17</v>
      </c>
      <c r="D21" t="s">
        <v>70</v>
      </c>
      <c r="E21">
        <v>1</v>
      </c>
      <c r="F21">
        <v>25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46202.761779398148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46202.761779398148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46202.761779398148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46202.761779398148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46202.761779398148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>
        <f ca="1">IF(Tabla1[[#This Row],['#]]&lt;&gt;"", NOW(), "")</f>
        <v>46202.761779398148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69</v>
      </c>
      <c r="N27" s="15">
        <v>4259</v>
      </c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46202.761779398148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46202.761779398148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46202.761779398148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46202.761779398148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46202.761779398148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46202.761779398148</v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46202.761779398148</v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46202.761779398148</v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>
        <f ca="1">IF(Tabla1[[#This Row],['#]]&lt;&gt;"", NOW(), "")</f>
        <v>46202.761779398148</v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1550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15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46202.761779398148</v>
      </c>
      <c r="C5">
        <f>IF(ISNUMBER(E5), IF(ISNUMBER(C4), C4+1, 1), "")</f>
        <v>1</v>
      </c>
      <c r="D5" t="s">
        <v>73</v>
      </c>
      <c r="E5">
        <v>1</v>
      </c>
      <c r="F5">
        <v>90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46202.761779398148</v>
      </c>
      <c r="C6">
        <f t="shared" ref="C6" si="0">IF(ISNUMBER(E6), IF(ISNUMBER(C5), C5+1, 1), "")</f>
        <v>2</v>
      </c>
      <c r="D6" t="s">
        <v>74</v>
      </c>
      <c r="E6">
        <v>1</v>
      </c>
      <c r="F6">
        <v>200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200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46202.761779398148</v>
      </c>
      <c r="C7">
        <f>IF(ISNUMBER(E7), IF(ISNUMBER(C6), C6+1, 1), "")</f>
        <v>3</v>
      </c>
      <c r="D7" t="s">
        <v>75</v>
      </c>
      <c r="E7">
        <v>1</v>
      </c>
      <c r="F7">
        <v>70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70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46202.761779398148</v>
      </c>
      <c r="C8">
        <f t="shared" ref="C8:C68" si="1">IF(ISNUMBER(E8), IF(ISNUMBER(C7), C7+1, 1), "")</f>
        <v>4</v>
      </c>
      <c r="D8" t="s">
        <v>76</v>
      </c>
      <c r="E8">
        <v>1</v>
      </c>
      <c r="F8">
        <v>105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105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46202.761779398148</v>
      </c>
      <c r="C9">
        <f t="shared" si="1"/>
        <v>5</v>
      </c>
      <c r="D9" t="s">
        <v>77</v>
      </c>
      <c r="E9">
        <v>3</v>
      </c>
      <c r="F9">
        <v>5</v>
      </c>
      <c r="G9" t="s">
        <v>28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46202.761779398148</v>
      </c>
      <c r="C10">
        <f t="shared" si="1"/>
        <v>6</v>
      </c>
      <c r="D10" t="s">
        <v>43</v>
      </c>
      <c r="E10">
        <v>1</v>
      </c>
      <c r="F10">
        <v>5</v>
      </c>
      <c r="G10" t="s">
        <v>28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4.5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46202.761779398148</v>
      </c>
      <c r="C11">
        <f t="shared" si="1"/>
        <v>7</v>
      </c>
      <c r="D11" t="s">
        <v>78</v>
      </c>
      <c r="E11">
        <v>1</v>
      </c>
      <c r="F11">
        <v>147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147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46202.761779398148</v>
      </c>
      <c r="C12">
        <f t="shared" si="1"/>
        <v>8</v>
      </c>
      <c r="D12" t="s">
        <v>78</v>
      </c>
      <c r="E12">
        <v>1</v>
      </c>
      <c r="F12">
        <v>147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147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46202.761779398148</v>
      </c>
      <c r="C13">
        <f t="shared" si="1"/>
        <v>9</v>
      </c>
      <c r="D13" t="s">
        <v>79</v>
      </c>
      <c r="E13">
        <v>2</v>
      </c>
      <c r="F13">
        <v>15</v>
      </c>
      <c r="G13" t="s">
        <v>28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27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46202.761779398148</v>
      </c>
      <c r="C14">
        <f t="shared" si="1"/>
        <v>10</v>
      </c>
      <c r="D14" t="s">
        <v>80</v>
      </c>
      <c r="E14">
        <v>1</v>
      </c>
      <c r="F14">
        <v>28</v>
      </c>
      <c r="G14" t="s">
        <v>28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25.5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46202.761779398148</v>
      </c>
      <c r="C15">
        <f t="shared" si="1"/>
        <v>11</v>
      </c>
      <c r="D15" t="s">
        <v>74</v>
      </c>
      <c r="E15">
        <v>1</v>
      </c>
      <c r="F15">
        <v>200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46202.761779398148</v>
      </c>
      <c r="C16">
        <f t="shared" si="1"/>
        <v>12</v>
      </c>
      <c r="D16" t="s">
        <v>74</v>
      </c>
      <c r="E16">
        <v>1</v>
      </c>
      <c r="F16">
        <v>200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200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46202.761779398148</v>
      </c>
      <c r="C17">
        <f t="shared" si="1"/>
        <v>13</v>
      </c>
      <c r="D17" t="s">
        <v>81</v>
      </c>
      <c r="E17">
        <v>1</v>
      </c>
      <c r="F17">
        <v>276</v>
      </c>
      <c r="G17" t="s">
        <v>28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248.5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46202.761779398148</v>
      </c>
      <c r="C18">
        <f t="shared" si="1"/>
        <v>14</v>
      </c>
      <c r="D18" t="s">
        <v>82</v>
      </c>
      <c r="E18">
        <v>1</v>
      </c>
      <c r="F18">
        <v>65</v>
      </c>
      <c r="G18" t="s">
        <v>28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58.5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46202.761779398148</v>
      </c>
      <c r="C19">
        <f t="shared" si="1"/>
        <v>15</v>
      </c>
      <c r="D19" t="s">
        <v>83</v>
      </c>
      <c r="E19">
        <v>1</v>
      </c>
      <c r="F19">
        <v>15</v>
      </c>
      <c r="G19" t="s">
        <v>28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13.5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46202.761779398148</v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46202.761779398148</v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46202.761779398148</v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46202.761779398148</v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46202.761779398148</v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46202.761779398148</v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46202.761779398148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46202.761779398148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46202.761779398148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46202.761779398148</v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46202.761779398148</v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46202.761779398148</v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46202.761779398148</v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46202.761779398148</v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46202.761779398148</v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46202.761779398148</v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>
        <f ca="1">IF(Tabla1[[#This Row],['#]]&lt;&gt;"", NOW(), "")</f>
        <v>46202.761779398148</v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1836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46202.761779398148</v>
      </c>
      <c r="C5">
        <f t="shared" ref="C5:C68" si="0">IF(ISNUMBER(E5), IF(ISNUMBER(C4), C4+1, 1), "")</f>
        <v>1</v>
      </c>
      <c r="D5" t="s">
        <v>85</v>
      </c>
      <c r="E5">
        <v>1</v>
      </c>
      <c r="F5">
        <v>178</v>
      </c>
      <c r="G5" t="s">
        <v>28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160.5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46202.761779398148</v>
      </c>
      <c r="C6">
        <f t="shared" si="0"/>
        <v>2</v>
      </c>
      <c r="D6" t="s">
        <v>27</v>
      </c>
      <c r="E6">
        <v>1</v>
      </c>
      <c r="F6">
        <v>90</v>
      </c>
      <c r="G6" t="s">
        <v>28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85.5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46202.761779398148</v>
      </c>
      <c r="C7">
        <f t="shared" si="0"/>
        <v>3</v>
      </c>
      <c r="D7" t="s">
        <v>86</v>
      </c>
      <c r="E7">
        <v>1</v>
      </c>
      <c r="F7">
        <v>59</v>
      </c>
      <c r="G7" t="s">
        <v>28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53.5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46202.761779398148</v>
      </c>
      <c r="C8">
        <f t="shared" si="0"/>
        <v>4</v>
      </c>
      <c r="D8" t="s">
        <v>87</v>
      </c>
      <c r="E8">
        <v>1</v>
      </c>
      <c r="F8">
        <v>190</v>
      </c>
      <c r="G8" t="s">
        <v>28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171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46202.761779398148</v>
      </c>
      <c r="C9">
        <f t="shared" si="0"/>
        <v>5</v>
      </c>
      <c r="D9" t="s">
        <v>88</v>
      </c>
      <c r="E9">
        <v>1</v>
      </c>
      <c r="F9">
        <v>25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46202.761779398148</v>
      </c>
      <c r="C10">
        <f t="shared" si="0"/>
        <v>6</v>
      </c>
      <c r="D10" t="s">
        <v>89</v>
      </c>
      <c r="E10">
        <v>1</v>
      </c>
      <c r="F10">
        <v>10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46202.761779398148</v>
      </c>
      <c r="C11">
        <f t="shared" si="0"/>
        <v>7</v>
      </c>
      <c r="D11" t="s">
        <v>90</v>
      </c>
      <c r="E11">
        <v>1</v>
      </c>
      <c r="F11">
        <v>263</v>
      </c>
      <c r="G11" t="s">
        <v>28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237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46202.761779398148</v>
      </c>
      <c r="C12">
        <f t="shared" si="0"/>
        <v>8</v>
      </c>
      <c r="D12" t="s">
        <v>91</v>
      </c>
      <c r="E12">
        <v>1</v>
      </c>
      <c r="F12">
        <v>263</v>
      </c>
      <c r="G12" t="s">
        <v>28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237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46202.761779398148</v>
      </c>
      <c r="C13">
        <f t="shared" si="0"/>
        <v>9</v>
      </c>
      <c r="D13" t="s">
        <v>92</v>
      </c>
      <c r="E13">
        <v>1</v>
      </c>
      <c r="F13">
        <v>38</v>
      </c>
      <c r="G13" t="s">
        <v>28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34.5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46202.761779398148</v>
      </c>
      <c r="C14">
        <f t="shared" si="0"/>
        <v>10</v>
      </c>
      <c r="D14" t="s">
        <v>93</v>
      </c>
      <c r="E14">
        <v>1</v>
      </c>
      <c r="F14">
        <v>372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372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46202.761779398148</v>
      </c>
      <c r="C15">
        <f t="shared" si="0"/>
        <v>11</v>
      </c>
      <c r="D15" t="s">
        <v>94</v>
      </c>
      <c r="E15">
        <v>1</v>
      </c>
      <c r="F15">
        <v>320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320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46202.761779398148</v>
      </c>
      <c r="C16">
        <f t="shared" si="0"/>
        <v>12</v>
      </c>
      <c r="D16" t="s">
        <v>95</v>
      </c>
      <c r="E16">
        <v>1</v>
      </c>
      <c r="F16">
        <v>144</v>
      </c>
      <c r="G16" t="s">
        <v>96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130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46202.761779398148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46202.761779398148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46202.761779398148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46202.761779398148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46202.761779398148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46202.761779398148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46202.761779398148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46202.761779398148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46202.761779398148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46202.761779398148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46202.761779398148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46202.761779398148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46202.761779398148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46202.761779398148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46202.761779398148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46202.761779398148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46202.761779398148</v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46202.761779398148</v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46202.761779398148</v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46202.761779398148</v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97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1932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36" t="s">
        <v>116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46202.761779398148</v>
      </c>
      <c r="C5">
        <f t="shared" ref="C5:C68" si="0">IF(ISNUMBER(E5), IF(ISNUMBER(C4), C4+1, 1), "")</f>
        <v>1</v>
      </c>
      <c r="D5" t="s">
        <v>59</v>
      </c>
      <c r="E5">
        <v>1</v>
      </c>
      <c r="F5">
        <v>130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130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46202.761779398148</v>
      </c>
      <c r="C6">
        <f t="shared" si="0"/>
        <v>2</v>
      </c>
      <c r="D6" t="s">
        <v>104</v>
      </c>
      <c r="E6">
        <v>1</v>
      </c>
      <c r="F6">
        <v>250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250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46202.761779398148</v>
      </c>
      <c r="C7">
        <f t="shared" si="0"/>
        <v>3</v>
      </c>
      <c r="D7" t="s">
        <v>105</v>
      </c>
      <c r="E7">
        <v>4</v>
      </c>
      <c r="F7">
        <v>4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16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46202.761779398148</v>
      </c>
      <c r="C8">
        <f t="shared" si="0"/>
        <v>4</v>
      </c>
      <c r="D8" t="s">
        <v>106</v>
      </c>
      <c r="E8">
        <v>8</v>
      </c>
      <c r="F8">
        <v>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40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46202.761779398148</v>
      </c>
      <c r="C9">
        <f t="shared" si="0"/>
        <v>5</v>
      </c>
      <c r="D9" t="s">
        <v>109</v>
      </c>
      <c r="E9">
        <v>1</v>
      </c>
      <c r="F9">
        <v>280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280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46202.761779398148</v>
      </c>
      <c r="C10">
        <f t="shared" si="0"/>
        <v>6</v>
      </c>
      <c r="D10" t="s">
        <v>114</v>
      </c>
      <c r="E10">
        <v>1</v>
      </c>
      <c r="F10">
        <v>100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100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46202.761779398148</v>
      </c>
      <c r="C11">
        <f t="shared" si="0"/>
        <v>7</v>
      </c>
      <c r="D11" t="s">
        <v>110</v>
      </c>
      <c r="E11">
        <v>1</v>
      </c>
      <c r="F11">
        <v>60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60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46202.761779398148</v>
      </c>
      <c r="C12">
        <f t="shared" si="0"/>
        <v>8</v>
      </c>
      <c r="D12" t="s">
        <v>111</v>
      </c>
      <c r="E12">
        <v>1</v>
      </c>
      <c r="F12">
        <v>350</v>
      </c>
      <c r="G12" t="s">
        <v>28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315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46202.761779398148</v>
      </c>
      <c r="C13">
        <f t="shared" si="0"/>
        <v>9</v>
      </c>
      <c r="D13" t="s">
        <v>112</v>
      </c>
      <c r="E13">
        <v>1</v>
      </c>
      <c r="F13">
        <v>90</v>
      </c>
      <c r="G13" t="s">
        <v>28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81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46202.761779398148</v>
      </c>
      <c r="C14">
        <f t="shared" si="0"/>
        <v>10</v>
      </c>
      <c r="D14" t="s">
        <v>67</v>
      </c>
      <c r="E14">
        <v>1</v>
      </c>
      <c r="F14">
        <v>50</v>
      </c>
      <c r="G14" t="s">
        <v>28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45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46202.761779398148</v>
      </c>
      <c r="C15">
        <f t="shared" si="0"/>
        <v>11</v>
      </c>
      <c r="D15" t="s">
        <v>67</v>
      </c>
      <c r="E15">
        <v>1</v>
      </c>
      <c r="F15">
        <v>50</v>
      </c>
      <c r="G15" t="s">
        <v>28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46202.761779398148</v>
      </c>
      <c r="C16">
        <f t="shared" si="0"/>
        <v>12</v>
      </c>
      <c r="D16" t="s">
        <v>113</v>
      </c>
      <c r="E16">
        <v>1</v>
      </c>
      <c r="F16">
        <v>250</v>
      </c>
      <c r="G16" t="s">
        <v>28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225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46202.761779398148</v>
      </c>
      <c r="C17">
        <f t="shared" si="0"/>
        <v>13</v>
      </c>
      <c r="D17" t="s">
        <v>115</v>
      </c>
      <c r="E17">
        <v>1</v>
      </c>
      <c r="F17">
        <v>345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345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46202.761779398148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46202.761779398148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46202.761779398148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46202.761779398148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46202.761779398148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46202.761779398148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46202.761779398148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46202.761779398148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46202.761779398148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46202.761779398148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98</v>
      </c>
      <c r="N27" s="15">
        <v>1411</v>
      </c>
      <c r="O27" s="39" t="s">
        <v>101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46202.761779398148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99</v>
      </c>
      <c r="N28" s="15">
        <v>4259</v>
      </c>
      <c r="O28" s="39" t="s">
        <v>102</v>
      </c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46202.761779398148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100</v>
      </c>
      <c r="N29" s="15">
        <v>1500</v>
      </c>
      <c r="O29" s="39" t="s">
        <v>103</v>
      </c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46202.761779398148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107</v>
      </c>
      <c r="N30" s="15">
        <v>7170</v>
      </c>
      <c r="O30" s="39" t="s">
        <v>108</v>
      </c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46202.761779398148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46202.761779398148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46202.761779398148</v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46202.761779398148</v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46202.761779398148</v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46202.761779398148</v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E30" sqref="E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117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3002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27</v>
      </c>
      <c r="M4" s="43" t="s">
        <v>141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46202.761779398148</v>
      </c>
      <c r="C5">
        <f t="shared" ref="C5:C68" si="0">IF(ISNUMBER(E5), IF(ISNUMBER(C4), C4+1, 1), "")</f>
        <v>1</v>
      </c>
      <c r="D5" t="s">
        <v>118</v>
      </c>
      <c r="E5">
        <v>1</v>
      </c>
      <c r="F5">
        <v>90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46202.761779398148</v>
      </c>
      <c r="C6">
        <f t="shared" si="0"/>
        <v>2</v>
      </c>
      <c r="D6" t="s">
        <v>54</v>
      </c>
      <c r="E6">
        <v>1</v>
      </c>
      <c r="F6">
        <v>50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50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46202.761779398148</v>
      </c>
      <c r="C7">
        <f t="shared" si="0"/>
        <v>3</v>
      </c>
      <c r="D7" t="s">
        <v>60</v>
      </c>
      <c r="E7">
        <v>1</v>
      </c>
      <c r="F7">
        <v>147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147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46202.761779398148</v>
      </c>
      <c r="C8">
        <f t="shared" si="0"/>
        <v>4</v>
      </c>
      <c r="D8" t="s">
        <v>119</v>
      </c>
      <c r="E8">
        <v>2</v>
      </c>
      <c r="F8">
        <v>4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8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46202.761779398148</v>
      </c>
      <c r="C9">
        <f t="shared" si="0"/>
        <v>5</v>
      </c>
      <c r="D9" t="s">
        <v>120</v>
      </c>
      <c r="E9">
        <v>1</v>
      </c>
      <c r="F9">
        <v>225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225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46202.761779398148</v>
      </c>
      <c r="C10">
        <f t="shared" si="0"/>
        <v>6</v>
      </c>
      <c r="D10" t="s">
        <v>121</v>
      </c>
      <c r="E10">
        <v>1</v>
      </c>
      <c r="F10">
        <v>60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60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46202.761779398148</v>
      </c>
      <c r="C11">
        <f t="shared" si="0"/>
        <v>7</v>
      </c>
      <c r="D11" t="s">
        <v>122</v>
      </c>
      <c r="E11">
        <v>1</v>
      </c>
      <c r="F11">
        <v>380</v>
      </c>
      <c r="G11" t="s">
        <v>28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342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46202.761779398148</v>
      </c>
      <c r="C12">
        <f t="shared" si="0"/>
        <v>8</v>
      </c>
      <c r="D12" t="s">
        <v>60</v>
      </c>
      <c r="E12">
        <v>1</v>
      </c>
      <c r="F12">
        <v>147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147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46202.761779398148</v>
      </c>
      <c r="C13">
        <f t="shared" si="0"/>
        <v>9</v>
      </c>
      <c r="D13" t="s">
        <v>123</v>
      </c>
      <c r="E13">
        <v>1</v>
      </c>
      <c r="F13">
        <v>190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190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46202.761779398148</v>
      </c>
      <c r="C14">
        <f t="shared" si="0"/>
        <v>10</v>
      </c>
      <c r="D14" t="s">
        <v>124</v>
      </c>
      <c r="E14">
        <v>1</v>
      </c>
      <c r="F14">
        <v>212</v>
      </c>
      <c r="G14" t="s">
        <v>28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191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46202.761779398148</v>
      </c>
      <c r="C15">
        <f t="shared" si="0"/>
        <v>11</v>
      </c>
      <c r="D15" t="s">
        <v>125</v>
      </c>
      <c r="E15">
        <v>1</v>
      </c>
      <c r="F15">
        <v>135</v>
      </c>
      <c r="G15" t="s">
        <v>28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121.5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46202.761779398148</v>
      </c>
      <c r="C16">
        <f t="shared" si="0"/>
        <v>12</v>
      </c>
      <c r="D16" t="s">
        <v>126</v>
      </c>
      <c r="E16">
        <v>10</v>
      </c>
      <c r="F16">
        <v>5</v>
      </c>
      <c r="G16" t="s">
        <v>28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45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46202.761779398148</v>
      </c>
      <c r="C17">
        <f t="shared" si="0"/>
        <v>13</v>
      </c>
      <c r="D17" t="s">
        <v>127</v>
      </c>
      <c r="E17">
        <v>1</v>
      </c>
      <c r="F17">
        <v>150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150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46202.761779398148</v>
      </c>
      <c r="C18">
        <f t="shared" si="0"/>
        <v>14</v>
      </c>
      <c r="D18" t="s">
        <v>128</v>
      </c>
      <c r="E18">
        <v>1</v>
      </c>
      <c r="F18">
        <v>15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46202.761779398148</v>
      </c>
      <c r="C19">
        <f t="shared" si="0"/>
        <v>15</v>
      </c>
      <c r="D19" t="s">
        <v>129</v>
      </c>
      <c r="E19">
        <v>1</v>
      </c>
      <c r="F19">
        <v>15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46202.761779398148</v>
      </c>
      <c r="C20">
        <f t="shared" si="0"/>
        <v>16</v>
      </c>
      <c r="D20" t="s">
        <v>130</v>
      </c>
      <c r="E20">
        <v>1</v>
      </c>
      <c r="F20">
        <v>36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36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46202.761779398148</v>
      </c>
      <c r="C21">
        <f t="shared" si="0"/>
        <v>17</v>
      </c>
      <c r="D21" t="s">
        <v>131</v>
      </c>
      <c r="E21">
        <v>1</v>
      </c>
      <c r="F21">
        <v>700</v>
      </c>
      <c r="G21" t="s">
        <v>28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630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46202.761779398148</v>
      </c>
      <c r="C22">
        <f t="shared" si="0"/>
        <v>18</v>
      </c>
      <c r="D22" t="s">
        <v>132</v>
      </c>
      <c r="E22">
        <v>1</v>
      </c>
      <c r="F22">
        <v>86</v>
      </c>
      <c r="G22" t="s">
        <v>28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77.5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46202.761779398148</v>
      </c>
      <c r="C23">
        <f t="shared" si="0"/>
        <v>19</v>
      </c>
      <c r="D23" t="s">
        <v>133</v>
      </c>
      <c r="E23">
        <v>1</v>
      </c>
      <c r="F23">
        <v>72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72</v>
      </c>
    </row>
    <row r="24" spans="2:18" ht="15" customHeight="1" x14ac:dyDescent="0.25">
      <c r="B24" s="18">
        <f ca="1">IF(Tabla1[[#This Row],['#]]&lt;&gt;"", NOW(), "")</f>
        <v>46202.761779398148</v>
      </c>
      <c r="C24">
        <f t="shared" si="0"/>
        <v>20</v>
      </c>
      <c r="D24" t="s">
        <v>139</v>
      </c>
      <c r="E24">
        <v>1</v>
      </c>
      <c r="F24">
        <v>70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70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46202.761779398148</v>
      </c>
      <c r="C25">
        <f t="shared" si="0"/>
        <v>21</v>
      </c>
      <c r="D25" t="s">
        <v>135</v>
      </c>
      <c r="E25">
        <v>1</v>
      </c>
      <c r="F25">
        <v>20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20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46202.761779398148</v>
      </c>
      <c r="C26">
        <f t="shared" si="0"/>
        <v>22</v>
      </c>
      <c r="D26" t="s">
        <v>136</v>
      </c>
      <c r="E26">
        <v>1</v>
      </c>
      <c r="F26">
        <v>185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185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46202.761779398148</v>
      </c>
      <c r="C27">
        <f t="shared" si="0"/>
        <v>23</v>
      </c>
      <c r="D27" t="s">
        <v>137</v>
      </c>
      <c r="E27">
        <v>1</v>
      </c>
      <c r="F27">
        <v>10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10</v>
      </c>
      <c r="M27" s="13" t="s">
        <v>134</v>
      </c>
      <c r="N27" s="15">
        <v>5160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46202.761779398148</v>
      </c>
      <c r="C28">
        <f t="shared" si="0"/>
        <v>24</v>
      </c>
      <c r="D28" t="s">
        <v>138</v>
      </c>
      <c r="E28">
        <v>1</v>
      </c>
      <c r="F28">
        <v>65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65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46202.761779398148</v>
      </c>
      <c r="C29">
        <f t="shared" si="0"/>
        <v>25</v>
      </c>
      <c r="D29" t="s">
        <v>140</v>
      </c>
      <c r="E29">
        <v>1</v>
      </c>
      <c r="F29">
        <v>15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15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46202.761779398148</v>
      </c>
      <c r="C30">
        <f t="shared" si="0"/>
        <v>26</v>
      </c>
      <c r="D30" t="s">
        <v>126</v>
      </c>
      <c r="E30">
        <v>1</v>
      </c>
      <c r="F30">
        <v>5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5</v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46202.761779398148</v>
      </c>
      <c r="C31">
        <f t="shared" si="0"/>
        <v>27</v>
      </c>
      <c r="D31" t="s">
        <v>106</v>
      </c>
      <c r="E31">
        <v>4</v>
      </c>
      <c r="F31">
        <v>5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20</v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46202.761779398148</v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46202.761779398148</v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46202.761779398148</v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46202.761779398148</v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46202.761779398148</v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46202.761779398148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46202.761779398148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46202.761779398148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46202.761779398148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46202.761779398148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46202.761779398148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46202.761779398148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46202.761779398148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46202.761779398148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46202.761779398148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46202.761779398148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46202.761779398148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46202.761779398148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46202.761779398148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46202.761779398148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46202.761779398148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46202.761779398148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46202.761779398148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46202.761779398148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46202.761779398148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46202.761779398148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46202.761779398148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46202.761779398148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46202.761779398148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46202.761779398148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46202.761779398148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46202.761779398148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46202.761779398148</v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46202.761779398148</v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46202.761779398148</v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46202.761779398148</v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22-06-26</vt:lpstr>
      <vt:lpstr>Martes 23-06-26</vt:lpstr>
      <vt:lpstr>Miercoles 24-06-26</vt:lpstr>
      <vt:lpstr>Jueves 25-06-26</vt:lpstr>
      <vt:lpstr>Viernes 26-06-26</vt:lpstr>
      <vt:lpstr>Sabado 27-06-26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2026-06-30T01:11:41Z</dcterms:modified>
</cp:coreProperties>
</file>