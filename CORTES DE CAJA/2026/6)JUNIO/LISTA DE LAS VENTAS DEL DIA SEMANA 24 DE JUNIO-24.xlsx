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AC55E44-7825-4ED5-A716-CD1D8E848E0D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5-06-26" sheetId="1" r:id="rId1"/>
    <sheet name="MarteS 16-06-26" sheetId="2" r:id="rId2"/>
    <sheet name="Miercoles 17-06-26" sheetId="3" r:id="rId3"/>
    <sheet name="Jueves 18-06-26" sheetId="4" r:id="rId4"/>
    <sheet name="Viernes 19-06-26" sheetId="5" r:id="rId5"/>
    <sheet name="Sabado 20-06-26" sheetId="6" r:id="rId6"/>
    <sheet name="Domingo" sheetId="8" r:id="rId7"/>
    <sheet name="Cambios" sheetId="7" r:id="rId8"/>
  </sheets>
  <definedNames>
    <definedName name="_xlnm._FilterDatabase" localSheetId="0" hidden="1">'Lunes 15-06-26'!$B$4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<sst xmlns="http://schemas.openxmlformats.org/spreadsheetml/2006/main" count="327" uniqueCount="150">
  <si>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</si>
  <si>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</si>
  <si>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</si>
  <si>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</si>
  <si>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</si>
  <si>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</si>
  <si>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</si>
  <si>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</si>
  <si>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</si>
  <si>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</si>
  <si>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</si>
  <si>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</si>
  <si>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</si>
  <si>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</si>
  <si>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</si>
  <si>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</si>
  <si>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</si>
  <si>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</si>
  <si>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</si>
  <si>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</si>
  <si>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</si>
  <si>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</si>
  <si>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</si>
  <si>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</si>
  <si>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</si>
  <si>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15 DE JUNIO-26</t>
  </si>
  <si>
    <t>TIRAS LED AZUL</t>
  </si>
  <si>
    <t xml:space="preserve">TORNILLOS </t>
  </si>
  <si>
    <t>PEDIDO MERCADO</t>
  </si>
  <si>
    <t>ACEITE MOTUL 3000</t>
  </si>
  <si>
    <t xml:space="preserve">ESPEJOS DE ALERON </t>
  </si>
  <si>
    <t xml:space="preserve">SINCHOS SUELTOS </t>
  </si>
  <si>
    <t>AMORTIGUADOR DM200</t>
  </si>
  <si>
    <t>X</t>
  </si>
  <si>
    <t>BARRAS DE DM200</t>
  </si>
  <si>
    <t>CAMARA 130-70-17</t>
  </si>
  <si>
    <t xml:space="preserve">AUXILIAR DE BUHO </t>
  </si>
  <si>
    <t xml:space="preserve">BAYONETA </t>
  </si>
  <si>
    <t>REELEE DE FT150</t>
  </si>
  <si>
    <t xml:space="preserve">JUNTAS DE MOTOR </t>
  </si>
  <si>
    <t>GUIA DE CADENA 250Z</t>
  </si>
  <si>
    <t>SELLO DE VALVULA FT150</t>
  </si>
  <si>
    <t>VALVULAS DE MOTOR 250Z</t>
  </si>
  <si>
    <t>CADENA DE DISTRIBUCION 250Z</t>
  </si>
  <si>
    <t xml:space="preserve">CUENTA DE SEMANA PASADA $ 12488.5 MENOS $ 867 DE PEDIDO DE MERCADO QUEDA $ 11621.5 </t>
  </si>
  <si>
    <t>Martes 16 DE JUNIO-26</t>
  </si>
  <si>
    <t xml:space="preserve">CADENA 530 ITALIKA </t>
  </si>
  <si>
    <t>CORTADOR DE CADENA ALESSIA</t>
  </si>
  <si>
    <t>ACEITE LUBER</t>
  </si>
  <si>
    <t>ESPEJOS DE 150Z WAPEMEX</t>
  </si>
  <si>
    <t xml:space="preserve">FARO DE FT150 </t>
  </si>
  <si>
    <t xml:space="preserve">DISCO TRASERO XEVERUS 250 </t>
  </si>
  <si>
    <t>PEDIDO NASAKI</t>
  </si>
  <si>
    <t>SWUITH UNIVERSAL</t>
  </si>
  <si>
    <t xml:space="preserve">CHICOTE DE CLUTH UNIVBERSAL </t>
  </si>
  <si>
    <t xml:space="preserve">AORCADOR DE CLUTH UNIVERSAL </t>
  </si>
  <si>
    <t>CHICOTE DE ACELERADOR UNIVERSAL</t>
  </si>
  <si>
    <t xml:space="preserve">MANUBRIO DE 3 PIEZAS </t>
  </si>
  <si>
    <t xml:space="preserve">ACEITE AKRON </t>
  </si>
  <si>
    <t xml:space="preserve">CUENTA SEMANA PASADA $ 11621.5 MENOS  1830 QUEDA $ 9791.5  </t>
  </si>
  <si>
    <t>Miercoles 17 DE JUNIO-26</t>
  </si>
  <si>
    <t>STIKER</t>
  </si>
  <si>
    <t>BENDIX DM200</t>
  </si>
  <si>
    <t>BENDIX FT150</t>
  </si>
  <si>
    <t>PEDIDO OSCAR</t>
  </si>
  <si>
    <t>PAGO DE RENTA Y INTERNET</t>
  </si>
  <si>
    <t xml:space="preserve">CHCICOTE DE CLUTH UNIVERSAL </t>
  </si>
  <si>
    <t>CADENA 428 WSPEMEX</t>
  </si>
  <si>
    <t xml:space="preserve">RETEN DE SUSPENSIÓN FT150 </t>
  </si>
  <si>
    <t>TAZAS DE DIRECCION DM200</t>
  </si>
  <si>
    <t>EJE TRASERO FT150</t>
  </si>
  <si>
    <t>BUJE DE RUEDA TRASERA FT150</t>
  </si>
  <si>
    <t>BUJIA D8</t>
  </si>
  <si>
    <t>FILTRO DE AIRE DM200</t>
  </si>
  <si>
    <t>AJUSTADOR DE CADENA DE FT150</t>
  </si>
  <si>
    <t>DIRECCINAL UNIVERSAL</t>
  </si>
  <si>
    <t xml:space="preserve">MANIJAS DE LUJO AZYLES </t>
  </si>
  <si>
    <t>CHCICOTE DE ACELERADOR YB1125</t>
  </si>
  <si>
    <t>SELLO DE ESCAPE FT150</t>
  </si>
  <si>
    <t xml:space="preserve">CUENTA DE SEMANA PASADA $ 9791.5 MENOS PEDIDO DE OSCAR QUEDA $ 8376.5 MENOS $ 1550 DE RENTA Y INTERNET QUEDA $ 6826.5 </t>
  </si>
  <si>
    <t>Jueves 18 DE JUNIO-26</t>
  </si>
  <si>
    <t>GOMAS DE IMPACTO RC150</t>
  </si>
  <si>
    <t>Viernes 19 DE JUNIO-26</t>
  </si>
  <si>
    <t>P.MERCADO</t>
  </si>
  <si>
    <t>LUNES 15 DE JUNIO-26</t>
  </si>
  <si>
    <t>P.NASAKI</t>
  </si>
  <si>
    <t>MARTES 16 DE JUNIO-26</t>
  </si>
  <si>
    <t>P.OSCAR</t>
  </si>
  <si>
    <t>MIERCOLES 17 DE JUNIO-26</t>
  </si>
  <si>
    <t>RENTA</t>
  </si>
  <si>
    <t xml:space="preserve">P.OSCAR </t>
  </si>
  <si>
    <t>VIERNES 19 DE JUNIO-26</t>
  </si>
  <si>
    <t>PAGOYAS</t>
  </si>
  <si>
    <t>TOTAL</t>
  </si>
  <si>
    <t xml:space="preserve">TOTAL DE EGRESOS </t>
  </si>
  <si>
    <t xml:space="preserve">TORNILLO </t>
  </si>
  <si>
    <t xml:space="preserve">TURCA </t>
  </si>
  <si>
    <t xml:space="preserve">TAPON DE ACEITE </t>
  </si>
  <si>
    <t xml:space="preserve">CARGADOR DE BACTERIA </t>
  </si>
  <si>
    <t>GOMA LATERAL</t>
  </si>
  <si>
    <t>CHCICOTED E CLUTH DM200</t>
  </si>
  <si>
    <t>GOMA DE PARADOR WS150</t>
  </si>
  <si>
    <t xml:space="preserve">PUÑOS ROJOS </t>
  </si>
  <si>
    <t xml:space="preserve">PROTECTOR DE MANUBRIO </t>
  </si>
  <si>
    <t>JUNTA DEL CARTEL FT150</t>
  </si>
  <si>
    <t>FILTRO DE AIRE WS150</t>
  </si>
  <si>
    <t xml:space="preserve">ESCAPE </t>
  </si>
  <si>
    <t>BUJE DE MOTOR DS150</t>
  </si>
  <si>
    <t>ACEITE REPSOL</t>
  </si>
  <si>
    <t>LLANTA 110-90-16</t>
  </si>
  <si>
    <t>CAPUCHON DE BUJIA DS150</t>
  </si>
  <si>
    <t xml:space="preserve">REGULADOR DE MOTONETA ITALIKA </t>
  </si>
  <si>
    <t>PILA QLINK 12N7-3B</t>
  </si>
  <si>
    <t>SUPERGLU</t>
  </si>
  <si>
    <t>TUBO MOVIL DS150</t>
  </si>
  <si>
    <t>CIGÜEÑAL DE WS150</t>
  </si>
  <si>
    <t>JUNTAS DE MOTOR DS150</t>
  </si>
  <si>
    <t>DISCO DE FRENO TRASERO 250Z</t>
  </si>
  <si>
    <t>BALATA DE DISCO TRASERO 250Z ITALIKA</t>
  </si>
  <si>
    <t>SEGUROD E CADENA 428</t>
  </si>
  <si>
    <t xml:space="preserve">GOMA DE CUBREPULVO </t>
  </si>
  <si>
    <t>BALERO 6004</t>
  </si>
  <si>
    <t>ANIJA DERECHA FT125</t>
  </si>
  <si>
    <t>MANIJA IZQUIERDA 150Z</t>
  </si>
  <si>
    <t xml:space="preserve">PILA YTX 5 QLINK </t>
  </si>
  <si>
    <r>
      <rPr>
        <b/>
        <sz val="14"/>
        <color theme="1"/>
        <rFont val="Calibri"/>
        <family val="2"/>
        <scheme val="minor"/>
      </rPr>
      <t>CORTES DE LA SEMANA    CUENTA SEMANA PA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15 DE JUNIO-26                          $12488.5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$ 3631                          MENOS $7457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16 DE JUNIO-26                      $5031.5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$ 1815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17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$ 2252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18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$ 1863  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19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$ 3677.5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TOTAL $ 13238.5
TOTAL EN CAJA $ 18270</t>
    </r>
  </si>
  <si>
    <t>Sabado 20 DE JUNIO-26</t>
  </si>
  <si>
    <t>LLANTA 3.00.18</t>
  </si>
  <si>
    <t>BUJE DE PALASTICO</t>
  </si>
  <si>
    <t>BARRA DE POSAPIE DE FT150</t>
  </si>
  <si>
    <t>BALATA DELANTERA XR150</t>
  </si>
  <si>
    <t xml:space="preserve">BALATA DE TAMBOR CHICO </t>
  </si>
  <si>
    <t xml:space="preserve">FILTRO DE GASOLINA </t>
  </si>
  <si>
    <t>BUJIA C7</t>
  </si>
  <si>
    <t xml:space="preserve">BALATA DE TAMBOR GRANDE </t>
  </si>
  <si>
    <t xml:space="preserve">TERMINAL </t>
  </si>
  <si>
    <t xml:space="preserve">FILTRO DE CARTON </t>
  </si>
  <si>
    <t>ROLLO Y FABULOSO</t>
  </si>
  <si>
    <t>EJE TRASERO 150Z</t>
  </si>
  <si>
    <t xml:space="preserve">BALATA DE TAMBOR RESORTE CRUZADO </t>
  </si>
  <si>
    <t>BALATA DE TAMBOR GRANDE DS150</t>
  </si>
  <si>
    <t>CADENA 428X 126 WAPEMEX</t>
  </si>
  <si>
    <t>ACEITE YAMALUBE</t>
  </si>
  <si>
    <t>FILTRO DE AIRE WS150 SPORT ITALIKA</t>
  </si>
  <si>
    <t xml:space="preserve">FILTRO DE GASOLINA CARTON </t>
  </si>
  <si>
    <t>SELLO DE ESCAPE DS150</t>
  </si>
  <si>
    <t>MANUBRIO DE 250Z</t>
  </si>
  <si>
    <t>LLANTA 150-60-17  MAXISS</t>
  </si>
  <si>
    <r>
      <t xml:space="preserve">CUENTA DE AYER $ 18270 MENOS $ 68 DE ROLLO Y FABULOSO QUEDA $ 18202 
CUENTA DE HOY SABADO $ 4475MENOS $ 300 DE PAGO DE YAS QUEDA $ 4175 MAS LO DE CAJA TOTAL $ 18202 
</t>
    </r>
    <r>
      <rPr>
        <b/>
        <sz val="22"/>
        <color theme="1"/>
        <rFont val="Calibri"/>
        <family val="2"/>
        <scheme val="minor"/>
      </rPr>
      <t>TOTAL EN CAJA$ 22377</t>
    </r>
  </si>
  <si>
    <t xml:space="preserve">FILTRO DE WS150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</si>
</sst>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6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3631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16</v>
      </c>
      <c r="M4" s="23" t="s">
        <v>44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46193.809749189815</v>
      </c>
      <c r="C5">
        <f>IF(ISNUMBER(E5), IF(ISNUMBER(C4), C4+1, 1), "")</f>
        <v>1</v>
      </c>
      <c r="D5" t="s">
        <v>26</v>
      </c>
      <c r="E5">
        <v>2</v>
      </c>
      <c r="F5">
        <v>15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46193.809749189815</v>
      </c>
      <c r="C6">
        <f t="shared" ref="C6:C36" si="0">IF(ISNUMBER(E6), IF(ISNUMBER(C5), C5+1, 1), "")</f>
        <v>2</v>
      </c>
      <c r="D6" t="s">
        <v>27</v>
      </c>
      <c r="E6">
        <v>2</v>
      </c>
      <c r="F6">
        <v>10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46193.809749189815</v>
      </c>
      <c r="C7">
        <f t="shared" si="0"/>
        <v>3</v>
      </c>
      <c r="D7" t="s">
        <v>29</v>
      </c>
      <c r="E7">
        <v>1</v>
      </c>
      <c r="F7">
        <v>200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200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46193.809749189815</v>
      </c>
      <c r="C8">
        <f t="shared" si="0"/>
        <v>4</v>
      </c>
      <c r="D8" t="s">
        <v>30</v>
      </c>
      <c r="E8">
        <v>1</v>
      </c>
      <c r="F8">
        <v>236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236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46193.809749189815</v>
      </c>
      <c r="C9">
        <f t="shared" si="0"/>
        <v>5</v>
      </c>
      <c r="D9" t="s">
        <v>31</v>
      </c>
      <c r="E9">
        <v>3</v>
      </c>
      <c r="F9">
        <v>1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3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46193.809749189815</v>
      </c>
      <c r="C10">
        <f t="shared" si="0"/>
        <v>6</v>
      </c>
      <c r="D10" t="s">
        <v>32</v>
      </c>
      <c r="E10">
        <v>1</v>
      </c>
      <c r="F10">
        <v>1200</v>
      </c>
      <c r="G10" t="s">
        <v>33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1080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46193.809749189815</v>
      </c>
      <c r="C11">
        <f t="shared" si="0"/>
        <v>7</v>
      </c>
      <c r="D11" t="s">
        <v>34</v>
      </c>
      <c r="E11">
        <v>1</v>
      </c>
      <c r="F11">
        <v>1325</v>
      </c>
      <c r="G11" t="s">
        <v>33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1192.5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46193.809749189815</v>
      </c>
      <c r="C12">
        <f t="shared" si="0"/>
        <v>8</v>
      </c>
      <c r="D12" t="s">
        <v>35</v>
      </c>
      <c r="E12">
        <v>1</v>
      </c>
      <c r="F12">
        <v>100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100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46193.809749189815</v>
      </c>
      <c r="C13">
        <f t="shared" si="0"/>
        <v>9</v>
      </c>
      <c r="D13" t="s">
        <v>36</v>
      </c>
      <c r="E13">
        <v>1</v>
      </c>
      <c r="F13">
        <v>190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190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46193.809749189815</v>
      </c>
      <c r="C14">
        <f t="shared" si="0"/>
        <v>10</v>
      </c>
      <c r="D14" t="s">
        <v>37</v>
      </c>
      <c r="E14">
        <v>1</v>
      </c>
      <c r="F14">
        <v>20</v>
      </c>
      <c r="G14" t="s">
        <v>33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46193.809749189815</v>
      </c>
      <c r="C15">
        <f t="shared" si="0"/>
        <v>11</v>
      </c>
      <c r="D15" t="s">
        <v>38</v>
      </c>
      <c r="E15">
        <v>1</v>
      </c>
      <c r="F15">
        <v>180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180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46193.809749189815</v>
      </c>
      <c r="C16">
        <f t="shared" si="0"/>
        <v>12</v>
      </c>
      <c r="D16" t="s">
        <v>39</v>
      </c>
      <c r="E16">
        <v>1</v>
      </c>
      <c r="F16">
        <v>124</v>
      </c>
      <c r="G16" t="s">
        <v>33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112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46193.809749189815</v>
      </c>
      <c r="C17">
        <f t="shared" si="0"/>
        <v>13</v>
      </c>
      <c r="D17" t="s">
        <v>40</v>
      </c>
      <c r="E17">
        <v>1</v>
      </c>
      <c r="F17">
        <v>60</v>
      </c>
      <c r="G17" t="s">
        <v>33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54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46193.809749189815</v>
      </c>
      <c r="C18">
        <f t="shared" si="0"/>
        <v>14</v>
      </c>
      <c r="D18" t="s">
        <v>41</v>
      </c>
      <c r="E18">
        <v>1</v>
      </c>
      <c r="F18">
        <v>15</v>
      </c>
      <c r="G18" t="s">
        <v>33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13.5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46193.809749189815</v>
      </c>
      <c r="C19">
        <f t="shared" si="0"/>
        <v>15</v>
      </c>
      <c r="D19" t="s">
        <v>42</v>
      </c>
      <c r="E19">
        <v>1</v>
      </c>
      <c r="F19">
        <v>99</v>
      </c>
      <c r="G19" t="s">
        <v>33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89.5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46193.809749189815</v>
      </c>
      <c r="C20">
        <f t="shared" si="0"/>
        <v>16</v>
      </c>
      <c r="D20" t="s">
        <v>43</v>
      </c>
      <c r="E20">
        <v>1</v>
      </c>
      <c r="F20">
        <v>125</v>
      </c>
      <c r="G20" t="s">
        <v>33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112.5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 t="s">
        <v>28</v>
      </c>
      <c r="N27" s="27"/>
      <c r="O27" s="30">
        <v>867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45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1815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23" t="s">
        <v>59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46193.809749189815</v>
      </c>
      <c r="C5">
        <f t="shared" ref="C5:C68" si="0">IF(ISNUMBER(E5), IF(ISNUMBER(C4), C4+1, 1), "")</f>
        <v>1</v>
      </c>
      <c r="D5" t="s">
        <v>46</v>
      </c>
      <c r="E5">
        <v>1</v>
      </c>
      <c r="F5">
        <v>330</v>
      </c>
      <c r="G5" t="s">
        <v>33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297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46193.809749189815</v>
      </c>
      <c r="C6">
        <f t="shared" si="0"/>
        <v>2</v>
      </c>
      <c r="D6" t="s">
        <v>47</v>
      </c>
      <c r="E6">
        <v>1</v>
      </c>
      <c r="F6">
        <v>150</v>
      </c>
      <c r="G6" t="s">
        <v>33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135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46193.809749189815</v>
      </c>
      <c r="C7">
        <f t="shared" si="0"/>
        <v>3</v>
      </c>
      <c r="D7" t="s">
        <v>48</v>
      </c>
      <c r="E7">
        <v>1</v>
      </c>
      <c r="F7">
        <v>90</v>
      </c>
      <c r="G7" t="s">
        <v>33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85.5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46193.809749189815</v>
      </c>
      <c r="C8">
        <f t="shared" si="0"/>
        <v>4</v>
      </c>
      <c r="D8" t="s">
        <v>48</v>
      </c>
      <c r="E8">
        <v>1</v>
      </c>
      <c r="F8">
        <v>90</v>
      </c>
      <c r="G8" t="s">
        <v>33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85.5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46193.809749189815</v>
      </c>
      <c r="C9">
        <f t="shared" si="0"/>
        <v>5</v>
      </c>
      <c r="D9" t="s">
        <v>49</v>
      </c>
      <c r="E9">
        <v>1</v>
      </c>
      <c r="F9">
        <v>100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100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46193.809749189815</v>
      </c>
      <c r="C10">
        <f t="shared" si="0"/>
        <v>6</v>
      </c>
      <c r="D10" t="s">
        <v>50</v>
      </c>
      <c r="E10">
        <v>1</v>
      </c>
      <c r="F10">
        <v>355</v>
      </c>
      <c r="G10" t="s">
        <v>33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319.5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46193.809749189815</v>
      </c>
      <c r="C11">
        <f t="shared" si="0"/>
        <v>7</v>
      </c>
      <c r="D11" t="s">
        <v>51</v>
      </c>
      <c r="E11">
        <v>1</v>
      </c>
      <c r="F11">
        <v>316</v>
      </c>
      <c r="G11" t="s">
        <v>33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284.5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46193.809749189815</v>
      </c>
      <c r="C12">
        <f t="shared" si="0"/>
        <v>8</v>
      </c>
      <c r="D12" t="s">
        <v>53</v>
      </c>
      <c r="E12">
        <v>1</v>
      </c>
      <c r="F12">
        <v>70</v>
      </c>
      <c r="G12" t="s">
        <v>33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63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46193.809749189815</v>
      </c>
      <c r="C13">
        <f t="shared" si="0"/>
        <v>9</v>
      </c>
      <c r="D13" t="s">
        <v>54</v>
      </c>
      <c r="E13">
        <v>1</v>
      </c>
      <c r="F13">
        <v>15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46193.809749189815</v>
      </c>
      <c r="C14">
        <f t="shared" si="0"/>
        <v>10</v>
      </c>
      <c r="D14" t="s">
        <v>55</v>
      </c>
      <c r="E14">
        <v>1</v>
      </c>
      <c r="F14">
        <v>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46193.809749189815</v>
      </c>
      <c r="C15">
        <f t="shared" si="0"/>
        <v>11</v>
      </c>
      <c r="D15" t="s">
        <v>56</v>
      </c>
      <c r="E15">
        <v>1</v>
      </c>
      <c r="F15">
        <v>15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46193.809749189815</v>
      </c>
      <c r="C16">
        <f t="shared" si="0"/>
        <v>12</v>
      </c>
      <c r="D16" t="s">
        <v>57</v>
      </c>
      <c r="E16">
        <v>1</v>
      </c>
      <c r="F16">
        <v>280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280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46193.809749189815</v>
      </c>
      <c r="C17">
        <f t="shared" si="0"/>
        <v>13</v>
      </c>
      <c r="D17" t="s">
        <v>58</v>
      </c>
      <c r="E17">
        <v>1</v>
      </c>
      <c r="F17">
        <v>130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130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46193.809749189815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46193.809749189815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46193.809749189815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52</v>
      </c>
      <c r="N27" s="15">
        <v>1830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H38" sqref="H3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60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2252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3" t="s">
        <v>79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46193.809749189815</v>
      </c>
      <c r="C5">
        <f>IF(ISNUMBER(E5), IF(ISNUMBER(C4), C4+1, 1), "")</f>
        <v>1</v>
      </c>
      <c r="D5" t="s">
        <v>61</v>
      </c>
      <c r="E5">
        <v>2</v>
      </c>
      <c r="F5">
        <v>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46193.809749189815</v>
      </c>
      <c r="C6">
        <f t="shared" ref="C6" si="0">IF(ISNUMBER(E6), IF(ISNUMBER(C5), C5+1, 1), "")</f>
        <v>2</v>
      </c>
      <c r="D6" t="s">
        <v>62</v>
      </c>
      <c r="E6">
        <v>1</v>
      </c>
      <c r="F6">
        <v>350</v>
      </c>
      <c r="G6" t="s">
        <v>33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315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46193.809749189815</v>
      </c>
      <c r="C7">
        <f>IF(ISNUMBER(E7), IF(ISNUMBER(C6), C6+1, 1), "")</f>
        <v>3</v>
      </c>
      <c r="D7" t="s">
        <v>63</v>
      </c>
      <c r="E7">
        <v>1</v>
      </c>
      <c r="F7">
        <v>256</v>
      </c>
      <c r="G7" t="s">
        <v>33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230.5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46193.809749189815</v>
      </c>
      <c r="C8">
        <f t="shared" ref="C8:C68" si="1">IF(ISNUMBER(E8), IF(ISNUMBER(C7), C7+1, 1), "")</f>
        <v>4</v>
      </c>
      <c r="D8" t="s">
        <v>48</v>
      </c>
      <c r="E8">
        <v>1</v>
      </c>
      <c r="F8">
        <v>90</v>
      </c>
      <c r="G8" t="s">
        <v>33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85.5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46193.809749189815</v>
      </c>
      <c r="C9">
        <f t="shared" si="1"/>
        <v>5</v>
      </c>
      <c r="D9" t="s">
        <v>66</v>
      </c>
      <c r="E9">
        <v>4</v>
      </c>
      <c r="F9">
        <v>15</v>
      </c>
      <c r="G9" t="s">
        <v>33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54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46193.809749189815</v>
      </c>
      <c r="C10">
        <f t="shared" si="1"/>
        <v>6</v>
      </c>
      <c r="D10" t="s">
        <v>67</v>
      </c>
      <c r="E10">
        <v>1</v>
      </c>
      <c r="F10">
        <v>175</v>
      </c>
      <c r="G10" t="s">
        <v>33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157.5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46193.809749189815</v>
      </c>
      <c r="C11">
        <f t="shared" si="1"/>
        <v>7</v>
      </c>
      <c r="D11" t="s">
        <v>68</v>
      </c>
      <c r="E11">
        <v>1</v>
      </c>
      <c r="F11">
        <v>38</v>
      </c>
      <c r="G11" t="s">
        <v>33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34.5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46193.809749189815</v>
      </c>
      <c r="C12">
        <f t="shared" si="1"/>
        <v>8</v>
      </c>
      <c r="D12" t="s">
        <v>69</v>
      </c>
      <c r="E12">
        <v>1</v>
      </c>
      <c r="F12">
        <v>83</v>
      </c>
      <c r="G12" t="s">
        <v>33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75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46193.809749189815</v>
      </c>
      <c r="C13">
        <f t="shared" si="1"/>
        <v>9</v>
      </c>
      <c r="D13" t="s">
        <v>70</v>
      </c>
      <c r="E13">
        <v>1</v>
      </c>
      <c r="F13">
        <v>49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49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46193.809749189815</v>
      </c>
      <c r="C14">
        <f t="shared" si="1"/>
        <v>10</v>
      </c>
      <c r="D14" t="s">
        <v>71</v>
      </c>
      <c r="E14">
        <v>1</v>
      </c>
      <c r="F14">
        <v>55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55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46193.809749189815</v>
      </c>
      <c r="C15">
        <f t="shared" si="1"/>
        <v>11</v>
      </c>
      <c r="D15" t="s">
        <v>29</v>
      </c>
      <c r="E15">
        <v>1</v>
      </c>
      <c r="F15">
        <v>200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200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46193.809749189815</v>
      </c>
      <c r="C16">
        <f t="shared" si="1"/>
        <v>12</v>
      </c>
      <c r="D16" t="s">
        <v>29</v>
      </c>
      <c r="E16">
        <v>1</v>
      </c>
      <c r="F16">
        <v>200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200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46193.809749189815</v>
      </c>
      <c r="C17">
        <f t="shared" si="1"/>
        <v>13</v>
      </c>
      <c r="D17" t="s">
        <v>72</v>
      </c>
      <c r="E17">
        <v>1</v>
      </c>
      <c r="F17">
        <v>50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46193.809749189815</v>
      </c>
      <c r="C18">
        <f t="shared" si="1"/>
        <v>14</v>
      </c>
      <c r="D18" t="s">
        <v>73</v>
      </c>
      <c r="E18">
        <v>1</v>
      </c>
      <c r="F18">
        <v>71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71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46193.809749189815</v>
      </c>
      <c r="C19">
        <f t="shared" si="1"/>
        <v>15</v>
      </c>
      <c r="D19" t="s">
        <v>75</v>
      </c>
      <c r="E19">
        <v>1</v>
      </c>
      <c r="F19">
        <v>90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90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46193.809749189815</v>
      </c>
      <c r="C20">
        <f t="shared" si="1"/>
        <v>16</v>
      </c>
      <c r="D20" t="s">
        <v>74</v>
      </c>
      <c r="E20">
        <v>1</v>
      </c>
      <c r="F20">
        <v>77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77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1"/>
        <v>17</v>
      </c>
      <c r="D21" t="s">
        <v>76</v>
      </c>
      <c r="E21">
        <v>1</v>
      </c>
      <c r="F21">
        <v>398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398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77</v>
      </c>
      <c r="E22">
        <v>1</v>
      </c>
      <c r="F22">
        <v>90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90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78</v>
      </c>
      <c r="E23">
        <v>1</v>
      </c>
      <c r="F23">
        <v>10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10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64</v>
      </c>
      <c r="N27" s="15">
        <v>1415</v>
      </c>
      <c r="O27" s="40"/>
      <c r="P27" s="41"/>
      <c r="Q27" s="41"/>
      <c r="R27" s="42"/>
    </row>
    <row r="28" spans="2:18" ht="60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65</v>
      </c>
      <c r="N28" s="15">
        <v>1550</v>
      </c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80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1863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15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46193.809749189815</v>
      </c>
      <c r="C5">
        <f t="shared" ref="C5:C68" si="0">IF(ISNUMBER(E5), IF(ISNUMBER(C4), C4+1, 1), "")</f>
        <v>1</v>
      </c>
      <c r="D5" t="s">
        <v>81</v>
      </c>
      <c r="E5">
        <v>1</v>
      </c>
      <c r="F5">
        <v>70</v>
      </c>
      <c r="G5" t="s">
        <v>33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63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46193.809749189815</v>
      </c>
      <c r="C6">
        <f t="shared" si="0"/>
        <v>2</v>
      </c>
      <c r="D6" t="s">
        <v>95</v>
      </c>
      <c r="E6">
        <v>1</v>
      </c>
      <c r="F6">
        <v>6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6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46193.809749189815</v>
      </c>
      <c r="C7">
        <f t="shared" si="0"/>
        <v>3</v>
      </c>
      <c r="D7" t="s">
        <v>96</v>
      </c>
      <c r="E7">
        <v>1</v>
      </c>
      <c r="F7">
        <v>4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46193.809749189815</v>
      </c>
      <c r="C8">
        <f t="shared" si="0"/>
        <v>4</v>
      </c>
      <c r="D8" t="s">
        <v>97</v>
      </c>
      <c r="E8">
        <v>1</v>
      </c>
      <c r="F8">
        <v>25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46193.809749189815</v>
      </c>
      <c r="C9">
        <f t="shared" si="0"/>
        <v>5</v>
      </c>
      <c r="D9" t="s">
        <v>98</v>
      </c>
      <c r="E9">
        <v>1</v>
      </c>
      <c r="F9">
        <v>380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380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46193.809749189815</v>
      </c>
      <c r="C10">
        <f t="shared" si="0"/>
        <v>6</v>
      </c>
      <c r="D10" t="s">
        <v>99</v>
      </c>
      <c r="E10">
        <v>5</v>
      </c>
      <c r="F10">
        <v>15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75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46193.809749189815</v>
      </c>
      <c r="C11">
        <f t="shared" si="0"/>
        <v>7</v>
      </c>
      <c r="D11" t="s">
        <v>100</v>
      </c>
      <c r="E11">
        <v>1</v>
      </c>
      <c r="F11">
        <v>50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46193.809749189815</v>
      </c>
      <c r="C12">
        <f t="shared" si="0"/>
        <v>8</v>
      </c>
      <c r="D12" t="s">
        <v>101</v>
      </c>
      <c r="E12">
        <v>1</v>
      </c>
      <c r="F12">
        <v>20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20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46193.809749189815</v>
      </c>
      <c r="C13">
        <f t="shared" si="0"/>
        <v>9</v>
      </c>
      <c r="D13" t="s">
        <v>102</v>
      </c>
      <c r="E13">
        <v>1</v>
      </c>
      <c r="F13">
        <v>95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95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46193.809749189815</v>
      </c>
      <c r="C14">
        <f t="shared" si="0"/>
        <v>10</v>
      </c>
      <c r="D14" t="s">
        <v>103</v>
      </c>
      <c r="E14">
        <v>1</v>
      </c>
      <c r="F14">
        <v>71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71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46193.809749189815</v>
      </c>
      <c r="C15">
        <f t="shared" si="0"/>
        <v>11</v>
      </c>
      <c r="D15" t="s">
        <v>104</v>
      </c>
      <c r="E15">
        <v>2</v>
      </c>
      <c r="F15">
        <v>20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40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46193.809749189815</v>
      </c>
      <c r="C16">
        <f t="shared" si="0"/>
        <v>12</v>
      </c>
      <c r="D16" t="s">
        <v>105</v>
      </c>
      <c r="E16">
        <v>1</v>
      </c>
      <c r="F16">
        <v>56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56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46193.809749189815</v>
      </c>
      <c r="C17">
        <f t="shared" si="0"/>
        <v>13</v>
      </c>
      <c r="D17" t="s">
        <v>106</v>
      </c>
      <c r="E17">
        <v>1</v>
      </c>
      <c r="F17">
        <v>750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750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46193.809749189815</v>
      </c>
      <c r="C18">
        <f t="shared" si="0"/>
        <v>14</v>
      </c>
      <c r="D18" t="s">
        <v>107</v>
      </c>
      <c r="E18">
        <v>1</v>
      </c>
      <c r="F18">
        <v>90</v>
      </c>
      <c r="G18" t="s">
        <v>33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81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46193.809749189815</v>
      </c>
      <c r="C19">
        <f t="shared" si="0"/>
        <v>15</v>
      </c>
      <c r="D19" t="s">
        <v>108</v>
      </c>
      <c r="E19">
        <v>1</v>
      </c>
      <c r="F19">
        <v>147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147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46193.809749189815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82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3677.5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3" t="s">
        <v>125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46193.809749189815</v>
      </c>
      <c r="C5">
        <f t="shared" ref="C5:C68" si="0">IF(ISNUMBER(E5), IF(ISNUMBER(C4), C4+1, 1), "")</f>
        <v>1</v>
      </c>
      <c r="D5" t="s">
        <v>109</v>
      </c>
      <c r="E5">
        <v>1</v>
      </c>
      <c r="F5">
        <v>850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850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46193.809749189815</v>
      </c>
      <c r="C6">
        <f t="shared" si="0"/>
        <v>2</v>
      </c>
      <c r="D6" t="s">
        <v>110</v>
      </c>
      <c r="E6">
        <v>1</v>
      </c>
      <c r="F6">
        <v>20</v>
      </c>
      <c r="G6" t="s">
        <v>33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46193.809749189815</v>
      </c>
      <c r="C7">
        <f t="shared" si="0"/>
        <v>3</v>
      </c>
      <c r="D7" t="s">
        <v>111</v>
      </c>
      <c r="E7">
        <v>1</v>
      </c>
      <c r="F7">
        <v>238</v>
      </c>
      <c r="G7" t="s">
        <v>33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214.5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46193.809749189815</v>
      </c>
      <c r="C8">
        <f t="shared" si="0"/>
        <v>4</v>
      </c>
      <c r="D8" t="s">
        <v>112</v>
      </c>
      <c r="E8">
        <v>1</v>
      </c>
      <c r="F8">
        <v>700</v>
      </c>
      <c r="G8" t="s">
        <v>33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630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46193.809749189815</v>
      </c>
      <c r="C9">
        <f t="shared" si="0"/>
        <v>5</v>
      </c>
      <c r="D9" t="s">
        <v>113</v>
      </c>
      <c r="E9">
        <v>1</v>
      </c>
      <c r="F9">
        <v>25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46193.809749189815</v>
      </c>
      <c r="C10">
        <f t="shared" si="0"/>
        <v>6</v>
      </c>
      <c r="D10" t="s">
        <v>72</v>
      </c>
      <c r="E10">
        <v>1</v>
      </c>
      <c r="F10">
        <v>50</v>
      </c>
      <c r="G10" t="s">
        <v>33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45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46193.809749189815</v>
      </c>
      <c r="C11">
        <f t="shared" si="0"/>
        <v>7</v>
      </c>
      <c r="D11" t="s">
        <v>114</v>
      </c>
      <c r="E11">
        <v>1</v>
      </c>
      <c r="F11">
        <v>15</v>
      </c>
      <c r="G11" t="s">
        <v>33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13.5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46193.809749189815</v>
      </c>
      <c r="C12">
        <f t="shared" si="0"/>
        <v>8</v>
      </c>
      <c r="D12" t="s">
        <v>29</v>
      </c>
      <c r="E12">
        <v>1</v>
      </c>
      <c r="F12">
        <v>200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200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46193.809749189815</v>
      </c>
      <c r="C13">
        <f t="shared" si="0"/>
        <v>9</v>
      </c>
      <c r="D13" t="s">
        <v>115</v>
      </c>
      <c r="E13">
        <v>1</v>
      </c>
      <c r="F13">
        <v>520</v>
      </c>
      <c r="G13" t="s">
        <v>33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468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46193.809749189815</v>
      </c>
      <c r="C14">
        <f t="shared" si="0"/>
        <v>10</v>
      </c>
      <c r="D14" t="s">
        <v>116</v>
      </c>
      <c r="E14">
        <v>1</v>
      </c>
      <c r="F14">
        <v>75</v>
      </c>
      <c r="G14" t="s">
        <v>33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67.5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46193.809749189815</v>
      </c>
      <c r="C15">
        <f t="shared" si="0"/>
        <v>11</v>
      </c>
      <c r="D15" t="s">
        <v>117</v>
      </c>
      <c r="E15">
        <v>1</v>
      </c>
      <c r="F15">
        <v>301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301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46193.809749189815</v>
      </c>
      <c r="C16">
        <f t="shared" si="0"/>
        <v>12</v>
      </c>
      <c r="D16" t="s">
        <v>118</v>
      </c>
      <c r="E16">
        <v>1</v>
      </c>
      <c r="F16">
        <v>70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70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46193.809749189815</v>
      </c>
      <c r="C17">
        <f t="shared" si="0"/>
        <v>13</v>
      </c>
      <c r="D17" t="s">
        <v>119</v>
      </c>
      <c r="E17">
        <v>1</v>
      </c>
      <c r="F17">
        <v>28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46193.809749189815</v>
      </c>
      <c r="C18">
        <f t="shared" si="0"/>
        <v>14</v>
      </c>
      <c r="D18" t="s">
        <v>120</v>
      </c>
      <c r="E18">
        <v>1</v>
      </c>
      <c r="F18">
        <v>25</v>
      </c>
      <c r="G18" t="s">
        <v>33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22.5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46193.809749189815</v>
      </c>
      <c r="C19">
        <f t="shared" si="0"/>
        <v>15</v>
      </c>
      <c r="D19" t="s">
        <v>121</v>
      </c>
      <c r="E19">
        <v>1</v>
      </c>
      <c r="F19">
        <v>30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30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46193.809749189815</v>
      </c>
      <c r="C20">
        <f t="shared" si="0"/>
        <v>16</v>
      </c>
      <c r="D20" t="s">
        <v>122</v>
      </c>
      <c r="E20">
        <v>1</v>
      </c>
      <c r="F20">
        <v>38</v>
      </c>
      <c r="G20" t="s">
        <v>33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34.5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73</v>
      </c>
      <c r="E21">
        <v>1</v>
      </c>
      <c r="F21">
        <v>71</v>
      </c>
      <c r="G21" t="s">
        <v>33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64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123</v>
      </c>
      <c r="E22">
        <v>1</v>
      </c>
      <c r="F22">
        <v>72</v>
      </c>
      <c r="G22" t="s">
        <v>33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65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124</v>
      </c>
      <c r="E23">
        <v>1</v>
      </c>
      <c r="F23">
        <v>590</v>
      </c>
      <c r="G23" t="s">
        <v>33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531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83</v>
      </c>
      <c r="N27" s="15">
        <v>867</v>
      </c>
      <c r="O27" s="40" t="s">
        <v>84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85</v>
      </c>
      <c r="N28" s="15">
        <v>1830</v>
      </c>
      <c r="O28" s="40" t="s">
        <v>86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87</v>
      </c>
      <c r="N29" s="15">
        <v>1415</v>
      </c>
      <c r="O29" s="40" t="s">
        <v>88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89</v>
      </c>
      <c r="N30" s="15">
        <v>1550</v>
      </c>
      <c r="O30" s="40" t="s">
        <v>88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90</v>
      </c>
      <c r="N31" s="15">
        <v>295</v>
      </c>
      <c r="O31" s="40" t="s">
        <v>91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92</v>
      </c>
      <c r="N32" s="15">
        <v>1500</v>
      </c>
      <c r="O32" s="40" t="s">
        <v>91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93</v>
      </c>
      <c r="N33" s="15">
        <v>7457</v>
      </c>
      <c r="O33" s="40" t="s">
        <v>94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3" sqref="D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126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4475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23" t="s">
        <v>148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46193.809749189815</v>
      </c>
      <c r="C5">
        <f t="shared" ref="C5:C68" si="0">IF(ISNUMBER(E5), IF(ISNUMBER(C4), C4+1, 1), "")</f>
        <v>1</v>
      </c>
      <c r="D5" t="s">
        <v>127</v>
      </c>
      <c r="E5">
        <v>1</v>
      </c>
      <c r="F5">
        <v>423</v>
      </c>
      <c r="G5" t="s">
        <v>33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381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46193.809749189815</v>
      </c>
      <c r="C6">
        <f t="shared" si="0"/>
        <v>2</v>
      </c>
      <c r="D6" t="s">
        <v>128</v>
      </c>
      <c r="E6">
        <v>1</v>
      </c>
      <c r="F6">
        <v>20</v>
      </c>
      <c r="G6" t="s">
        <v>33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46193.809749189815</v>
      </c>
      <c r="C7">
        <f t="shared" si="0"/>
        <v>3</v>
      </c>
      <c r="D7" t="s">
        <v>129</v>
      </c>
      <c r="E7">
        <v>1</v>
      </c>
      <c r="F7">
        <v>266</v>
      </c>
      <c r="G7" t="s">
        <v>33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239.5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46193.809749189815</v>
      </c>
      <c r="C8">
        <f t="shared" si="0"/>
        <v>4</v>
      </c>
      <c r="D8" t="s">
        <v>130</v>
      </c>
      <c r="E8">
        <v>1</v>
      </c>
      <c r="F8">
        <v>150</v>
      </c>
      <c r="G8" t="s">
        <v>33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135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46193.809749189815</v>
      </c>
      <c r="C9">
        <f t="shared" si="0"/>
        <v>5</v>
      </c>
      <c r="D9" t="s">
        <v>131</v>
      </c>
      <c r="E9">
        <v>1</v>
      </c>
      <c r="F9">
        <v>65</v>
      </c>
      <c r="G9" t="s">
        <v>33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58.5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46193.809749189815</v>
      </c>
      <c r="C10">
        <f t="shared" si="0"/>
        <v>6</v>
      </c>
      <c r="D10" t="s">
        <v>48</v>
      </c>
      <c r="E10">
        <v>1</v>
      </c>
      <c r="F10">
        <v>90</v>
      </c>
      <c r="G10" t="s">
        <v>33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85.5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46193.809749189815</v>
      </c>
      <c r="C11">
        <f t="shared" si="0"/>
        <v>7</v>
      </c>
      <c r="D11" t="s">
        <v>132</v>
      </c>
      <c r="E11">
        <v>1</v>
      </c>
      <c r="F11">
        <v>15</v>
      </c>
      <c r="G11" t="s">
        <v>33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13.5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46193.809749189815</v>
      </c>
      <c r="C12">
        <f t="shared" si="0"/>
        <v>8</v>
      </c>
      <c r="D12" t="s">
        <v>149</v>
      </c>
      <c r="E12">
        <v>1</v>
      </c>
      <c r="F12">
        <v>56</v>
      </c>
      <c r="G12" t="s">
        <v>33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50.5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46193.809749189815</v>
      </c>
      <c r="C13">
        <f t="shared" si="0"/>
        <v>9</v>
      </c>
      <c r="D13" t="s">
        <v>133</v>
      </c>
      <c r="E13">
        <v>1</v>
      </c>
      <c r="F13">
        <v>50</v>
      </c>
      <c r="G13" t="s">
        <v>33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46193.809749189815</v>
      </c>
      <c r="C14">
        <f t="shared" si="0"/>
        <v>10</v>
      </c>
      <c r="D14" t="s">
        <v>134</v>
      </c>
      <c r="E14">
        <v>1</v>
      </c>
      <c r="F14">
        <v>70</v>
      </c>
      <c r="G14" t="s">
        <v>33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63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46193.809749189815</v>
      </c>
      <c r="C15">
        <f t="shared" si="0"/>
        <v>11</v>
      </c>
      <c r="D15" t="s">
        <v>135</v>
      </c>
      <c r="E15">
        <v>5</v>
      </c>
      <c r="F15">
        <v>6</v>
      </c>
      <c r="G15" t="s">
        <v>33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27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46193.809749189815</v>
      </c>
      <c r="C16">
        <f t="shared" si="0"/>
        <v>12</v>
      </c>
      <c r="D16" t="s">
        <v>136</v>
      </c>
      <c r="E16">
        <v>1</v>
      </c>
      <c r="F16">
        <v>15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46193.809749189815</v>
      </c>
      <c r="C17">
        <f t="shared" si="0"/>
        <v>13</v>
      </c>
      <c r="D17" t="s">
        <v>138</v>
      </c>
      <c r="E17">
        <v>1</v>
      </c>
      <c r="F17">
        <v>45</v>
      </c>
      <c r="G17" t="s">
        <v>33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40.5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46193.809749189815</v>
      </c>
      <c r="C18">
        <f t="shared" si="0"/>
        <v>14</v>
      </c>
      <c r="D18" t="s">
        <v>139</v>
      </c>
      <c r="E18">
        <v>1</v>
      </c>
      <c r="F18">
        <v>65</v>
      </c>
      <c r="G18" t="s">
        <v>33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58.5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46193.809749189815</v>
      </c>
      <c r="C19">
        <f t="shared" si="0"/>
        <v>15</v>
      </c>
      <c r="D19" t="s">
        <v>140</v>
      </c>
      <c r="E19">
        <v>1</v>
      </c>
      <c r="F19">
        <v>70</v>
      </c>
      <c r="G19" t="s">
        <v>33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63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46193.809749189815</v>
      </c>
      <c r="C20">
        <f t="shared" si="0"/>
        <v>16</v>
      </c>
      <c r="D20" t="s">
        <v>141</v>
      </c>
      <c r="E20">
        <v>1</v>
      </c>
      <c r="F20">
        <v>175</v>
      </c>
      <c r="G20" t="s">
        <v>33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157.5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142</v>
      </c>
      <c r="E21">
        <v>1</v>
      </c>
      <c r="F21">
        <v>150</v>
      </c>
      <c r="G21" t="s">
        <v>33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142.5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133</v>
      </c>
      <c r="E22">
        <v>1</v>
      </c>
      <c r="F22">
        <v>50</v>
      </c>
      <c r="G22" t="s">
        <v>33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45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143</v>
      </c>
      <c r="E23">
        <v>1</v>
      </c>
      <c r="F23">
        <v>70</v>
      </c>
      <c r="G23" t="s">
        <v>33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63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144</v>
      </c>
      <c r="E24">
        <v>1</v>
      </c>
      <c r="F24">
        <v>15</v>
      </c>
      <c r="G24" t="s">
        <v>33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13.5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72</v>
      </c>
      <c r="E25">
        <v>1</v>
      </c>
      <c r="F25">
        <v>50</v>
      </c>
      <c r="G25" t="s">
        <v>33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45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145</v>
      </c>
      <c r="E26">
        <v>3</v>
      </c>
      <c r="F26">
        <v>10</v>
      </c>
      <c r="G26" t="s">
        <v>33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27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146</v>
      </c>
      <c r="E27">
        <v>1</v>
      </c>
      <c r="F27">
        <v>257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257</v>
      </c>
      <c r="M27" s="13" t="s">
        <v>137</v>
      </c>
      <c r="N27" s="15">
        <v>68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147</v>
      </c>
      <c r="E28">
        <v>1</v>
      </c>
      <c r="F28">
        <v>1990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1990</v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30</v>
      </c>
      <c r="E29">
        <v>1</v>
      </c>
      <c r="F29">
        <v>297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297</v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48</v>
      </c>
      <c r="E30">
        <v>1</v>
      </c>
      <c r="F30">
        <v>90</v>
      </c>
      <c r="G30" t="s">
        <v>33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85.5</v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133</v>
      </c>
      <c r="E31">
        <v>1</v>
      </c>
      <c r="F31">
        <v>50</v>
      </c>
      <c r="G31" t="s">
        <v>33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45</v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144</v>
      </c>
      <c r="E32">
        <v>1</v>
      </c>
      <c r="F32">
        <v>15</v>
      </c>
      <c r="G32" t="s">
        <v>33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13.5</v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46193.809749189815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46193.809749189815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46193.809749189815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46193.809749189815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46193.809749189815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46193.809749189815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46193.809749189815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46193.809749189815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46193.809749189815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46193.809749189815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46193.809749189815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46193.809749189815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46193.809749189815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46193.809749189815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46193.809749189815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15-06-26</vt:lpstr>
      <vt:lpstr>MarteS 16-06-26</vt:lpstr>
      <vt:lpstr>Miercoles 17-06-26</vt:lpstr>
      <vt:lpstr>Jueves 18-06-26</vt:lpstr>
      <vt:lpstr>Viernes 19-06-26</vt:lpstr>
      <vt:lpstr>Sabado 20-06-26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2026-06-21T01:28:41Z</dcterms:modified>
</cp:coreProperties>
</file>