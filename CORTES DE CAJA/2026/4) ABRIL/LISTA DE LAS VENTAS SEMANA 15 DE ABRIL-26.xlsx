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42F8752-B437-4362-9DFE-659FAB5687CC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20-04-26" sheetId="1" r:id="rId1"/>
    <sheet name="Martes 21-04-26" sheetId="2" r:id="rId2"/>
    <sheet name="Miercoles 22-04-26" sheetId="3" r:id="rId3"/>
    <sheet name="Jueves 23-04-26" sheetId="4" r:id="rId4"/>
    <sheet name="Viernes 24-04-26" sheetId="5" r:id="rId5"/>
    <sheet name="Sabado 25-04-26" sheetId="6" r:id="rId6"/>
    <sheet name="Domingo" sheetId="8" r:id="rId7"/>
    <sheet name="Cambios" sheetId="7" r:id="rId8"/>
  </sheets>
  <definedNames>
    <definedName name="_xlnm._FilterDatabase" localSheetId="0" hidden="1">'Lunes 20-04-26'!$B$4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 s="1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<sst xmlns="http://schemas.openxmlformats.org/spreadsheetml/2006/main" count="346" uniqueCount="154">
  <si>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</si>
  <si>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</si>
  <si>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</si>
  <si>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</si>
  <si>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</si>
  <si>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</si>
  <si>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</si>
  <si>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</si>
  <si>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</si>
  <si>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</si>
  <si>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</si>
  <si>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</si>
  <si>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</si>
  <si>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</si>
  <si>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</si>
  <si>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</si>
  <si>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</si>
  <si>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</si>
  <si>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</si>
  <si>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</si>
  <si>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</si>
  <si>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</si>
  <si>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</si>
  <si>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</si>
  <si>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</si>
  <si>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20 DE ABRIL-26</t>
  </si>
  <si>
    <t xml:space="preserve">ACEITE AKRON </t>
  </si>
  <si>
    <t>X</t>
  </si>
  <si>
    <t xml:space="preserve">MANUBRIO DE 3 PIEZAS </t>
  </si>
  <si>
    <t xml:space="preserve">MANGUERA DE FRENO </t>
  </si>
  <si>
    <t>ACEITE REPSOL</t>
  </si>
  <si>
    <t>FILTRO DE AIRE DS150 ITALIKA</t>
  </si>
  <si>
    <t>FILTRO DE AIRE D150</t>
  </si>
  <si>
    <t>BUJIA C7</t>
  </si>
  <si>
    <t xml:space="preserve">FILTRO DE GASOLINA CARTON </t>
  </si>
  <si>
    <t>RESPUESTO DE CARBURADOR  DS150  ITALI1</t>
  </si>
  <si>
    <t>FOCO DE STOP</t>
  </si>
  <si>
    <t xml:space="preserve">PEDIDO MERCADO </t>
  </si>
  <si>
    <r>
      <t xml:space="preserve">CUENTA SEMANA PASADA $ 20498.5  MENOS PEDIDO MERCADO </t>
    </r>
    <r>
      <rPr>
        <b/>
        <sz val="18"/>
        <color theme="1"/>
        <rFont val="Calibri"/>
        <family val="2"/>
        <scheme val="minor"/>
      </rPr>
      <t xml:space="preserve">LIBRE $ 7546 QUEDA $ 12952.5 </t>
    </r>
  </si>
  <si>
    <t xml:space="preserve">FOCO </t>
  </si>
  <si>
    <t>FILTRO DE AIRE WS175</t>
  </si>
  <si>
    <t>TUBO MOVIL DS150</t>
  </si>
  <si>
    <t xml:space="preserve">CINTA DE AISLAR GRANDE </t>
  </si>
  <si>
    <t>STIKER</t>
  </si>
  <si>
    <t xml:space="preserve">PILA NASAKI MOTONETA </t>
  </si>
  <si>
    <t>LLANTA 2.75.17</t>
  </si>
  <si>
    <t>BOMBA DE FRENO DM200</t>
  </si>
  <si>
    <t xml:space="preserve">LIQUIDO DE FRENO </t>
  </si>
  <si>
    <t>AUXILIARES DE BUHO SOLO</t>
  </si>
  <si>
    <t>CABLE RSUELTO ROJO</t>
  </si>
  <si>
    <t>CAPUCHON DE BUJIA DS150</t>
  </si>
  <si>
    <t>Martes 21 DE ABRIL-26</t>
  </si>
  <si>
    <t>FOCO H6 LED</t>
  </si>
  <si>
    <t>CABLE NEGRO SUELTO</t>
  </si>
  <si>
    <t>CHICOTE DE CLUTH PULSAR 200NS</t>
  </si>
  <si>
    <t>GUIA TENSOR DE CADENA RT200</t>
  </si>
  <si>
    <t xml:space="preserve">CADENA 520 CON ORING REFORZADA </t>
  </si>
  <si>
    <t>PEDIDO OSCAR</t>
  </si>
  <si>
    <t xml:space="preserve">PUÑOS DE DS150 </t>
  </si>
  <si>
    <t xml:space="preserve">MANGUERA DE GASOLINA </t>
  </si>
  <si>
    <t xml:space="preserve">BALATA DE TAMBOR </t>
  </si>
  <si>
    <t>BOBINA DE ARRANQUE FT150</t>
  </si>
  <si>
    <t xml:space="preserve">PEDIDO NASAKI </t>
  </si>
  <si>
    <t xml:space="preserve">CUENTA DE SEMANA PASADA $ 12952.5 MENOS 3287 QUEDA $ 9665.5 MENOS $ 5355 QUEDA $ 4310.5 </t>
  </si>
  <si>
    <t xml:space="preserve">ESCAPE </t>
  </si>
  <si>
    <t>CAMARA 120-80-18</t>
  </si>
  <si>
    <t>BUJIA D8</t>
  </si>
  <si>
    <t>POPOTE PARA RAYO ROJO</t>
  </si>
  <si>
    <t>RETEN DE MOTOR DS150</t>
  </si>
  <si>
    <t>Miercoles 22 DE ABRIL-26</t>
  </si>
  <si>
    <t>TUECA DE ESCAPE DS150</t>
  </si>
  <si>
    <t>BALATA DE DISCO TRASERA 200Z</t>
  </si>
  <si>
    <t>BALATA DE TAMBOR CHICO CS125</t>
  </si>
  <si>
    <t>SELLO DE ESCAPE FT150</t>
  </si>
  <si>
    <t>MANIJA IZQUIERDA 150Z</t>
  </si>
  <si>
    <t>SEGURO DE PIÑON</t>
  </si>
  <si>
    <t>ANTICIPO DE RIND</t>
  </si>
  <si>
    <t xml:space="preserve">COSAS QUE LLEVO DANIEL </t>
  </si>
  <si>
    <t>TENSOR DE CADENA FT150</t>
  </si>
  <si>
    <t>SPROKET FT125</t>
  </si>
  <si>
    <t>BIRLOS DE FT150</t>
  </si>
  <si>
    <t>RAYOS TRASEROS DE FT150</t>
  </si>
  <si>
    <t xml:space="preserve">CUENTA DE AYER $ 4310.5 MENOS $ 960 DE COSAS QUE LLEVO DANIEL QUEDA $ 3350.5 </t>
  </si>
  <si>
    <t>KID DE ARRASTRE 250Z</t>
  </si>
  <si>
    <t>BALATA DELANTERA XR150</t>
  </si>
  <si>
    <t>ACEITE MOTUL 5100</t>
  </si>
  <si>
    <t>FILTRO ACEI ZUZUKI GNS125</t>
  </si>
  <si>
    <t xml:space="preserve">ANTICONGELANTE </t>
  </si>
  <si>
    <t>Jueves 23 DE ABRIL-26</t>
  </si>
  <si>
    <t>ACEITE AKRON</t>
  </si>
  <si>
    <t>TAZAS DE DIRECCCION DM15-</t>
  </si>
  <si>
    <t>BALATA DE DISCO VITALIA</t>
  </si>
  <si>
    <t>BALATA DE TAMBOR DS150 WAPEMEX</t>
  </si>
  <si>
    <t>MANUBRIO 3 PIEZAS NEGRO</t>
  </si>
  <si>
    <t xml:space="preserve">MANIJAS 125Z NASAKI PLATA </t>
  </si>
  <si>
    <t>ACEITE MOTUL5100</t>
  </si>
  <si>
    <t>GOMAS DE IMPACTO RC200</t>
  </si>
  <si>
    <t>PIÑON DE 250Z</t>
  </si>
  <si>
    <t>MANUBRIO DE 3 PIEZAS</t>
  </si>
  <si>
    <t xml:space="preserve">DIRECCIONALES UNIVERSALES </t>
  </si>
  <si>
    <t xml:space="preserve">BULVO </t>
  </si>
  <si>
    <t>BALERO 6201</t>
  </si>
  <si>
    <t xml:space="preserve">AFLOJATODO </t>
  </si>
  <si>
    <t>CHICOTE DE ACELERADOR FT150</t>
  </si>
  <si>
    <t xml:space="preserve">ARO DE RIND DELANTERO DE HONDA </t>
  </si>
  <si>
    <t xml:space="preserve">FILTRO DE GAASOLINA CARTON </t>
  </si>
  <si>
    <t>FILTRO DE AIRE DS150</t>
  </si>
  <si>
    <t>ACEITE YAMALUBE</t>
  </si>
  <si>
    <t>FILTRO DE ACEITE FZ2.0</t>
  </si>
  <si>
    <t>CHICOTE DE CLUTH FT150</t>
  </si>
  <si>
    <t>CHICOTE DE CLUTH UNIVERSAL</t>
  </si>
  <si>
    <t>Viernes 24 DE ABRIL-26</t>
  </si>
  <si>
    <t>MERCADO</t>
  </si>
  <si>
    <t>LUNES 20 DE ABRIL-26</t>
  </si>
  <si>
    <t>P.OSCAR</t>
  </si>
  <si>
    <t>MARTES 21 DE ABRIL-26</t>
  </si>
  <si>
    <t>P.NASAKI</t>
  </si>
  <si>
    <t xml:space="preserve">DANIEL </t>
  </si>
  <si>
    <t>MIERCOLES 22 DE ABRIL-26</t>
  </si>
  <si>
    <t xml:space="preserve">MERCADO </t>
  </si>
  <si>
    <t>VIERNES 24 DE ABRIL-26</t>
  </si>
  <si>
    <t xml:space="preserve">PAGOYAS </t>
  </si>
  <si>
    <t>TOTAL</t>
  </si>
  <si>
    <t xml:space="preserve">TOTAL DE EGRESOS </t>
  </si>
  <si>
    <t>EJE DE RUEDA TRASERO 125Z</t>
  </si>
  <si>
    <t>PILA QLINK 12N7 34</t>
  </si>
  <si>
    <t>MANGUERA DE GASOLINA CARTON</t>
  </si>
  <si>
    <t>FOCO LED H4</t>
  </si>
  <si>
    <t>CUBRE PUÑOS CON LUZ LED</t>
  </si>
  <si>
    <t>BALATA DEALNTERA VENTO ROKEMAN</t>
  </si>
  <si>
    <t xml:space="preserve">RESORTE DE PARADOR CENTRAL </t>
  </si>
  <si>
    <t xml:space="preserve">RED DE ACIENTO </t>
  </si>
  <si>
    <t xml:space="preserve">CAPUCHON DE BUJIA </t>
  </si>
  <si>
    <r>
      <rPr>
        <b/>
        <sz val="16"/>
        <color theme="1"/>
        <rFont val="Calibri"/>
        <family val="2"/>
        <scheme val="minor"/>
      </rPr>
      <t xml:space="preserve">CORTES DE LA SEMANA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20 DE ABRIL-26                   $ 20498.5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$ 2695           MENOS $ 20850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21 DE ABRIL-26               $ 00000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$ 2532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22 DE ABRIL-26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$ 2871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23 DE ABRIL-26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$ 2621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24 DE ABRIL-26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$1366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 xml:space="preserve">TOTAL $ 12085
MENOS $ 11733.5 
TOTAL EN CAJA $ 11733.5 </t>
    </r>
    <r>
      <rPr>
        <sz val="16"/>
        <color theme="1"/>
        <rFont val="Calibri"/>
        <family val="2"/>
        <scheme val="minor"/>
      </rPr>
      <t xml:space="preserve">
</t>
    </r>
  </si>
  <si>
    <t>Sabado 25 DE ABRIL-26</t>
  </si>
  <si>
    <t>CAMARA 3.50.10</t>
  </si>
  <si>
    <t xml:space="preserve">FUSIBLE </t>
  </si>
  <si>
    <t>CALABERA DE DM200</t>
  </si>
  <si>
    <t>SALPICADERA TRASERA DM200</t>
  </si>
  <si>
    <t>FILTRO DE AIRE DM200</t>
  </si>
  <si>
    <t>FILTRO DE GASOLINA PIEDRA</t>
  </si>
  <si>
    <t>FILTRO DE AIRE WS150</t>
  </si>
  <si>
    <t>FILTRO DE AIRE 150Z</t>
  </si>
  <si>
    <t>TAZAS DE DIRECCION WS150 SPORT</t>
  </si>
  <si>
    <t>BUJIA C9</t>
  </si>
  <si>
    <t>PASTAS DE CLUTH FZ16</t>
  </si>
  <si>
    <t>JUNTAS DE MOTOR FZ16</t>
  </si>
  <si>
    <t xml:space="preserve">GUIA DE CADENA 250Z </t>
  </si>
  <si>
    <t>FILTRO DE ACEI FZ2.0</t>
  </si>
  <si>
    <t>CAMARA 90-90-18</t>
  </si>
  <si>
    <t>ACEITE MOTUL 7100 20-W50</t>
  </si>
  <si>
    <t xml:space="preserve">FILTRO DE ACEITE PULSA 200NS </t>
  </si>
  <si>
    <t>MANUBRIO DE FZ16</t>
  </si>
  <si>
    <r>
      <t xml:space="preserve">CUENTA DE HOY SABADO $ 2475 MENOS $ 300 PAGO DE YAS QUEDA $ 2175 MAS LO DE AYER EN CAJA $ 11733.5 
</t>
    </r>
    <r>
      <rPr>
        <b/>
        <sz val="20"/>
        <color theme="1"/>
        <rFont val="Calibri"/>
        <family val="2"/>
        <scheme val="minor"/>
      </rPr>
      <t xml:space="preserve">TOTAL EN CAJA $ 13908.5 </t>
    </r>
    <r>
      <rPr>
        <sz val="11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</si>
</sst>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6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29" sqref="D2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2695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24</v>
      </c>
      <c r="M4" s="36" t="s">
        <v>38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46137.784562384259</v>
      </c>
      <c r="C5">
        <f>IF(ISNUMBER(E5), IF(ISNUMBER(C4), C4+1, 1), "")</f>
        <v>1</v>
      </c>
      <c r="D5" t="s">
        <v>26</v>
      </c>
      <c r="E5">
        <v>2</v>
      </c>
      <c r="F5">
        <v>117</v>
      </c>
      <c r="G5" t="s">
        <v>27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222.5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46137.784562384259</v>
      </c>
      <c r="C6">
        <f t="shared" ref="C6:C36" si="0">IF(ISNUMBER(E6), IF(ISNUMBER(C5), C5+1, 1), "")</f>
        <v>2</v>
      </c>
      <c r="D6" t="s">
        <v>28</v>
      </c>
      <c r="E6">
        <v>1</v>
      </c>
      <c r="F6">
        <v>250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250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46137.784562384259</v>
      </c>
      <c r="C7">
        <f t="shared" si="0"/>
        <v>3</v>
      </c>
      <c r="D7" t="s">
        <v>29</v>
      </c>
      <c r="E7">
        <v>1</v>
      </c>
      <c r="F7">
        <v>135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135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46137.784562384259</v>
      </c>
      <c r="C8">
        <f t="shared" si="0"/>
        <v>4</v>
      </c>
      <c r="D8" t="s">
        <v>30</v>
      </c>
      <c r="E8">
        <v>1</v>
      </c>
      <c r="F8">
        <v>142</v>
      </c>
      <c r="G8" t="s">
        <v>27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135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46137.784562384259</v>
      </c>
      <c r="C9">
        <f t="shared" si="0"/>
        <v>5</v>
      </c>
      <c r="D9" t="s">
        <v>26</v>
      </c>
      <c r="E9">
        <v>2</v>
      </c>
      <c r="F9">
        <v>117</v>
      </c>
      <c r="G9" t="s">
        <v>27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222.5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46137.784562384259</v>
      </c>
      <c r="C10">
        <f t="shared" si="0"/>
        <v>6</v>
      </c>
      <c r="D10" t="s">
        <v>31</v>
      </c>
      <c r="E10">
        <v>1</v>
      </c>
      <c r="F10">
        <v>70</v>
      </c>
      <c r="G10" t="s">
        <v>27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63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46137.784562384259</v>
      </c>
      <c r="C11">
        <f t="shared" si="0"/>
        <v>7</v>
      </c>
      <c r="D11" t="s">
        <v>32</v>
      </c>
      <c r="E11">
        <v>1</v>
      </c>
      <c r="F11">
        <v>60</v>
      </c>
      <c r="G11" t="s">
        <v>27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54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46137.784562384259</v>
      </c>
      <c r="C12">
        <f t="shared" si="0"/>
        <v>8</v>
      </c>
      <c r="D12" t="s">
        <v>33</v>
      </c>
      <c r="E12">
        <v>2</v>
      </c>
      <c r="F12">
        <v>50</v>
      </c>
      <c r="G12" t="s">
        <v>27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90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46137.784562384259</v>
      </c>
      <c r="C13">
        <f t="shared" si="0"/>
        <v>9</v>
      </c>
      <c r="D13" t="s">
        <v>34</v>
      </c>
      <c r="E13">
        <v>2</v>
      </c>
      <c r="F13">
        <v>15</v>
      </c>
      <c r="G13" t="s">
        <v>27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27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46137.784562384259</v>
      </c>
      <c r="C14">
        <f t="shared" si="0"/>
        <v>10</v>
      </c>
      <c r="D14" t="s">
        <v>35</v>
      </c>
      <c r="E14">
        <v>1</v>
      </c>
      <c r="F14">
        <v>180</v>
      </c>
      <c r="G14" t="s">
        <v>27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162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46137.784562384259</v>
      </c>
      <c r="C15">
        <f t="shared" si="0"/>
        <v>11</v>
      </c>
      <c r="D15" t="s">
        <v>36</v>
      </c>
      <c r="E15">
        <v>1</v>
      </c>
      <c r="F15">
        <v>20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20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46137.784562384259</v>
      </c>
      <c r="C16">
        <f t="shared" si="0"/>
        <v>12</v>
      </c>
      <c r="D16" t="s">
        <v>39</v>
      </c>
      <c r="E16">
        <v>1</v>
      </c>
      <c r="F16">
        <v>35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35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46137.784562384259</v>
      </c>
      <c r="C17">
        <f t="shared" si="0"/>
        <v>13</v>
      </c>
      <c r="D17" t="s">
        <v>40</v>
      </c>
      <c r="E17">
        <v>1</v>
      </c>
      <c r="F17">
        <v>54</v>
      </c>
      <c r="G17" t="s">
        <v>27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49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46137.784562384259</v>
      </c>
      <c r="C18">
        <f t="shared" si="0"/>
        <v>14</v>
      </c>
      <c r="D18" t="s">
        <v>41</v>
      </c>
      <c r="E18">
        <v>1</v>
      </c>
      <c r="F18">
        <v>15</v>
      </c>
      <c r="G18" t="s">
        <v>27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13.5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46137.784562384259</v>
      </c>
      <c r="C19">
        <f t="shared" si="0"/>
        <v>15</v>
      </c>
      <c r="D19" t="s">
        <v>42</v>
      </c>
      <c r="E19">
        <v>1</v>
      </c>
      <c r="F19">
        <v>22</v>
      </c>
      <c r="G19" t="s">
        <v>27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20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46137.784562384259</v>
      </c>
      <c r="C20">
        <f t="shared" si="0"/>
        <v>16</v>
      </c>
      <c r="D20" t="s">
        <v>43</v>
      </c>
      <c r="E20">
        <v>1</v>
      </c>
      <c r="F20">
        <v>5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46137.784562384259</v>
      </c>
      <c r="C21">
        <f t="shared" si="0"/>
        <v>17</v>
      </c>
      <c r="D21" t="s">
        <v>44</v>
      </c>
      <c r="E21">
        <v>1</v>
      </c>
      <c r="F21">
        <v>500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500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46137.784562384259</v>
      </c>
      <c r="C22">
        <f t="shared" si="0"/>
        <v>18</v>
      </c>
      <c r="D22" t="s">
        <v>45</v>
      </c>
      <c r="E22">
        <v>1</v>
      </c>
      <c r="F22">
        <v>72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72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46137.784562384259</v>
      </c>
      <c r="C23">
        <f t="shared" si="0"/>
        <v>19</v>
      </c>
      <c r="D23" t="s">
        <v>46</v>
      </c>
      <c r="E23">
        <v>1</v>
      </c>
      <c r="F23">
        <v>200</v>
      </c>
      <c r="G23" t="s">
        <v>27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180</v>
      </c>
    </row>
    <row r="24" spans="2:18" ht="15" customHeight="1" x14ac:dyDescent="0.25">
      <c r="B24" s="18">
        <f ca="1">IF(Tabla1[[#This Row],['#]]&lt;&gt;"", NOW(), "")</f>
        <v>46137.784562384259</v>
      </c>
      <c r="C24">
        <f t="shared" si="0"/>
        <v>20</v>
      </c>
      <c r="D24" t="s">
        <v>47</v>
      </c>
      <c r="E24">
        <v>1</v>
      </c>
      <c r="F24">
        <v>55</v>
      </c>
      <c r="G24" t="s">
        <v>27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49.5</v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>
        <f ca="1">IF(Tabla1[[#This Row],['#]]&lt;&gt;"", NOW(), "")</f>
        <v>46137.784562384259</v>
      </c>
      <c r="C25">
        <f t="shared" si="0"/>
        <v>21</v>
      </c>
      <c r="D25" t="s">
        <v>48</v>
      </c>
      <c r="E25">
        <v>1</v>
      </c>
      <c r="F25">
        <v>177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177</v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>
        <f ca="1">IF(Tabla1[[#This Row],['#]]&lt;&gt;"", NOW(), "")</f>
        <v>46137.784562384259</v>
      </c>
      <c r="C26">
        <f t="shared" si="0"/>
        <v>22</v>
      </c>
      <c r="D26" t="s">
        <v>48</v>
      </c>
      <c r="E26">
        <v>1</v>
      </c>
      <c r="F26">
        <v>177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177</v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>
        <f ca="1">IF(Tabla1[[#This Row],['#]]&lt;&gt;"", NOW(), "")</f>
        <v>46137.784562384259</v>
      </c>
      <c r="C27">
        <f t="shared" si="0"/>
        <v>23</v>
      </c>
      <c r="D27" t="s">
        <v>49</v>
      </c>
      <c r="E27">
        <v>1</v>
      </c>
      <c r="F27">
        <v>16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16</v>
      </c>
      <c r="M27" s="19" t="s">
        <v>37</v>
      </c>
      <c r="N27" s="20"/>
      <c r="O27" s="23">
        <v>7546</v>
      </c>
      <c r="P27" s="25"/>
      <c r="Q27" s="26"/>
      <c r="R27" s="27"/>
    </row>
    <row r="28" spans="2:18" x14ac:dyDescent="0.25">
      <c r="B28" s="18">
        <f ca="1">IF(Tabla1[[#This Row],['#]]&lt;&gt;"", NOW(), "")</f>
        <v>46137.784562384259</v>
      </c>
      <c r="C28">
        <f t="shared" si="0"/>
        <v>24</v>
      </c>
      <c r="D28" t="s">
        <v>50</v>
      </c>
      <c r="E28">
        <v>1</v>
      </c>
      <c r="F28">
        <v>20</v>
      </c>
      <c r="H28" s="5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>20</v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/>
      <c r="N29" s="20"/>
      <c r="O29" s="23"/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/>
      <c r="N31" s="20"/>
      <c r="O31" s="23"/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E40" sqref="E4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51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2532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17</v>
      </c>
      <c r="M4" s="36" t="s">
        <v>63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46137.784562384259</v>
      </c>
      <c r="C5">
        <f t="shared" ref="C5:C68" si="0">IF(ISNUMBER(E5), IF(ISNUMBER(C4), C4+1, 1), "")</f>
        <v>1</v>
      </c>
      <c r="D5" t="s">
        <v>52</v>
      </c>
      <c r="E5">
        <v>1</v>
      </c>
      <c r="F5">
        <v>150</v>
      </c>
      <c r="G5" t="s">
        <v>27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135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46137.784562384259</v>
      </c>
      <c r="C6">
        <f t="shared" si="0"/>
        <v>2</v>
      </c>
      <c r="D6" t="s">
        <v>52</v>
      </c>
      <c r="E6">
        <v>1</v>
      </c>
      <c r="F6">
        <v>150</v>
      </c>
      <c r="G6" t="s">
        <v>27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135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46137.784562384259</v>
      </c>
      <c r="C7">
        <f t="shared" si="0"/>
        <v>3</v>
      </c>
      <c r="D7" t="s">
        <v>53</v>
      </c>
      <c r="E7">
        <v>4</v>
      </c>
      <c r="F7">
        <v>8</v>
      </c>
      <c r="G7" t="s">
        <v>27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29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46137.784562384259</v>
      </c>
      <c r="C8">
        <f t="shared" si="0"/>
        <v>4</v>
      </c>
      <c r="D8" t="s">
        <v>54</v>
      </c>
      <c r="E8">
        <v>1</v>
      </c>
      <c r="F8">
        <v>57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57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46137.784562384259</v>
      </c>
      <c r="C9">
        <f t="shared" si="0"/>
        <v>5</v>
      </c>
      <c r="D9" t="s">
        <v>55</v>
      </c>
      <c r="E9">
        <v>1</v>
      </c>
      <c r="F9">
        <v>70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70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46137.784562384259</v>
      </c>
      <c r="C10">
        <f t="shared" si="0"/>
        <v>6</v>
      </c>
      <c r="D10" t="s">
        <v>56</v>
      </c>
      <c r="E10">
        <v>1</v>
      </c>
      <c r="F10">
        <v>799</v>
      </c>
      <c r="G10" t="s">
        <v>27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719.5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46137.784562384259</v>
      </c>
      <c r="C11">
        <f t="shared" si="0"/>
        <v>7</v>
      </c>
      <c r="D11" t="s">
        <v>58</v>
      </c>
      <c r="E11">
        <v>1</v>
      </c>
      <c r="F11">
        <v>75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75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46137.784562384259</v>
      </c>
      <c r="C12">
        <f t="shared" si="0"/>
        <v>8</v>
      </c>
      <c r="D12" t="s">
        <v>59</v>
      </c>
      <c r="E12">
        <v>1</v>
      </c>
      <c r="F12">
        <v>15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15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46137.784562384259</v>
      </c>
      <c r="C13">
        <f t="shared" si="0"/>
        <v>9</v>
      </c>
      <c r="D13" t="s">
        <v>60</v>
      </c>
      <c r="E13">
        <v>1</v>
      </c>
      <c r="F13">
        <v>78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78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46137.784562384259</v>
      </c>
      <c r="C14">
        <f t="shared" si="0"/>
        <v>10</v>
      </c>
      <c r="D14" t="s">
        <v>61</v>
      </c>
      <c r="E14">
        <v>1</v>
      </c>
      <c r="F14">
        <v>140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140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46137.784562384259</v>
      </c>
      <c r="C15">
        <f t="shared" si="0"/>
        <v>11</v>
      </c>
      <c r="D15" t="s">
        <v>33</v>
      </c>
      <c r="E15">
        <v>1</v>
      </c>
      <c r="F15">
        <v>50</v>
      </c>
      <c r="G15" t="s">
        <v>27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45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46137.784562384259</v>
      </c>
      <c r="C16">
        <f t="shared" si="0"/>
        <v>12</v>
      </c>
      <c r="D16" t="s">
        <v>43</v>
      </c>
      <c r="E16">
        <v>1</v>
      </c>
      <c r="F16">
        <v>5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46137.784562384259</v>
      </c>
      <c r="C17">
        <f t="shared" si="0"/>
        <v>13</v>
      </c>
      <c r="D17" t="s">
        <v>64</v>
      </c>
      <c r="E17">
        <v>1</v>
      </c>
      <c r="F17">
        <v>750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750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46137.784562384259</v>
      </c>
      <c r="C18">
        <f t="shared" si="0"/>
        <v>14</v>
      </c>
      <c r="D18" t="s">
        <v>65</v>
      </c>
      <c r="E18">
        <v>1</v>
      </c>
      <c r="F18">
        <v>100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100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46137.784562384259</v>
      </c>
      <c r="C19">
        <f t="shared" si="0"/>
        <v>15</v>
      </c>
      <c r="D19" t="s">
        <v>66</v>
      </c>
      <c r="E19">
        <v>1</v>
      </c>
      <c r="F19">
        <v>50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50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46137.784562384259</v>
      </c>
      <c r="C20">
        <f t="shared" si="0"/>
        <v>16</v>
      </c>
      <c r="D20" t="s">
        <v>67</v>
      </c>
      <c r="E20">
        <v>1</v>
      </c>
      <c r="F20">
        <v>70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70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46137.784562384259</v>
      </c>
      <c r="C21">
        <f t="shared" si="0"/>
        <v>17</v>
      </c>
      <c r="D21" t="s">
        <v>68</v>
      </c>
      <c r="E21">
        <v>1</v>
      </c>
      <c r="F21">
        <v>65</v>
      </c>
      <c r="G21" t="s">
        <v>27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58.5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46137.784562384259</v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46137.784562384259</v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46137.784562384259</v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46137.784562384259</v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x14ac:dyDescent="0.25">
      <c r="B26" s="18">
        <f ca="1">IF(Tabla1[[#This Row],['#]]&lt;&gt;"", NOW(), "")</f>
        <v>46137.784562384259</v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30" x14ac:dyDescent="0.25">
      <c r="B27" s="18">
        <f ca="1">IF(Tabla1[[#This Row],['#]]&lt;&gt;"", NOW(), "")</f>
        <v>46137.784562384259</v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57</v>
      </c>
      <c r="N27" s="15">
        <v>3287</v>
      </c>
      <c r="O27" s="39"/>
      <c r="P27" s="40"/>
      <c r="Q27" s="40"/>
      <c r="R27" s="41"/>
    </row>
    <row r="28" spans="2:18" ht="30" x14ac:dyDescent="0.25">
      <c r="B28" s="18">
        <f ca="1">IF(Tabla1[[#This Row],['#]]&lt;&gt;"", NOW(), "")</f>
        <v>46137.784562384259</v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 t="s">
        <v>62</v>
      </c>
      <c r="N28" s="15">
        <v>5355</v>
      </c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G27" sqref="G2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69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2871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21</v>
      </c>
      <c r="M4" s="36" t="s">
        <v>82</v>
      </c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46137.784562384259</v>
      </c>
      <c r="C5">
        <f>IF(ISNUMBER(E5), IF(ISNUMBER(C4), C4+1, 1), "")</f>
        <v>1</v>
      </c>
      <c r="D5" t="s">
        <v>47</v>
      </c>
      <c r="E5">
        <v>1</v>
      </c>
      <c r="F5">
        <v>55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55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46137.784562384259</v>
      </c>
      <c r="C6">
        <f t="shared" ref="C6" si="0">IF(ISNUMBER(E6), IF(ISNUMBER(C5), C5+1, 1), "")</f>
        <v>2</v>
      </c>
      <c r="D6" t="s">
        <v>71</v>
      </c>
      <c r="E6">
        <v>1</v>
      </c>
      <c r="F6">
        <v>38</v>
      </c>
      <c r="G6" t="s">
        <v>27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34.5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46137.784562384259</v>
      </c>
      <c r="C7">
        <f>IF(ISNUMBER(E7), IF(ISNUMBER(C6), C6+1, 1), "")</f>
        <v>3</v>
      </c>
      <c r="D7" t="s">
        <v>70</v>
      </c>
      <c r="E7">
        <v>4</v>
      </c>
      <c r="F7">
        <v>5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20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46137.784562384259</v>
      </c>
      <c r="C8">
        <f t="shared" ref="C8:C68" si="1">IF(ISNUMBER(E8), IF(ISNUMBER(C7), C7+1, 1), "")</f>
        <v>4</v>
      </c>
      <c r="D8" t="s">
        <v>72</v>
      </c>
      <c r="E8">
        <v>1</v>
      </c>
      <c r="F8">
        <v>78</v>
      </c>
      <c r="G8" t="s">
        <v>27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70.5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46137.784562384259</v>
      </c>
      <c r="C9">
        <f t="shared" si="1"/>
        <v>5</v>
      </c>
      <c r="D9" t="s">
        <v>30</v>
      </c>
      <c r="E9">
        <v>1</v>
      </c>
      <c r="F9">
        <v>142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142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46137.784562384259</v>
      </c>
      <c r="C10">
        <f t="shared" si="1"/>
        <v>6</v>
      </c>
      <c r="D10" t="s">
        <v>73</v>
      </c>
      <c r="E10">
        <v>1</v>
      </c>
      <c r="F10">
        <v>10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10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46137.784562384259</v>
      </c>
      <c r="C11">
        <f t="shared" si="1"/>
        <v>7</v>
      </c>
      <c r="D11" t="s">
        <v>74</v>
      </c>
      <c r="E11">
        <v>1</v>
      </c>
      <c r="F11">
        <v>120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120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46137.784562384259</v>
      </c>
      <c r="C12">
        <f t="shared" si="1"/>
        <v>8</v>
      </c>
      <c r="D12" t="s">
        <v>75</v>
      </c>
      <c r="E12">
        <v>1</v>
      </c>
      <c r="F12">
        <v>15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15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46137.784562384259</v>
      </c>
      <c r="C13">
        <f t="shared" si="1"/>
        <v>9</v>
      </c>
      <c r="D13" t="s">
        <v>26</v>
      </c>
      <c r="E13">
        <v>1</v>
      </c>
      <c r="F13">
        <v>117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117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46137.784562384259</v>
      </c>
      <c r="C14">
        <f t="shared" si="1"/>
        <v>10</v>
      </c>
      <c r="D14" t="s">
        <v>76</v>
      </c>
      <c r="E14">
        <v>1</v>
      </c>
      <c r="F14">
        <v>500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500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46137.784562384259</v>
      </c>
      <c r="C15">
        <f t="shared" si="1"/>
        <v>11</v>
      </c>
      <c r="D15" t="s">
        <v>78</v>
      </c>
      <c r="E15">
        <v>1</v>
      </c>
      <c r="F15">
        <v>77</v>
      </c>
      <c r="G15" t="s">
        <v>27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69.5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46137.784562384259</v>
      </c>
      <c r="C16">
        <f t="shared" si="1"/>
        <v>12</v>
      </c>
      <c r="D16" t="s">
        <v>79</v>
      </c>
      <c r="E16">
        <v>1</v>
      </c>
      <c r="F16">
        <v>190</v>
      </c>
      <c r="G16" t="s">
        <v>27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171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46137.784562384259</v>
      </c>
      <c r="C17">
        <f t="shared" si="1"/>
        <v>13</v>
      </c>
      <c r="D17" t="s">
        <v>80</v>
      </c>
      <c r="E17">
        <v>1</v>
      </c>
      <c r="F17">
        <v>25</v>
      </c>
      <c r="G17" t="s">
        <v>27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22.5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46137.784562384259</v>
      </c>
      <c r="C18">
        <f t="shared" si="1"/>
        <v>14</v>
      </c>
      <c r="D18" t="s">
        <v>81</v>
      </c>
      <c r="E18">
        <v>1</v>
      </c>
      <c r="F18">
        <v>135</v>
      </c>
      <c r="G18" t="s">
        <v>27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121.5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46137.784562384259</v>
      </c>
      <c r="C19">
        <f t="shared" si="1"/>
        <v>15</v>
      </c>
      <c r="D19" t="s">
        <v>26</v>
      </c>
      <c r="E19">
        <v>1</v>
      </c>
      <c r="F19">
        <v>117</v>
      </c>
      <c r="G19" t="s">
        <v>27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111.5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46137.784562384259</v>
      </c>
      <c r="C20">
        <f t="shared" si="1"/>
        <v>16</v>
      </c>
      <c r="D20" t="s">
        <v>66</v>
      </c>
      <c r="E20">
        <v>2</v>
      </c>
      <c r="F20">
        <v>50</v>
      </c>
      <c r="G20" t="s">
        <v>27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90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46137.784562384259</v>
      </c>
      <c r="C21">
        <f t="shared" si="1"/>
        <v>17</v>
      </c>
      <c r="D21" t="s">
        <v>83</v>
      </c>
      <c r="E21">
        <v>1</v>
      </c>
      <c r="F21">
        <v>545</v>
      </c>
      <c r="G21" t="s">
        <v>27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490.5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46137.784562384259</v>
      </c>
      <c r="C22">
        <f t="shared" si="1"/>
        <v>18</v>
      </c>
      <c r="D22" t="s">
        <v>84</v>
      </c>
      <c r="E22">
        <v>1</v>
      </c>
      <c r="F22">
        <v>150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150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46137.784562384259</v>
      </c>
      <c r="C23">
        <f t="shared" si="1"/>
        <v>19</v>
      </c>
      <c r="D23" t="s">
        <v>85</v>
      </c>
      <c r="E23">
        <v>2</v>
      </c>
      <c r="F23">
        <v>250</v>
      </c>
      <c r="G23" t="s">
        <v>27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475</v>
      </c>
    </row>
    <row r="24" spans="2:18" ht="15" customHeight="1" x14ac:dyDescent="0.25">
      <c r="B24" s="18">
        <f ca="1">IF(Tabla1[[#This Row],['#]]&lt;&gt;"", NOW(), "")</f>
        <v>46137.784562384259</v>
      </c>
      <c r="C24">
        <f t="shared" si="1"/>
        <v>20</v>
      </c>
      <c r="D24" t="s">
        <v>86</v>
      </c>
      <c r="E24">
        <v>1</v>
      </c>
      <c r="F24">
        <v>25</v>
      </c>
      <c r="G24" t="s">
        <v>27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22.5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46137.784562384259</v>
      </c>
      <c r="C25">
        <f t="shared" si="1"/>
        <v>21</v>
      </c>
      <c r="D25" t="s">
        <v>87</v>
      </c>
      <c r="E25">
        <v>1</v>
      </c>
      <c r="F25">
        <v>70</v>
      </c>
      <c r="G25" t="s">
        <v>27</v>
      </c>
      <c r="H25" s="5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>63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46137.784562384259</v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60" x14ac:dyDescent="0.25">
      <c r="B27" s="18">
        <f ca="1">IF(Tabla1[[#This Row],['#]]&lt;&gt;"", NOW(), "")</f>
        <v>46137.784562384259</v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77</v>
      </c>
      <c r="N27" s="15">
        <v>960</v>
      </c>
      <c r="O27" s="39"/>
      <c r="P27" s="40"/>
      <c r="Q27" s="40"/>
      <c r="R27" s="41"/>
    </row>
    <row r="28" spans="2:18" x14ac:dyDescent="0.25">
      <c r="B28" s="18">
        <f ca="1">IF(Tabla1[[#This Row],['#]]&lt;&gt;"", NOW(), "")</f>
        <v>46137.784562384259</v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32" sqref="D3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88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2621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27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46137.784562384259</v>
      </c>
      <c r="C5">
        <f t="shared" ref="C5:C68" si="0">IF(ISNUMBER(E5), IF(ISNUMBER(C4), C4+1, 1), "")</f>
        <v>1</v>
      </c>
      <c r="D5" t="s">
        <v>89</v>
      </c>
      <c r="E5">
        <v>1</v>
      </c>
      <c r="F5">
        <v>117</v>
      </c>
      <c r="G5" t="s">
        <v>27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111.5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46137.784562384259</v>
      </c>
      <c r="C6">
        <f t="shared" si="0"/>
        <v>2</v>
      </c>
      <c r="D6" t="s">
        <v>34</v>
      </c>
      <c r="E6">
        <v>1</v>
      </c>
      <c r="F6">
        <v>15</v>
      </c>
      <c r="G6" t="s">
        <v>27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13.5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46137.784562384259</v>
      </c>
      <c r="C7">
        <f t="shared" si="0"/>
        <v>3</v>
      </c>
      <c r="D7" t="s">
        <v>90</v>
      </c>
      <c r="E7">
        <v>1</v>
      </c>
      <c r="F7">
        <v>84</v>
      </c>
      <c r="G7" t="s">
        <v>27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76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46137.784562384259</v>
      </c>
      <c r="C8">
        <f t="shared" si="0"/>
        <v>4</v>
      </c>
      <c r="D8" t="s">
        <v>91</v>
      </c>
      <c r="E8">
        <v>1</v>
      </c>
      <c r="F8">
        <v>70</v>
      </c>
      <c r="G8" t="s">
        <v>27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63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46137.784562384259</v>
      </c>
      <c r="C9">
        <f t="shared" si="0"/>
        <v>5</v>
      </c>
      <c r="D9" t="s">
        <v>92</v>
      </c>
      <c r="E9">
        <v>1</v>
      </c>
      <c r="F9">
        <v>70</v>
      </c>
      <c r="G9" t="s">
        <v>27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63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46137.784562384259</v>
      </c>
      <c r="C10">
        <f t="shared" si="0"/>
        <v>6</v>
      </c>
      <c r="D10" t="s">
        <v>33</v>
      </c>
      <c r="E10">
        <v>1</v>
      </c>
      <c r="F10">
        <v>50</v>
      </c>
      <c r="G10" t="s">
        <v>27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45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46137.784562384259</v>
      </c>
      <c r="C11">
        <f t="shared" si="0"/>
        <v>7</v>
      </c>
      <c r="D11" t="s">
        <v>93</v>
      </c>
      <c r="E11">
        <v>1</v>
      </c>
      <c r="F11">
        <v>250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250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46137.784562384259</v>
      </c>
      <c r="C12">
        <f t="shared" si="0"/>
        <v>8</v>
      </c>
      <c r="D12" t="s">
        <v>94</v>
      </c>
      <c r="E12">
        <v>1</v>
      </c>
      <c r="F12">
        <v>130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130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46137.784562384259</v>
      </c>
      <c r="C13">
        <f t="shared" si="0"/>
        <v>9</v>
      </c>
      <c r="D13" t="s">
        <v>95</v>
      </c>
      <c r="E13">
        <v>1</v>
      </c>
      <c r="F13">
        <v>250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250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46137.784562384259</v>
      </c>
      <c r="C14">
        <f t="shared" si="0"/>
        <v>10</v>
      </c>
      <c r="D14" t="s">
        <v>96</v>
      </c>
      <c r="E14">
        <v>1</v>
      </c>
      <c r="F14">
        <v>70</v>
      </c>
      <c r="G14" t="s">
        <v>27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63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46137.784562384259</v>
      </c>
      <c r="C15">
        <f t="shared" si="0"/>
        <v>11</v>
      </c>
      <c r="D15" t="s">
        <v>97</v>
      </c>
      <c r="E15">
        <v>1</v>
      </c>
      <c r="F15">
        <v>40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40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46137.784562384259</v>
      </c>
      <c r="C16">
        <f t="shared" si="0"/>
        <v>12</v>
      </c>
      <c r="D16" t="s">
        <v>98</v>
      </c>
      <c r="E16">
        <v>1</v>
      </c>
      <c r="F16">
        <v>250</v>
      </c>
      <c r="G16" t="s">
        <v>27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225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46137.784562384259</v>
      </c>
      <c r="C17">
        <f t="shared" si="0"/>
        <v>13</v>
      </c>
      <c r="D17" t="s">
        <v>99</v>
      </c>
      <c r="E17">
        <v>1</v>
      </c>
      <c r="F17">
        <v>90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90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46137.784562384259</v>
      </c>
      <c r="C18">
        <f t="shared" si="0"/>
        <v>14</v>
      </c>
      <c r="D18" t="s">
        <v>100</v>
      </c>
      <c r="E18">
        <v>1</v>
      </c>
      <c r="F18">
        <v>18</v>
      </c>
      <c r="G18" t="s">
        <v>27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16.5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46137.784562384259</v>
      </c>
      <c r="C19">
        <f t="shared" si="0"/>
        <v>15</v>
      </c>
      <c r="D19" t="s">
        <v>101</v>
      </c>
      <c r="E19">
        <v>2</v>
      </c>
      <c r="F19">
        <v>27</v>
      </c>
      <c r="G19" t="s">
        <v>27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49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46137.784562384259</v>
      </c>
      <c r="C20">
        <f t="shared" si="0"/>
        <v>16</v>
      </c>
      <c r="D20" t="s">
        <v>102</v>
      </c>
      <c r="E20">
        <v>1</v>
      </c>
      <c r="F20">
        <v>75</v>
      </c>
      <c r="G20" t="s">
        <v>27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67.5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46137.784562384259</v>
      </c>
      <c r="C21">
        <f t="shared" si="0"/>
        <v>17</v>
      </c>
      <c r="D21" t="s">
        <v>103</v>
      </c>
      <c r="E21">
        <v>1</v>
      </c>
      <c r="F21">
        <v>35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35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46137.784562384259</v>
      </c>
      <c r="C22">
        <f t="shared" si="0"/>
        <v>18</v>
      </c>
      <c r="D22" t="s">
        <v>124</v>
      </c>
      <c r="E22">
        <v>1</v>
      </c>
      <c r="F22">
        <v>47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47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46137.784562384259</v>
      </c>
      <c r="C23">
        <f t="shared" si="0"/>
        <v>19</v>
      </c>
      <c r="D23" t="s">
        <v>104</v>
      </c>
      <c r="E23">
        <v>1</v>
      </c>
      <c r="F23">
        <v>450</v>
      </c>
      <c r="G23" t="s">
        <v>27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405</v>
      </c>
    </row>
    <row r="24" spans="2:18" ht="15" customHeight="1" x14ac:dyDescent="0.25">
      <c r="B24" s="18">
        <f ca="1">IF(Tabla1[[#This Row],['#]]&lt;&gt;"", NOW(), "")</f>
        <v>46137.784562384259</v>
      </c>
      <c r="C24">
        <f t="shared" si="0"/>
        <v>20</v>
      </c>
      <c r="D24" t="s">
        <v>89</v>
      </c>
      <c r="E24">
        <v>2</v>
      </c>
      <c r="F24">
        <v>117</v>
      </c>
      <c r="G24" t="s">
        <v>27</v>
      </c>
      <c r="H24" s="5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>222.5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46137.784562384259</v>
      </c>
      <c r="C25">
        <f t="shared" si="0"/>
        <v>21</v>
      </c>
      <c r="D25" t="s">
        <v>33</v>
      </c>
      <c r="E25">
        <v>1</v>
      </c>
      <c r="F25">
        <v>50</v>
      </c>
      <c r="G25" t="s">
        <v>27</v>
      </c>
      <c r="H25" s="5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>45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46137.784562384259</v>
      </c>
      <c r="C26">
        <f t="shared" si="0"/>
        <v>22</v>
      </c>
      <c r="D26" t="s">
        <v>105</v>
      </c>
      <c r="E26">
        <v>1</v>
      </c>
      <c r="F26">
        <v>15</v>
      </c>
      <c r="G26" t="s">
        <v>27</v>
      </c>
      <c r="H26" s="5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>13.5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46137.784562384259</v>
      </c>
      <c r="C27">
        <f t="shared" si="0"/>
        <v>23</v>
      </c>
      <c r="D27" t="s">
        <v>106</v>
      </c>
      <c r="E27">
        <v>1</v>
      </c>
      <c r="F27">
        <v>70</v>
      </c>
      <c r="G27" t="s">
        <v>27</v>
      </c>
      <c r="H27" s="5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>63</v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46137.784562384259</v>
      </c>
      <c r="C28">
        <f t="shared" si="0"/>
        <v>24</v>
      </c>
      <c r="D28" t="s">
        <v>107</v>
      </c>
      <c r="E28">
        <v>1</v>
      </c>
      <c r="F28">
        <v>150</v>
      </c>
      <c r="H28" s="5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>150</v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108</v>
      </c>
      <c r="E29">
        <v>1</v>
      </c>
      <c r="F29">
        <v>32</v>
      </c>
      <c r="H29" s="5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>32</v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>
        <f t="shared" si="0"/>
        <v>26</v>
      </c>
      <c r="D30" t="s">
        <v>109</v>
      </c>
      <c r="E30">
        <v>1</v>
      </c>
      <c r="F30">
        <v>35</v>
      </c>
      <c r="H30" s="5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>35</v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>
        <f t="shared" si="0"/>
        <v>27</v>
      </c>
      <c r="D31" t="s">
        <v>110</v>
      </c>
      <c r="E31">
        <v>1</v>
      </c>
      <c r="F31">
        <v>20</v>
      </c>
      <c r="H31" s="5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>20</v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15" sqref="D1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34" t="s">
        <v>111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SUM(Tabla113[Importa])</f>
        <v>1366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10</v>
      </c>
      <c r="M4" s="36" t="s">
        <v>133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46137.784562384259</v>
      </c>
      <c r="C5">
        <f t="shared" ref="C5:C68" si="0">IF(ISNUMBER(E5), IF(ISNUMBER(C4), C4+1, 1), "")</f>
        <v>1</v>
      </c>
      <c r="D5" t="s">
        <v>125</v>
      </c>
      <c r="E5">
        <v>1</v>
      </c>
      <c r="F5">
        <v>650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650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46137.784562384259</v>
      </c>
      <c r="C6">
        <f t="shared" si="0"/>
        <v>2</v>
      </c>
      <c r="D6" t="s">
        <v>34</v>
      </c>
      <c r="E6">
        <v>1</v>
      </c>
      <c r="F6">
        <v>15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15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46137.784562384259</v>
      </c>
      <c r="C7">
        <f t="shared" si="0"/>
        <v>3</v>
      </c>
      <c r="D7" t="s">
        <v>126</v>
      </c>
      <c r="E7">
        <v>1</v>
      </c>
      <c r="F7">
        <v>15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15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46137.784562384259</v>
      </c>
      <c r="C8">
        <f t="shared" si="0"/>
        <v>4</v>
      </c>
      <c r="D8" t="s">
        <v>127</v>
      </c>
      <c r="E8">
        <v>1</v>
      </c>
      <c r="F8">
        <v>135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135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46137.784562384259</v>
      </c>
      <c r="C9">
        <f t="shared" si="0"/>
        <v>5</v>
      </c>
      <c r="D9" t="s">
        <v>128</v>
      </c>
      <c r="E9">
        <v>1</v>
      </c>
      <c r="F9">
        <v>320</v>
      </c>
      <c r="G9" t="s">
        <v>27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288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46137.784562384259</v>
      </c>
      <c r="C10">
        <f t="shared" si="0"/>
        <v>6</v>
      </c>
      <c r="D10" t="s">
        <v>129</v>
      </c>
      <c r="E10">
        <v>1</v>
      </c>
      <c r="F10">
        <v>70</v>
      </c>
      <c r="G10" t="s">
        <v>27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63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46137.784562384259</v>
      </c>
      <c r="C11">
        <f t="shared" si="0"/>
        <v>7</v>
      </c>
      <c r="D11" t="s">
        <v>130</v>
      </c>
      <c r="E11">
        <v>1</v>
      </c>
      <c r="F11">
        <v>20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20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46137.784562384259</v>
      </c>
      <c r="C12">
        <f t="shared" si="0"/>
        <v>8</v>
      </c>
      <c r="D12" t="s">
        <v>66</v>
      </c>
      <c r="E12">
        <v>1</v>
      </c>
      <c r="F12">
        <v>50</v>
      </c>
      <c r="G12" t="s">
        <v>27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45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46137.784562384259</v>
      </c>
      <c r="C13">
        <f t="shared" si="0"/>
        <v>9</v>
      </c>
      <c r="D13" t="s">
        <v>131</v>
      </c>
      <c r="E13">
        <v>1</v>
      </c>
      <c r="F13">
        <v>115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115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46137.784562384259</v>
      </c>
      <c r="C14">
        <f t="shared" si="0"/>
        <v>10</v>
      </c>
      <c r="D14" t="s">
        <v>132</v>
      </c>
      <c r="E14">
        <v>1</v>
      </c>
      <c r="F14">
        <v>20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20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46137.784562384259</v>
      </c>
      <c r="C15" t="str">
        <f t="shared" si="0"/>
        <v/>
      </c>
      <c r="H15" s="5" t="str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46137.784562384259</v>
      </c>
      <c r="C16" t="str">
        <f t="shared" si="0"/>
        <v/>
      </c>
      <c r="H16" s="5" t="str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46137.784562384259</v>
      </c>
      <c r="C17" t="str">
        <f t="shared" si="0"/>
        <v/>
      </c>
      <c r="H17" s="5" t="str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46137.784562384259</v>
      </c>
      <c r="C18" t="str">
        <f t="shared" si="0"/>
        <v/>
      </c>
      <c r="H18" s="5" t="str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46137.784562384259</v>
      </c>
      <c r="C19" t="str">
        <f t="shared" si="0"/>
        <v/>
      </c>
      <c r="H19" s="5" t="str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46137.784562384259</v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46137.784562384259</v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46137.784562384259</v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46137.784562384259</v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46137.784562384259</v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46137.784562384259</v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46137.784562384259</v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46137.784562384259</v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112</v>
      </c>
      <c r="N27" s="15">
        <v>7546</v>
      </c>
      <c r="O27" s="39" t="s">
        <v>113</v>
      </c>
      <c r="P27" s="40"/>
      <c r="Q27" s="40"/>
      <c r="R27" s="41"/>
    </row>
    <row r="28" spans="2:18" ht="15" customHeight="1" x14ac:dyDescent="0.25">
      <c r="B28" s="18">
        <f ca="1">IF(Tabla1[[#This Row],['#]]&lt;&gt;"", NOW(), "")</f>
        <v>46137.784562384259</v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114</v>
      </c>
      <c r="N28" s="15">
        <v>3287</v>
      </c>
      <c r="O28" s="39" t="s">
        <v>115</v>
      </c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116</v>
      </c>
      <c r="N29" s="15">
        <v>5355</v>
      </c>
      <c r="O29" s="39" t="s">
        <v>115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117</v>
      </c>
      <c r="N30" s="15">
        <v>960</v>
      </c>
      <c r="O30" s="39" t="s">
        <v>118</v>
      </c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119</v>
      </c>
      <c r="N31" s="15">
        <v>2202</v>
      </c>
      <c r="O31" s="39" t="s">
        <v>120</v>
      </c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121</v>
      </c>
      <c r="N32" s="15">
        <v>1500</v>
      </c>
      <c r="O32" s="39" t="s">
        <v>120</v>
      </c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122</v>
      </c>
      <c r="N33" s="15">
        <v>20850</v>
      </c>
      <c r="O33" s="39" t="s">
        <v>123</v>
      </c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32" sqref="D3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134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2475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27</v>
      </c>
      <c r="M4" s="36" t="s">
        <v>153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46137.784562384259</v>
      </c>
      <c r="C5">
        <f t="shared" ref="C5:C68" si="0">IF(ISNUMBER(E5), IF(ISNUMBER(C4), C4+1, 1), "")</f>
        <v>1</v>
      </c>
      <c r="D5" t="s">
        <v>135</v>
      </c>
      <c r="E5">
        <v>1</v>
      </c>
      <c r="F5">
        <v>75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75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46137.784562384259</v>
      </c>
      <c r="C6">
        <f t="shared" si="0"/>
        <v>2</v>
      </c>
      <c r="D6" t="s">
        <v>136</v>
      </c>
      <c r="E6">
        <v>2</v>
      </c>
      <c r="F6">
        <v>3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6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46137.784562384259</v>
      </c>
      <c r="C7">
        <f t="shared" si="0"/>
        <v>3</v>
      </c>
      <c r="D7" t="s">
        <v>137</v>
      </c>
      <c r="E7">
        <v>1</v>
      </c>
      <c r="F7">
        <v>110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110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46137.784562384259</v>
      </c>
      <c r="C8">
        <f t="shared" si="0"/>
        <v>4</v>
      </c>
      <c r="D8" t="s">
        <v>138</v>
      </c>
      <c r="E8">
        <v>1</v>
      </c>
      <c r="F8">
        <v>142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142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46137.784562384259</v>
      </c>
      <c r="C9">
        <f t="shared" si="0"/>
        <v>5</v>
      </c>
      <c r="D9" t="s">
        <v>139</v>
      </c>
      <c r="E9">
        <v>2</v>
      </c>
      <c r="F9">
        <v>71</v>
      </c>
      <c r="G9" t="s">
        <v>27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128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46137.784562384259</v>
      </c>
      <c r="C10">
        <f t="shared" si="0"/>
        <v>6</v>
      </c>
      <c r="D10" t="s">
        <v>66</v>
      </c>
      <c r="E10">
        <v>1</v>
      </c>
      <c r="F10">
        <v>50</v>
      </c>
      <c r="G10" t="s">
        <v>27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45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46137.784562384259</v>
      </c>
      <c r="C11">
        <f t="shared" si="0"/>
        <v>7</v>
      </c>
      <c r="D11" t="s">
        <v>140</v>
      </c>
      <c r="E11">
        <v>2</v>
      </c>
      <c r="F11">
        <v>20</v>
      </c>
      <c r="G11" t="s">
        <v>27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36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46137.784562384259</v>
      </c>
      <c r="C12">
        <f t="shared" si="0"/>
        <v>8</v>
      </c>
      <c r="D12" t="s">
        <v>26</v>
      </c>
      <c r="E12">
        <v>1</v>
      </c>
      <c r="F12">
        <v>117</v>
      </c>
      <c r="G12" t="s">
        <v>27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111.5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46137.784562384259</v>
      </c>
      <c r="C13">
        <f t="shared" si="0"/>
        <v>9</v>
      </c>
      <c r="D13" t="s">
        <v>26</v>
      </c>
      <c r="E13">
        <v>2</v>
      </c>
      <c r="F13">
        <v>117</v>
      </c>
      <c r="G13" t="s">
        <v>27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222.5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46137.784562384259</v>
      </c>
      <c r="C14">
        <f t="shared" si="0"/>
        <v>10</v>
      </c>
      <c r="D14" t="s">
        <v>66</v>
      </c>
      <c r="E14">
        <v>1</v>
      </c>
      <c r="F14">
        <v>50</v>
      </c>
      <c r="G14" t="s">
        <v>27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45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46137.784562384259</v>
      </c>
      <c r="C15">
        <f t="shared" si="0"/>
        <v>11</v>
      </c>
      <c r="D15" t="s">
        <v>33</v>
      </c>
      <c r="E15">
        <v>1</v>
      </c>
      <c r="F15">
        <v>50</v>
      </c>
      <c r="G15" t="s">
        <v>27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45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46137.784562384259</v>
      </c>
      <c r="C16">
        <f t="shared" si="0"/>
        <v>12</v>
      </c>
      <c r="D16" t="s">
        <v>141</v>
      </c>
      <c r="E16">
        <v>1</v>
      </c>
      <c r="F16">
        <v>54</v>
      </c>
      <c r="G16" t="s">
        <v>27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49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46137.784562384259</v>
      </c>
      <c r="C17">
        <f t="shared" si="0"/>
        <v>13</v>
      </c>
      <c r="D17" t="s">
        <v>142</v>
      </c>
      <c r="E17">
        <v>1</v>
      </c>
      <c r="F17">
        <v>53</v>
      </c>
      <c r="G17" t="s">
        <v>27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48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46137.784562384259</v>
      </c>
      <c r="C18">
        <f t="shared" si="0"/>
        <v>14</v>
      </c>
      <c r="D18" t="s">
        <v>143</v>
      </c>
      <c r="E18">
        <v>1</v>
      </c>
      <c r="F18">
        <v>180</v>
      </c>
      <c r="G18" t="s">
        <v>27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162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46137.784562384259</v>
      </c>
      <c r="C19">
        <f t="shared" si="0"/>
        <v>15</v>
      </c>
      <c r="D19" t="s">
        <v>140</v>
      </c>
      <c r="E19">
        <v>2</v>
      </c>
      <c r="F19">
        <v>20</v>
      </c>
      <c r="G19" t="s">
        <v>27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36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46137.784562384259</v>
      </c>
      <c r="C20">
        <f t="shared" si="0"/>
        <v>16</v>
      </c>
      <c r="D20" t="s">
        <v>144</v>
      </c>
      <c r="E20">
        <v>1</v>
      </c>
      <c r="F20">
        <v>50</v>
      </c>
      <c r="G20" t="s">
        <v>27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45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46137.784562384259</v>
      </c>
      <c r="C21">
        <f t="shared" si="0"/>
        <v>17</v>
      </c>
      <c r="D21" t="s">
        <v>145</v>
      </c>
      <c r="E21">
        <v>1</v>
      </c>
      <c r="F21">
        <v>75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75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46137.784562384259</v>
      </c>
      <c r="C22">
        <f t="shared" si="0"/>
        <v>18</v>
      </c>
      <c r="D22" t="s">
        <v>146</v>
      </c>
      <c r="E22">
        <v>1</v>
      </c>
      <c r="F22">
        <v>90</v>
      </c>
      <c r="G22" t="s">
        <v>27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81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46137.784562384259</v>
      </c>
      <c r="C23">
        <f t="shared" si="0"/>
        <v>19</v>
      </c>
      <c r="D23" t="s">
        <v>43</v>
      </c>
      <c r="E23">
        <v>1</v>
      </c>
      <c r="F23">
        <v>5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5</v>
      </c>
    </row>
    <row r="24" spans="2:18" ht="15" customHeight="1" x14ac:dyDescent="0.25">
      <c r="B24" s="18">
        <f ca="1">IF(Tabla1[[#This Row],['#]]&lt;&gt;"", NOW(), "")</f>
        <v>46137.784562384259</v>
      </c>
      <c r="C24">
        <f t="shared" si="0"/>
        <v>20</v>
      </c>
      <c r="D24" t="s">
        <v>147</v>
      </c>
      <c r="E24">
        <v>1</v>
      </c>
      <c r="F24">
        <v>60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60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46137.784562384259</v>
      </c>
      <c r="C25">
        <f t="shared" si="0"/>
        <v>21</v>
      </c>
      <c r="D25" t="s">
        <v>89</v>
      </c>
      <c r="E25">
        <v>1</v>
      </c>
      <c r="F25">
        <v>117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117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46137.784562384259</v>
      </c>
      <c r="C26">
        <f t="shared" si="0"/>
        <v>22</v>
      </c>
      <c r="D26" t="s">
        <v>148</v>
      </c>
      <c r="E26">
        <v>1</v>
      </c>
      <c r="F26">
        <v>90</v>
      </c>
      <c r="G26" t="s">
        <v>27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81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46137.784562384259</v>
      </c>
      <c r="C27">
        <f t="shared" si="0"/>
        <v>23</v>
      </c>
      <c r="D27" t="s">
        <v>149</v>
      </c>
      <c r="E27">
        <v>1</v>
      </c>
      <c r="F27">
        <v>92</v>
      </c>
      <c r="H27" s="5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>92</v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46137.784562384259</v>
      </c>
      <c r="C28">
        <f t="shared" si="0"/>
        <v>24</v>
      </c>
      <c r="D28" t="s">
        <v>150</v>
      </c>
      <c r="E28">
        <v>1</v>
      </c>
      <c r="F28">
        <v>280</v>
      </c>
      <c r="H28" s="5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>280</v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151</v>
      </c>
      <c r="E29">
        <v>1</v>
      </c>
      <c r="F29">
        <v>48</v>
      </c>
      <c r="H29" s="5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>48</v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>
        <f t="shared" si="0"/>
        <v>26</v>
      </c>
      <c r="D30" t="s">
        <v>144</v>
      </c>
      <c r="E30">
        <v>2</v>
      </c>
      <c r="F30">
        <v>50</v>
      </c>
      <c r="H30" s="5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>100</v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>
        <f t="shared" si="0"/>
        <v>27</v>
      </c>
      <c r="D31" t="s">
        <v>152</v>
      </c>
      <c r="E31">
        <v>1</v>
      </c>
      <c r="F31">
        <v>230</v>
      </c>
      <c r="H31" s="5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>230</v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46137.784562384259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46137.784562384259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46137.784562384259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46137.784562384259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46137.784562384259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46137.784562384259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46137.784562384259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46137.784562384259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46137.784562384259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46137.784562384259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46137.784562384259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46137.784562384259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46137.784562384259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46137.784562384259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46137.784562384259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46137.784562384259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46137.784562384259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46137.784562384259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46137.784562384259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46137.784562384259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46137.784562384259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46137.784562384259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46137.784562384259</v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20-04-26</vt:lpstr>
      <vt:lpstr>Martes 21-04-26</vt:lpstr>
      <vt:lpstr>Miercoles 22-04-26</vt:lpstr>
      <vt:lpstr>Jueves 23-04-26</vt:lpstr>
      <vt:lpstr>Viernes 24-04-26</vt:lpstr>
      <vt:lpstr>Sabado 25-04-26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2026-04-26T00:54:53Z</dcterms:modified>
</cp:coreProperties>
</file>