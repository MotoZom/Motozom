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2DE54E5-E870-454F-96F4-94D99FFBC270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3-04-26" sheetId="1" r:id="rId1"/>
    <sheet name="Martes 14-04-26" sheetId="2" r:id="rId2"/>
    <sheet name="Miercoles 15-04-26" sheetId="3" r:id="rId3"/>
    <sheet name="Jueves 16-04-26" sheetId="4" r:id="rId4"/>
    <sheet name="Viernes 17-04-26" sheetId="5" r:id="rId5"/>
    <sheet name="Sabado" sheetId="6" r:id="rId6"/>
    <sheet name="Domingo" sheetId="8" r:id="rId7"/>
    <sheet name="Cambios" sheetId="7" r:id="rId8"/>
  </sheets>
  <definedNames>
    <definedName name="_xlnm._FilterDatabase" localSheetId="0" hidden="1">'Lunes 13-04-26'!$B$4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1" i="3"/>
  <c r="C22" i="3" s="1"/>
  <c r="C23" i="3" s="1"/>
  <c r="C20" i="3"/>
  <c r="C19" i="3"/>
  <c r="C18" i="3"/>
  <c r="C17" i="3"/>
  <c r="C16" i="3"/>
  <c r="C15" i="3"/>
  <c r="C12" i="3"/>
  <c r="C13" i="3" s="1"/>
  <c r="C14" i="3" s="1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<sst xmlns="http://schemas.openxmlformats.org/spreadsheetml/2006/main" count="310" uniqueCount="144">
  <si>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</si>
  <si>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</si>
  <si>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</si>
  <si>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</si>
  <si>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</si>
  <si>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</si>
  <si>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</si>
  <si>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</si>
  <si>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</si>
  <si>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</si>
  <si>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</si>
  <si>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</si>
  <si>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</si>
  <si>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</si>
  <si>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</si>
  <si>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</si>
  <si>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</si>
  <si>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</si>
  <si>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</si>
  <si>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</si>
  <si>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</si>
  <si>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</si>
  <si>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</si>
  <si>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</si>
  <si>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</si>
  <si>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13 DE ABRIL-26</t>
  </si>
  <si>
    <t>ESTATOR DE FT125</t>
  </si>
  <si>
    <t>RED DE CASCO</t>
  </si>
  <si>
    <t>X</t>
  </si>
  <si>
    <t xml:space="preserve">BALATA DE DISCO REPTILE </t>
  </si>
  <si>
    <t xml:space="preserve">BIRLOS DE ESCAPE DS 150 </t>
  </si>
  <si>
    <t>SELLO DE ESCAPE DS150</t>
  </si>
  <si>
    <t>STIKER</t>
  </si>
  <si>
    <t xml:space="preserve">ACEITE AKRON </t>
  </si>
  <si>
    <t xml:space="preserve">AUXILIARES </t>
  </si>
  <si>
    <t>LUBRICANTE DE CADENA LUBER</t>
  </si>
  <si>
    <t>GOMAS DE IMPACTO RC200</t>
  </si>
  <si>
    <t>DIFRECCCIONALES UNIVERSALES</t>
  </si>
  <si>
    <t>FOCOD E STOP</t>
  </si>
  <si>
    <t xml:space="preserve">TORNILLO </t>
  </si>
  <si>
    <t xml:space="preserve">CUENTA DE SEMANA PASADA $ 14611.5 MENOS $ 2030 DE ACEITE AKRON QUEDA $ 12581.5 </t>
  </si>
  <si>
    <t>MANIJAS DE LUJO CON PUÑOS</t>
  </si>
  <si>
    <t>Martes 14 DE ABRIL-26</t>
  </si>
  <si>
    <t>ACEITE TOP RANCING</t>
  </si>
  <si>
    <t>BUJIA D8</t>
  </si>
  <si>
    <t>CAMARA 3.0018</t>
  </si>
  <si>
    <t xml:space="preserve">CAPUCHON DE BUJIA </t>
  </si>
  <si>
    <t>PEGAMENTO WURT</t>
  </si>
  <si>
    <t xml:space="preserve">FOCO H4 LED </t>
  </si>
  <si>
    <t>MANIJAS UNIVERSALES AZULES</t>
  </si>
  <si>
    <t xml:space="preserve">POSAPIE UNIVERSALES </t>
  </si>
  <si>
    <t>TAMBOR DE ATV 150</t>
  </si>
  <si>
    <t>RETEN DE BARRAS 31-10-50</t>
  </si>
  <si>
    <t>GOMAS DE FT150</t>
  </si>
  <si>
    <t>CHICOTE DE CLUTH UNIVERSAL NASAKI</t>
  </si>
  <si>
    <t>MANIJAS DE FT125</t>
  </si>
  <si>
    <t>BALATA DELANTERA DE PULSAR 200NS</t>
  </si>
  <si>
    <t>ACEITE AKRON</t>
  </si>
  <si>
    <t>FILTRO DE GASOLINA CARTON</t>
  </si>
  <si>
    <t>AJUSTADOR DE CADENA DM200</t>
  </si>
  <si>
    <t>CHCICOTE DE CLUTH UNIVERSAL</t>
  </si>
  <si>
    <t>RETEN DE VALVULA DS150</t>
  </si>
  <si>
    <t>SEGURO DE PIÑON</t>
  </si>
  <si>
    <t>PIPETA DE FT125</t>
  </si>
  <si>
    <t xml:space="preserve">ACEITE LUBER </t>
  </si>
  <si>
    <t>Miercoles 15 DE ABRIL-26</t>
  </si>
  <si>
    <t>GOMAS DE IMPACTO RT200</t>
  </si>
  <si>
    <t>RELEVADOR DE FT150</t>
  </si>
  <si>
    <t xml:space="preserve">PAPEL Y FABULOSO </t>
  </si>
  <si>
    <t>CLAXON ALESSIA</t>
  </si>
  <si>
    <t xml:space="preserve">PROYECTOR DE CAMBIOS </t>
  </si>
  <si>
    <t>MANIJA DERECHA FT150</t>
  </si>
  <si>
    <t>PILA DE MOTONETA NASAKI</t>
  </si>
  <si>
    <t>ACEITE LUBER</t>
  </si>
  <si>
    <t>CDI DE FT150</t>
  </si>
  <si>
    <t>MANUBRIO DE DM200</t>
  </si>
  <si>
    <t>TORNILLO</t>
  </si>
  <si>
    <t>MANIJA DE LUJO AMARILLAS CON PUÑOS</t>
  </si>
  <si>
    <t xml:space="preserve">MANGUERA DE GASOLINA </t>
  </si>
  <si>
    <t>FILTRO DE AIRE WS175 ITALIKA</t>
  </si>
  <si>
    <t>CADENA 428 DM200</t>
  </si>
  <si>
    <t>MANIJA DEREHA DM200</t>
  </si>
  <si>
    <t>Jueves 16 DE ABRIL-26</t>
  </si>
  <si>
    <t>FOCO DE DIRECCIONAL</t>
  </si>
  <si>
    <t xml:space="preserve">GOMA </t>
  </si>
  <si>
    <t xml:space="preserve">TERMINAL DE BACTERIA </t>
  </si>
  <si>
    <t>PIPETA DE CARBURADOR FT125</t>
  </si>
  <si>
    <t>CABLE PARA BACTERIA ROJO</t>
  </si>
  <si>
    <t>CABLE PARA BACTERIA NEGRO</t>
  </si>
  <si>
    <t>CINTA DE AISLAR CHICA</t>
  </si>
  <si>
    <t>ACEITE REPSOL</t>
  </si>
  <si>
    <t>LUBRICANTE DE CADENA AXPRO</t>
  </si>
  <si>
    <t xml:space="preserve">12581 menos 66 de rollo y fabuloso queda $ 12515.5 </t>
  </si>
  <si>
    <t>TAPON  DE ACEITE FT150</t>
  </si>
  <si>
    <t>Viernes 17 DE ABRIL-26</t>
  </si>
  <si>
    <t>INTERUPTOR DE FRENO</t>
  </si>
  <si>
    <t>AKRON</t>
  </si>
  <si>
    <t>LUNES 13 DE ABRIL-26</t>
  </si>
  <si>
    <t>PAPEL</t>
  </si>
  <si>
    <t>MIERCOLES 15 DE ABRIL-26</t>
  </si>
  <si>
    <t>FUSIBLE</t>
  </si>
  <si>
    <t xml:space="preserve">RENTA </t>
  </si>
  <si>
    <t>VIERNES 17 DE ABRIL-26</t>
  </si>
  <si>
    <t>PAGOYAS</t>
  </si>
  <si>
    <t>TOTAL</t>
  </si>
  <si>
    <t xml:space="preserve">TOTAL DE EGRESOS </t>
  </si>
  <si>
    <t>FOCO H 4 LED</t>
  </si>
  <si>
    <t>BUJIA C7</t>
  </si>
  <si>
    <t>FILTRO DE AIRE FT150</t>
  </si>
  <si>
    <t>BUJIA C9</t>
  </si>
  <si>
    <t xml:space="preserve">ACEITE AKRON DEJO DANIEL 66 </t>
  </si>
  <si>
    <t>GOMAS DE RT200</t>
  </si>
  <si>
    <t>REPUESTO DE CARBURADOR FT150</t>
  </si>
  <si>
    <t>BALATA DE DISCO ATV</t>
  </si>
  <si>
    <t>FILTRO DE GASOLINA DE PIEDRA</t>
  </si>
  <si>
    <t>TORNILLO DE DRENADO</t>
  </si>
  <si>
    <t>CAPUCHON DE BUJIA FT150</t>
  </si>
  <si>
    <t xml:space="preserve">FUSIBLE </t>
  </si>
  <si>
    <t>TORNILLO M88</t>
  </si>
  <si>
    <t>AORCADOR DE ACELERADOR</t>
  </si>
  <si>
    <t xml:space="preserve">CHICOTE DE ACELERADOR UNIVERSAL </t>
  </si>
  <si>
    <t xml:space="preserve">BALATA DE DISCO VENTO REPTIL </t>
  </si>
  <si>
    <t>MANIJA IZQUIERDA DM200</t>
  </si>
  <si>
    <t>CALIPER DE WS150</t>
  </si>
  <si>
    <t>CABEZA DE DS150</t>
  </si>
  <si>
    <t>KID DE CILINDRO DS150</t>
  </si>
  <si>
    <t>GUIAS DE CADENA DS150</t>
  </si>
  <si>
    <t>CHICOTE DE VELOCIMETRO WS150</t>
  </si>
  <si>
    <r>
      <rPr>
        <b/>
        <sz val="14"/>
        <color theme="1"/>
        <rFont val="Calibri"/>
        <family val="2"/>
        <scheme val="minor"/>
      </rPr>
      <t xml:space="preserve">CORTES DE LA SEMANA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13 DE ABRIL-26                  $14611.5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$ 1621        MENOS   $5146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14 DE ABRIL-26             $9465.5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VENTA $ 2122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15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$ 1907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16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$ 739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17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$ 2791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TOTAL$ 9180
TOTAL EN CAJA $ 18645.5</t>
    </r>
    <r>
      <rPr>
        <sz val="11"/>
        <color theme="1"/>
        <rFont val="Calibri"/>
        <family val="2"/>
        <scheme val="minor"/>
      </rPr>
      <t xml:space="preserve">
</t>
    </r>
  </si>
  <si>
    <t>FILTRO DE AIRE KTM250</t>
  </si>
  <si>
    <t>BUJIA DE IRIDIUM</t>
  </si>
  <si>
    <t>FILTRO DE ACEITE PULSAR</t>
  </si>
  <si>
    <t xml:space="preserve">PORTA FUSIBLES </t>
  </si>
  <si>
    <t>BIRLOS DE ESCAPE DS150</t>
  </si>
  <si>
    <t>CABLE ROJO SUELTO</t>
  </si>
  <si>
    <t>CAMARA 3.00.18</t>
  </si>
  <si>
    <t>BALATA DE DISCO XR150</t>
  </si>
  <si>
    <t>DEFENSA UNIVERSAL WAPEMEX</t>
  </si>
  <si>
    <t>BALATA DE DISCO WS150</t>
  </si>
  <si>
    <t>CAMARA 3.50.18</t>
  </si>
  <si>
    <t xml:space="preserve">DIRECCIONALES UNIVERSALES </t>
  </si>
  <si>
    <t xml:space="preserve">RED DE CASCO PARA DANIEL </t>
  </si>
  <si>
    <r>
      <t xml:space="preserve">CUENTA DE HOY SABADO $ 2093 MENOS 240 DE PAGO DE YAS QUEDA $ 1853 MAS LO DE AYER EN CAJA $ 18645.5 
</t>
    </r>
    <r>
      <rPr>
        <b/>
        <sz val="22"/>
        <color theme="1"/>
        <rFont val="Calibri"/>
        <family val="2"/>
        <scheme val="minor"/>
      </rPr>
      <t xml:space="preserve">TOTAL EN CAJA $ 20498.5 </t>
    </r>
  </si>
  <si>
    <t>Sabado 18 DE ABRIL-26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</si>
</sst>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F19" sqref="F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1621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14</v>
      </c>
      <c r="M4" s="23" t="s">
        <v>40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46132.778292013892</v>
      </c>
      <c r="C5">
        <f>IF(ISNUMBER(E5), IF(ISNUMBER(C4), C4+1, 1), "")</f>
        <v>1</v>
      </c>
      <c r="D5" t="s">
        <v>26</v>
      </c>
      <c r="E5">
        <v>1</v>
      </c>
      <c r="F5">
        <v>255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255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46132.778292013892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75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75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46132.778292013892</v>
      </c>
      <c r="C7">
        <f t="shared" si="0"/>
        <v>3</v>
      </c>
      <c r="D7" t="s">
        <v>29</v>
      </c>
      <c r="E7">
        <v>1</v>
      </c>
      <c r="F7">
        <v>150</v>
      </c>
      <c r="G7" t="s">
        <v>28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135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46132.778292013892</v>
      </c>
      <c r="C8">
        <f t="shared" si="0"/>
        <v>4</v>
      </c>
      <c r="D8" t="s">
        <v>30</v>
      </c>
      <c r="E8">
        <v>2</v>
      </c>
      <c r="F8">
        <v>10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46132.778292013892</v>
      </c>
      <c r="C9">
        <f t="shared" si="0"/>
        <v>5</v>
      </c>
      <c r="D9" t="s">
        <v>31</v>
      </c>
      <c r="E9">
        <v>1</v>
      </c>
      <c r="F9">
        <v>10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46132.778292013892</v>
      </c>
      <c r="C10">
        <f t="shared" si="0"/>
        <v>6</v>
      </c>
      <c r="D10" t="s">
        <v>32</v>
      </c>
      <c r="E10">
        <v>1</v>
      </c>
      <c r="F10">
        <v>5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46132.778292013892</v>
      </c>
      <c r="C11">
        <f t="shared" si="0"/>
        <v>7</v>
      </c>
      <c r="D11" t="s">
        <v>27</v>
      </c>
      <c r="E11">
        <v>1</v>
      </c>
      <c r="F11">
        <v>75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75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46132.778292013892</v>
      </c>
      <c r="C12">
        <f t="shared" si="0"/>
        <v>8</v>
      </c>
      <c r="D12" t="s">
        <v>34</v>
      </c>
      <c r="E12">
        <v>1</v>
      </c>
      <c r="F12">
        <v>390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390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46132.778292013892</v>
      </c>
      <c r="C13">
        <f t="shared" si="0"/>
        <v>9</v>
      </c>
      <c r="D13" t="s">
        <v>35</v>
      </c>
      <c r="E13">
        <v>1</v>
      </c>
      <c r="F13">
        <v>90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90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46132.778292013892</v>
      </c>
      <c r="C14">
        <f t="shared" si="0"/>
        <v>10</v>
      </c>
      <c r="D14" t="s">
        <v>36</v>
      </c>
      <c r="E14">
        <v>1</v>
      </c>
      <c r="F14">
        <v>70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70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46132.778292013892</v>
      </c>
      <c r="C15">
        <f t="shared" si="0"/>
        <v>11</v>
      </c>
      <c r="D15" t="s">
        <v>37</v>
      </c>
      <c r="E15">
        <v>1</v>
      </c>
      <c r="F15">
        <v>90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90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46132.778292013892</v>
      </c>
      <c r="C16">
        <f t="shared" si="0"/>
        <v>12</v>
      </c>
      <c r="D16" t="s">
        <v>38</v>
      </c>
      <c r="E16">
        <v>1</v>
      </c>
      <c r="F16">
        <v>20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20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46132.778292013892</v>
      </c>
      <c r="C17">
        <f t="shared" si="0"/>
        <v>13</v>
      </c>
      <c r="D17" t="s">
        <v>39</v>
      </c>
      <c r="E17">
        <v>1</v>
      </c>
      <c r="F17">
        <v>6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6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46132.778292013892</v>
      </c>
      <c r="C18">
        <f t="shared" si="0"/>
        <v>14</v>
      </c>
      <c r="D18" t="s">
        <v>41</v>
      </c>
      <c r="E18">
        <v>1</v>
      </c>
      <c r="F18">
        <v>380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380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 t="s">
        <v>33</v>
      </c>
      <c r="N27" s="27"/>
      <c r="O27" s="30">
        <v>2030</v>
      </c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42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2122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46132.778292013892</v>
      </c>
      <c r="C5">
        <f t="shared" ref="C5:C68" si="0">IF(ISNUMBER(E5), IF(ISNUMBER(C4), C4+1, 1), "")</f>
        <v>1</v>
      </c>
      <c r="D5" t="s">
        <v>43</v>
      </c>
      <c r="E5">
        <v>2</v>
      </c>
      <c r="F5">
        <v>75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150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46132.778292013892</v>
      </c>
      <c r="C6">
        <f t="shared" si="0"/>
        <v>2</v>
      </c>
      <c r="D6" t="s">
        <v>44</v>
      </c>
      <c r="E6">
        <v>1</v>
      </c>
      <c r="F6">
        <v>50</v>
      </c>
      <c r="G6" t="s">
        <v>28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45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46132.778292013892</v>
      </c>
      <c r="C7">
        <f t="shared" si="0"/>
        <v>3</v>
      </c>
      <c r="D7" t="s">
        <v>45</v>
      </c>
      <c r="E7">
        <v>1</v>
      </c>
      <c r="F7">
        <v>65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65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46132.778292013892</v>
      </c>
      <c r="C8">
        <f t="shared" si="0"/>
        <v>4</v>
      </c>
      <c r="D8" t="s">
        <v>46</v>
      </c>
      <c r="E8">
        <v>1</v>
      </c>
      <c r="F8">
        <v>20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46132.778292013892</v>
      </c>
      <c r="C9">
        <f t="shared" si="0"/>
        <v>5</v>
      </c>
      <c r="D9" t="s">
        <v>47</v>
      </c>
      <c r="E9">
        <v>1</v>
      </c>
      <c r="F9">
        <v>25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25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46132.778292013892</v>
      </c>
      <c r="C10">
        <f t="shared" si="0"/>
        <v>6</v>
      </c>
      <c r="D10" t="s">
        <v>48</v>
      </c>
      <c r="E10">
        <v>1</v>
      </c>
      <c r="F10">
        <v>135</v>
      </c>
      <c r="G10" t="s">
        <v>28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121.5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46132.778292013892</v>
      </c>
      <c r="C11">
        <f t="shared" si="0"/>
        <v>7</v>
      </c>
      <c r="D11" t="s">
        <v>49</v>
      </c>
      <c r="E11">
        <v>1</v>
      </c>
      <c r="F11">
        <v>350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350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46132.778292013892</v>
      </c>
      <c r="C12">
        <f t="shared" si="0"/>
        <v>8</v>
      </c>
      <c r="D12" t="s">
        <v>50</v>
      </c>
      <c r="E12">
        <v>1</v>
      </c>
      <c r="F12">
        <v>100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100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46132.778292013892</v>
      </c>
      <c r="C13">
        <f t="shared" si="0"/>
        <v>9</v>
      </c>
      <c r="D13" t="s">
        <v>51</v>
      </c>
      <c r="E13">
        <v>1</v>
      </c>
      <c r="F13">
        <v>500</v>
      </c>
      <c r="G13" t="s">
        <v>28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450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46132.778292013892</v>
      </c>
      <c r="C14">
        <f t="shared" si="0"/>
        <v>10</v>
      </c>
      <c r="D14" t="s">
        <v>52</v>
      </c>
      <c r="E14">
        <v>1</v>
      </c>
      <c r="F14">
        <v>38</v>
      </c>
      <c r="G14" t="s">
        <v>28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34.5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46132.778292013892</v>
      </c>
      <c r="C15">
        <f t="shared" si="0"/>
        <v>11</v>
      </c>
      <c r="D15" t="s">
        <v>53</v>
      </c>
      <c r="E15">
        <v>1</v>
      </c>
      <c r="F15">
        <v>35</v>
      </c>
      <c r="G15" t="s">
        <v>28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31.5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46132.778292013892</v>
      </c>
      <c r="C16">
        <f t="shared" si="0"/>
        <v>12</v>
      </c>
      <c r="D16" t="s">
        <v>54</v>
      </c>
      <c r="E16">
        <v>4</v>
      </c>
      <c r="F16">
        <v>15</v>
      </c>
      <c r="G16" t="s">
        <v>28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54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46132.778292013892</v>
      </c>
      <c r="C17">
        <f t="shared" si="0"/>
        <v>13</v>
      </c>
      <c r="D17" t="s">
        <v>55</v>
      </c>
      <c r="E17">
        <v>1</v>
      </c>
      <c r="F17">
        <v>130</v>
      </c>
      <c r="G17" t="s">
        <v>28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117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46132.778292013892</v>
      </c>
      <c r="C18">
        <f t="shared" si="0"/>
        <v>14</v>
      </c>
      <c r="D18" t="s">
        <v>56</v>
      </c>
      <c r="E18">
        <v>1</v>
      </c>
      <c r="F18">
        <v>90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90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57</v>
      </c>
      <c r="E19">
        <v>1</v>
      </c>
      <c r="F19">
        <v>117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117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59</v>
      </c>
      <c r="E20">
        <v>1</v>
      </c>
      <c r="F20">
        <v>75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75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44</v>
      </c>
      <c r="E21">
        <v>1</v>
      </c>
      <c r="F21">
        <v>50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50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58</v>
      </c>
      <c r="E22">
        <v>1</v>
      </c>
      <c r="F22">
        <v>15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15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60</v>
      </c>
      <c r="E23">
        <v>1</v>
      </c>
      <c r="F23">
        <v>15</v>
      </c>
      <c r="G23" t="s">
        <v>28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13.5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61</v>
      </c>
      <c r="E24">
        <v>1</v>
      </c>
      <c r="F24">
        <v>15</v>
      </c>
      <c r="G24" t="s">
        <v>28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13.5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62</v>
      </c>
      <c r="E25">
        <v>1</v>
      </c>
      <c r="F25">
        <v>15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15</v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63</v>
      </c>
      <c r="E26">
        <v>1</v>
      </c>
      <c r="F26">
        <v>88</v>
      </c>
      <c r="G26" t="s">
        <v>28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79.5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>
        <f t="shared" si="0"/>
        <v>23</v>
      </c>
      <c r="D27" t="s">
        <v>64</v>
      </c>
      <c r="E27">
        <v>1</v>
      </c>
      <c r="F27">
        <v>90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90</v>
      </c>
      <c r="M27" s="13"/>
      <c r="N27" s="15"/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65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1907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23" t="s">
        <v>92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46132.778292013892</v>
      </c>
      <c r="C5">
        <f>IF(ISNUMBER(E5), IF(ISNUMBER(C4), C4+1, 1), "")</f>
        <v>1</v>
      </c>
      <c r="D5" t="s">
        <v>66</v>
      </c>
      <c r="E5">
        <v>1</v>
      </c>
      <c r="F5">
        <v>70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70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46132.778292013892</v>
      </c>
      <c r="C6">
        <f>IF(ISNUMBER(E6), IF(ISNUMBER(C5), C5+1, 1), "")</f>
        <v>2</v>
      </c>
      <c r="D6" t="s">
        <v>67</v>
      </c>
      <c r="E6">
        <v>1</v>
      </c>
      <c r="F6">
        <v>25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25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46132.778292013892</v>
      </c>
      <c r="C7">
        <f>IF(ISNUMBER(E7), IF(ISNUMBER(C6), C6+1, 1), "")</f>
        <v>3</v>
      </c>
      <c r="D7" t="s">
        <v>69</v>
      </c>
      <c r="E7">
        <v>1</v>
      </c>
      <c r="F7">
        <v>50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50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46132.778292013892</v>
      </c>
      <c r="C8">
        <f t="shared" ref="C8:C68" si="0">IF(ISNUMBER(E8), IF(ISNUMBER(C7), C7+1, 1), "")</f>
        <v>4</v>
      </c>
      <c r="D8" t="s">
        <v>70</v>
      </c>
      <c r="E8">
        <v>1</v>
      </c>
      <c r="F8">
        <v>15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46132.778292013892</v>
      </c>
      <c r="C9">
        <f t="shared" si="0"/>
        <v>5</v>
      </c>
      <c r="D9" t="s">
        <v>71</v>
      </c>
      <c r="E9">
        <v>1</v>
      </c>
      <c r="F9">
        <v>41</v>
      </c>
      <c r="G9" t="s">
        <v>28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37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46132.778292013892</v>
      </c>
      <c r="C10">
        <f t="shared" si="0"/>
        <v>6</v>
      </c>
      <c r="D10" t="s">
        <v>72</v>
      </c>
      <c r="E10">
        <v>1</v>
      </c>
      <c r="F10">
        <v>500</v>
      </c>
      <c r="G10" t="s">
        <v>28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450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46132.778292013892</v>
      </c>
      <c r="C11">
        <f t="shared" si="0"/>
        <v>7</v>
      </c>
      <c r="D11" t="s">
        <v>73</v>
      </c>
      <c r="E11">
        <v>1</v>
      </c>
      <c r="F11">
        <v>90</v>
      </c>
      <c r="G11" t="s">
        <v>28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85.5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46132.778292013892</v>
      </c>
      <c r="C12">
        <f t="shared" si="0"/>
        <v>8</v>
      </c>
      <c r="D12" t="s">
        <v>44</v>
      </c>
      <c r="E12">
        <v>1</v>
      </c>
      <c r="F12">
        <v>50</v>
      </c>
      <c r="G12" t="s">
        <v>28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45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46132.778292013892</v>
      </c>
      <c r="C13">
        <f t="shared" si="0"/>
        <v>9</v>
      </c>
      <c r="D13" t="s">
        <v>74</v>
      </c>
      <c r="E13">
        <v>1</v>
      </c>
      <c r="F13">
        <v>160</v>
      </c>
      <c r="G13" t="s">
        <v>28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144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46132.778292013892</v>
      </c>
      <c r="C14">
        <f t="shared" si="0"/>
        <v>10</v>
      </c>
      <c r="D14" t="s">
        <v>75</v>
      </c>
      <c r="E14">
        <v>1</v>
      </c>
      <c r="F14">
        <v>250</v>
      </c>
      <c r="G14" t="s">
        <v>28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225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46132.778292013892</v>
      </c>
      <c r="C15">
        <f t="shared" si="0"/>
        <v>11</v>
      </c>
      <c r="D15" t="s">
        <v>44</v>
      </c>
      <c r="E15">
        <v>1</v>
      </c>
      <c r="F15">
        <v>50</v>
      </c>
      <c r="G15" t="s">
        <v>28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45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46132.778292013892</v>
      </c>
      <c r="C16">
        <f t="shared" si="0"/>
        <v>12</v>
      </c>
      <c r="D16" t="s">
        <v>76</v>
      </c>
      <c r="E16">
        <v>1</v>
      </c>
      <c r="F16">
        <v>9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9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46132.778292013892</v>
      </c>
      <c r="C17">
        <f t="shared" si="0"/>
        <v>13</v>
      </c>
      <c r="D17" t="s">
        <v>77</v>
      </c>
      <c r="E17">
        <v>1</v>
      </c>
      <c r="F17">
        <v>380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380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46132.778292013892</v>
      </c>
      <c r="C18">
        <f t="shared" si="0"/>
        <v>14</v>
      </c>
      <c r="D18" t="s">
        <v>78</v>
      </c>
      <c r="E18">
        <v>1</v>
      </c>
      <c r="F18">
        <v>30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30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79</v>
      </c>
      <c r="E19">
        <v>1</v>
      </c>
      <c r="F19">
        <v>70</v>
      </c>
      <c r="G19" t="s">
        <v>28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63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80</v>
      </c>
      <c r="E20">
        <v>1</v>
      </c>
      <c r="F20">
        <v>220</v>
      </c>
      <c r="G20" t="s">
        <v>28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198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81</v>
      </c>
      <c r="E21">
        <v>1</v>
      </c>
      <c r="F21">
        <v>39</v>
      </c>
      <c r="G21" t="s">
        <v>28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35.5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45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68</v>
      </c>
      <c r="N27" s="15">
        <v>66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82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739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46132.778292013892</v>
      </c>
      <c r="C5">
        <f t="shared" ref="C5:C68" si="0">IF(ISNUMBER(E5), IF(ISNUMBER(C4), C4+1, 1), "")</f>
        <v>1</v>
      </c>
      <c r="D5" t="s">
        <v>83</v>
      </c>
      <c r="E5">
        <v>1</v>
      </c>
      <c r="F5">
        <v>12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12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46132.778292013892</v>
      </c>
      <c r="C6">
        <f t="shared" si="0"/>
        <v>2</v>
      </c>
      <c r="D6" t="s">
        <v>84</v>
      </c>
      <c r="E6">
        <v>2</v>
      </c>
      <c r="F6">
        <v>10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20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46132.778292013892</v>
      </c>
      <c r="C7">
        <f t="shared" si="0"/>
        <v>3</v>
      </c>
      <c r="D7" t="s">
        <v>32</v>
      </c>
      <c r="E7">
        <v>3</v>
      </c>
      <c r="F7">
        <v>5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46132.778292013892</v>
      </c>
      <c r="C8">
        <f t="shared" si="0"/>
        <v>4</v>
      </c>
      <c r="D8" t="s">
        <v>85</v>
      </c>
      <c r="E8">
        <v>2</v>
      </c>
      <c r="F8">
        <v>5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46132.778292013892</v>
      </c>
      <c r="C9">
        <f t="shared" si="0"/>
        <v>5</v>
      </c>
      <c r="D9" t="s">
        <v>86</v>
      </c>
      <c r="E9">
        <v>1</v>
      </c>
      <c r="F9">
        <v>88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88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46132.778292013892</v>
      </c>
      <c r="C10">
        <f t="shared" si="0"/>
        <v>6</v>
      </c>
      <c r="D10" t="s">
        <v>87</v>
      </c>
      <c r="E10">
        <v>1</v>
      </c>
      <c r="F10">
        <v>20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46132.778292013892</v>
      </c>
      <c r="C11">
        <f t="shared" si="0"/>
        <v>7</v>
      </c>
      <c r="D11" t="s">
        <v>88</v>
      </c>
      <c r="E11">
        <v>1</v>
      </c>
      <c r="F11">
        <v>20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20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46132.778292013892</v>
      </c>
      <c r="C12">
        <f t="shared" si="0"/>
        <v>8</v>
      </c>
      <c r="D12" t="s">
        <v>89</v>
      </c>
      <c r="E12">
        <v>1</v>
      </c>
      <c r="F12">
        <v>12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12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46132.778292013892</v>
      </c>
      <c r="C13">
        <f t="shared" si="0"/>
        <v>9</v>
      </c>
      <c r="D13" t="s">
        <v>32</v>
      </c>
      <c r="E13">
        <v>1</v>
      </c>
      <c r="F13">
        <v>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46132.778292013892</v>
      </c>
      <c r="C14">
        <f t="shared" si="0"/>
        <v>10</v>
      </c>
      <c r="D14" t="s">
        <v>90</v>
      </c>
      <c r="E14">
        <v>2</v>
      </c>
      <c r="F14">
        <v>142</v>
      </c>
      <c r="G14" t="s">
        <v>28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270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46132.778292013892</v>
      </c>
      <c r="C15">
        <f t="shared" si="0"/>
        <v>11</v>
      </c>
      <c r="D15" t="s">
        <v>91</v>
      </c>
      <c r="E15">
        <v>1</v>
      </c>
      <c r="F15">
        <v>125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125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46132.778292013892</v>
      </c>
      <c r="C16">
        <f t="shared" si="0"/>
        <v>12</v>
      </c>
      <c r="D16" t="s">
        <v>57</v>
      </c>
      <c r="E16">
        <v>1</v>
      </c>
      <c r="F16">
        <v>117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117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46132.778292013892</v>
      </c>
      <c r="C17">
        <f t="shared" si="0"/>
        <v>13</v>
      </c>
      <c r="D17" t="s">
        <v>93</v>
      </c>
      <c r="E17">
        <v>1</v>
      </c>
      <c r="F17">
        <v>25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46132.778292013892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4" sqref="D3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94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2791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29</v>
      </c>
      <c r="M4" s="23" t="s">
        <v>128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46132.778292013892</v>
      </c>
      <c r="C5">
        <f t="shared" ref="C5:C68" si="0">IF(ISNUMBER(E5), IF(ISNUMBER(C4), C4+1, 1), "")</f>
        <v>1</v>
      </c>
      <c r="D5" t="s">
        <v>95</v>
      </c>
      <c r="E5">
        <v>1</v>
      </c>
      <c r="F5">
        <v>15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46132.778292013892</v>
      </c>
      <c r="C6">
        <f t="shared" si="0"/>
        <v>2</v>
      </c>
      <c r="D6" t="s">
        <v>100</v>
      </c>
      <c r="E6">
        <v>1</v>
      </c>
      <c r="F6">
        <v>3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3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46132.778292013892</v>
      </c>
      <c r="C7">
        <f t="shared" si="0"/>
        <v>3</v>
      </c>
      <c r="D7" t="s">
        <v>106</v>
      </c>
      <c r="E7">
        <v>2</v>
      </c>
      <c r="F7">
        <v>135</v>
      </c>
      <c r="G7" t="s">
        <v>28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243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46132.778292013892</v>
      </c>
      <c r="C8">
        <f t="shared" si="0"/>
        <v>4</v>
      </c>
      <c r="D8" t="s">
        <v>107</v>
      </c>
      <c r="E8">
        <v>1</v>
      </c>
      <c r="F8">
        <v>50</v>
      </c>
      <c r="G8" t="s">
        <v>28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45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46132.778292013892</v>
      </c>
      <c r="C9">
        <f t="shared" si="0"/>
        <v>5</v>
      </c>
      <c r="D9" t="s">
        <v>58</v>
      </c>
      <c r="E9">
        <v>1</v>
      </c>
      <c r="F9">
        <v>15</v>
      </c>
      <c r="G9" t="s">
        <v>28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13.5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46132.778292013892</v>
      </c>
      <c r="C10">
        <f t="shared" si="0"/>
        <v>6</v>
      </c>
      <c r="D10" t="s">
        <v>57</v>
      </c>
      <c r="E10">
        <v>1</v>
      </c>
      <c r="F10">
        <v>117</v>
      </c>
      <c r="G10" t="s">
        <v>28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111.5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46132.778292013892</v>
      </c>
      <c r="C11">
        <f t="shared" si="0"/>
        <v>7</v>
      </c>
      <c r="D11" t="s">
        <v>108</v>
      </c>
      <c r="E11">
        <v>1</v>
      </c>
      <c r="F11">
        <v>35</v>
      </c>
      <c r="G11" t="s">
        <v>28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31.5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46132.778292013892</v>
      </c>
      <c r="C12">
        <f t="shared" si="0"/>
        <v>8</v>
      </c>
      <c r="D12" t="s">
        <v>109</v>
      </c>
      <c r="E12">
        <v>2</v>
      </c>
      <c r="F12">
        <v>50</v>
      </c>
      <c r="G12" t="s">
        <v>28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90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46132.778292013892</v>
      </c>
      <c r="C13">
        <f t="shared" si="0"/>
        <v>9</v>
      </c>
      <c r="D13" t="s">
        <v>110</v>
      </c>
      <c r="E13">
        <v>1</v>
      </c>
      <c r="F13">
        <v>66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66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46132.778292013892</v>
      </c>
      <c r="C14">
        <f t="shared" si="0"/>
        <v>10</v>
      </c>
      <c r="D14" t="s">
        <v>111</v>
      </c>
      <c r="E14">
        <v>1</v>
      </c>
      <c r="F14">
        <v>70</v>
      </c>
      <c r="G14" t="s">
        <v>28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63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46132.778292013892</v>
      </c>
      <c r="C15">
        <f t="shared" si="0"/>
        <v>11</v>
      </c>
      <c r="D15" t="s">
        <v>112</v>
      </c>
      <c r="E15">
        <v>1</v>
      </c>
      <c r="F15">
        <v>50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50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46132.778292013892</v>
      </c>
      <c r="C16">
        <f t="shared" si="0"/>
        <v>12</v>
      </c>
      <c r="D16" t="s">
        <v>113</v>
      </c>
      <c r="E16">
        <v>1</v>
      </c>
      <c r="F16">
        <v>42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42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46132.778292013892</v>
      </c>
      <c r="C17">
        <f t="shared" si="0"/>
        <v>13</v>
      </c>
      <c r="D17" t="s">
        <v>114</v>
      </c>
      <c r="E17">
        <v>1</v>
      </c>
      <c r="F17">
        <v>20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46132.778292013892</v>
      </c>
      <c r="C18">
        <f t="shared" si="0"/>
        <v>14</v>
      </c>
      <c r="D18" t="s">
        <v>115</v>
      </c>
      <c r="E18">
        <v>1</v>
      </c>
      <c r="F18">
        <v>15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15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116</v>
      </c>
      <c r="E19">
        <v>1</v>
      </c>
      <c r="F19">
        <v>20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20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117</v>
      </c>
      <c r="E20">
        <v>1</v>
      </c>
      <c r="F20">
        <v>3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3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118</v>
      </c>
      <c r="E21">
        <v>1</v>
      </c>
      <c r="F21">
        <v>10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10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90</v>
      </c>
      <c r="E22">
        <v>1</v>
      </c>
      <c r="F22">
        <v>142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142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119</v>
      </c>
      <c r="E23">
        <v>1</v>
      </c>
      <c r="F23">
        <v>3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3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120</v>
      </c>
      <c r="E24">
        <v>1</v>
      </c>
      <c r="F24">
        <v>15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15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121</v>
      </c>
      <c r="E25">
        <v>1</v>
      </c>
      <c r="F25">
        <v>150</v>
      </c>
      <c r="G25" t="s">
        <v>28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135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122</v>
      </c>
      <c r="E26">
        <v>1</v>
      </c>
      <c r="F26">
        <v>120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120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123</v>
      </c>
      <c r="E27">
        <v>1</v>
      </c>
      <c r="F27">
        <v>350</v>
      </c>
      <c r="G27" t="s">
        <v>28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315</v>
      </c>
      <c r="M27" s="13" t="s">
        <v>96</v>
      </c>
      <c r="N27" s="15">
        <v>2030</v>
      </c>
      <c r="O27" s="40" t="s">
        <v>97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124</v>
      </c>
      <c r="E28">
        <v>1</v>
      </c>
      <c r="F28">
        <v>525</v>
      </c>
      <c r="G28" t="s">
        <v>28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472.5</v>
      </c>
      <c r="M28" s="13" t="s">
        <v>98</v>
      </c>
      <c r="N28" s="15">
        <v>66</v>
      </c>
      <c r="O28" s="40" t="s">
        <v>99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125</v>
      </c>
      <c r="E29">
        <v>1</v>
      </c>
      <c r="F29">
        <v>480</v>
      </c>
      <c r="G29" t="s">
        <v>28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432</v>
      </c>
      <c r="M29" s="13" t="s">
        <v>101</v>
      </c>
      <c r="N29" s="15">
        <v>1550</v>
      </c>
      <c r="O29" s="40" t="s">
        <v>102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126</v>
      </c>
      <c r="E30">
        <v>1</v>
      </c>
      <c r="F30">
        <v>50</v>
      </c>
      <c r="G30" t="s">
        <v>28</v>
      </c>
      <c r="H30" s="5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>45</v>
      </c>
      <c r="M30" s="13" t="s">
        <v>103</v>
      </c>
      <c r="N30" s="15">
        <v>1500</v>
      </c>
      <c r="O30" s="40" t="s">
        <v>102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127</v>
      </c>
      <c r="E31">
        <v>1</v>
      </c>
      <c r="F31">
        <v>40</v>
      </c>
      <c r="G31" t="s">
        <v>28</v>
      </c>
      <c r="H31" s="5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>36</v>
      </c>
      <c r="M31" s="13" t="s">
        <v>104</v>
      </c>
      <c r="N31" s="15">
        <v>5146</v>
      </c>
      <c r="O31" s="40" t="s">
        <v>105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33</v>
      </c>
      <c r="E32">
        <v>1</v>
      </c>
      <c r="F32">
        <v>117</v>
      </c>
      <c r="H32" s="5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>117</v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57</v>
      </c>
      <c r="E33">
        <v>1</v>
      </c>
      <c r="F33">
        <v>117</v>
      </c>
      <c r="H33" s="5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>117</v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143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2093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23" t="s">
        <v>142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46132.778292013892</v>
      </c>
      <c r="C5">
        <f t="shared" ref="C5:C68" si="0">IF(ISNUMBER(E5), IF(ISNUMBER(C4), C4+1, 1), "")</f>
        <v>1</v>
      </c>
      <c r="D5" t="s">
        <v>129</v>
      </c>
      <c r="E5">
        <v>1</v>
      </c>
      <c r="F5">
        <v>350</v>
      </c>
      <c r="G5" t="s">
        <v>28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315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46132.778292013892</v>
      </c>
      <c r="C6">
        <f t="shared" si="0"/>
        <v>2</v>
      </c>
      <c r="D6" t="s">
        <v>130</v>
      </c>
      <c r="E6">
        <v>1</v>
      </c>
      <c r="F6">
        <v>250</v>
      </c>
      <c r="G6" t="s">
        <v>28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225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46132.778292013892</v>
      </c>
      <c r="C7">
        <f t="shared" si="0"/>
        <v>3</v>
      </c>
      <c r="D7" t="s">
        <v>131</v>
      </c>
      <c r="E7">
        <v>1</v>
      </c>
      <c r="F7">
        <v>48</v>
      </c>
      <c r="G7" t="s">
        <v>28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46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46132.778292013892</v>
      </c>
      <c r="C8">
        <f t="shared" si="0"/>
        <v>4</v>
      </c>
      <c r="D8" t="s">
        <v>57</v>
      </c>
      <c r="E8">
        <v>1</v>
      </c>
      <c r="F8">
        <v>117</v>
      </c>
      <c r="G8" t="s">
        <v>28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111.5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46132.778292013892</v>
      </c>
      <c r="C9">
        <f t="shared" si="0"/>
        <v>5</v>
      </c>
      <c r="D9" t="s">
        <v>57</v>
      </c>
      <c r="E9">
        <v>1</v>
      </c>
      <c r="F9">
        <v>117</v>
      </c>
      <c r="G9" t="s">
        <v>28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111.5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46132.778292013892</v>
      </c>
      <c r="C10">
        <f t="shared" si="0"/>
        <v>6</v>
      </c>
      <c r="D10" t="s">
        <v>132</v>
      </c>
      <c r="E10">
        <v>1</v>
      </c>
      <c r="F10">
        <v>15</v>
      </c>
      <c r="G10" t="s">
        <v>28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13.5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46132.778292013892</v>
      </c>
      <c r="C11">
        <f t="shared" si="0"/>
        <v>7</v>
      </c>
      <c r="D11" t="s">
        <v>133</v>
      </c>
      <c r="E11">
        <v>2</v>
      </c>
      <c r="F11">
        <v>10</v>
      </c>
      <c r="G11" t="s">
        <v>28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18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46132.778292013892</v>
      </c>
      <c r="C12">
        <f t="shared" si="0"/>
        <v>8</v>
      </c>
      <c r="D12" t="s">
        <v>134</v>
      </c>
      <c r="E12">
        <v>2</v>
      </c>
      <c r="F12">
        <v>16</v>
      </c>
      <c r="G12" t="s">
        <v>28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29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46132.778292013892</v>
      </c>
      <c r="C13">
        <f t="shared" si="0"/>
        <v>9</v>
      </c>
      <c r="D13" t="s">
        <v>135</v>
      </c>
      <c r="E13">
        <v>1</v>
      </c>
      <c r="F13">
        <v>65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65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46132.778292013892</v>
      </c>
      <c r="C14">
        <f t="shared" si="0"/>
        <v>10</v>
      </c>
      <c r="D14" t="s">
        <v>136</v>
      </c>
      <c r="E14">
        <v>1</v>
      </c>
      <c r="F14">
        <v>150</v>
      </c>
      <c r="G14" t="s">
        <v>28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135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46132.778292013892</v>
      </c>
      <c r="C15">
        <f t="shared" si="0"/>
        <v>11</v>
      </c>
      <c r="D15" t="s">
        <v>57</v>
      </c>
      <c r="E15">
        <v>1</v>
      </c>
      <c r="F15">
        <v>117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117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46132.778292013892</v>
      </c>
      <c r="C16">
        <f t="shared" si="0"/>
        <v>12</v>
      </c>
      <c r="D16" t="s">
        <v>44</v>
      </c>
      <c r="E16">
        <v>1</v>
      </c>
      <c r="F16">
        <v>50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50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46132.778292013892</v>
      </c>
      <c r="C17">
        <f t="shared" si="0"/>
        <v>13</v>
      </c>
      <c r="D17" t="s">
        <v>137</v>
      </c>
      <c r="E17">
        <v>1</v>
      </c>
      <c r="F17">
        <v>320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320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46132.778292013892</v>
      </c>
      <c r="C18">
        <f t="shared" si="0"/>
        <v>14</v>
      </c>
      <c r="D18" t="s">
        <v>90</v>
      </c>
      <c r="E18">
        <v>1</v>
      </c>
      <c r="F18">
        <v>142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142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138</v>
      </c>
      <c r="E19">
        <v>3</v>
      </c>
      <c r="F19">
        <v>35</v>
      </c>
      <c r="G19" t="s">
        <v>28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94.5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107</v>
      </c>
      <c r="E20">
        <v>1</v>
      </c>
      <c r="F20">
        <v>50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50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58</v>
      </c>
      <c r="E21">
        <v>1</v>
      </c>
      <c r="F21">
        <v>15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15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139</v>
      </c>
      <c r="E22">
        <v>1</v>
      </c>
      <c r="F22">
        <v>85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85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140</v>
      </c>
      <c r="E23">
        <v>1</v>
      </c>
      <c r="F23">
        <v>90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90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141</v>
      </c>
      <c r="E24">
        <v>1</v>
      </c>
      <c r="F24">
        <v>60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60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46132.778292013892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46132.778292013892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46132.778292013892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46132.778292013892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46132.778292013892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46132.778292013892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46132.778292013892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46132.778292013892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46132.778292013892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46132.778292013892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46132.778292013892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46132.778292013892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46132.778292013892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13-04-26</vt:lpstr>
      <vt:lpstr>Martes 14-04-26</vt:lpstr>
      <vt:lpstr>Miercoles 15-04-26</vt:lpstr>
      <vt:lpstr>Jueves 16-04-26</vt:lpstr>
      <vt:lpstr>Viernes 17-04-26</vt:lpstr>
      <vt:lpstr>Sabado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2026-04-21T00:40:46Z</dcterms:modified>
</cp:coreProperties>
</file>