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CBB3F9F2-F934-46F0-9C77-BD0BE96A1710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06-04-26" sheetId="1" r:id="rId1"/>
    <sheet name="Martes 07-04-26" sheetId="2" r:id="rId2"/>
    <sheet name="Miercoles 07-04-26" sheetId="3" r:id="rId3"/>
    <sheet name="Jueves 09-04 -26" sheetId="4" r:id="rId4"/>
    <sheet name="Viernes 10-04-26" sheetId="5" r:id="rId5"/>
    <sheet name="Sabado 11-04-26" sheetId="6" r:id="rId6"/>
    <sheet name="Domingo" sheetId="8" r:id="rId7"/>
    <sheet name="Cambios" sheetId="7" r:id="rId8"/>
  </sheets>
  <definedNames>
    <definedName name="_xlnm._FilterDatabase" localSheetId="0" hidden="1">'Lunes 06-04-26'!$B$4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C16" i="1" l="1"/>
  <c r="B16" i="5" s="1"/>
  <c r="K4" i="8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16" i="8" l="1"/>
  <c r="B16" i="4"/>
  <c r="B16" i="6"/>
  <c r="B16" i="3"/>
  <c r="B16" i="2"/>
  <c r="C17" i="1"/>
  <c r="B9" i="5"/>
  <c r="B9" i="6"/>
  <c r="B9" i="8"/>
  <c r="B9" i="3"/>
  <c r="B9" i="4"/>
  <c r="C10" i="1"/>
  <c r="B10" i="2" s="1"/>
  <c r="B9" i="1"/>
  <c r="K3" i="1"/>
  <c r="B17" i="2" l="1"/>
  <c r="C18" i="1"/>
  <c r="B17" i="5"/>
  <c r="B17" i="3"/>
  <c r="B17" i="6"/>
  <c r="B17" i="1"/>
  <c r="B17" i="8"/>
  <c r="B17" i="4"/>
  <c r="B10" i="1"/>
  <c r="B10" i="6"/>
  <c r="B10" i="8"/>
  <c r="B10" i="5"/>
  <c r="B10" i="3"/>
  <c r="B10" i="4"/>
  <c r="K4" i="1"/>
  <c r="B18" i="2" l="1"/>
  <c r="B18" i="1"/>
  <c r="B18" i="3"/>
  <c r="B18" i="6"/>
  <c r="B18" i="4"/>
  <c r="B18" i="5"/>
  <c r="B18" i="8"/>
</calcChain>
</file>

<file path=xl/sharedStrings.xml><?xml version="1.0" encoding="utf-8"?>
<sst xmlns="http://schemas.openxmlformats.org/spreadsheetml/2006/main" count="312" uniqueCount="135">
  <si>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</si>
  <si>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</si>
  <si>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</si>
  <si>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</si>
  <si>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</si>
  <si>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</si>
  <si>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</si>
  <si>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</si>
  <si>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</si>
  <si>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</si>
  <si>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</si>
  <si>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</si>
  <si>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</si>
  <si>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</si>
  <si>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</si>
  <si>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</si>
  <si>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</si>
  <si>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</si>
  <si>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</si>
  <si>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</si>
  <si>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</si>
  <si>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</si>
  <si>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</si>
  <si>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</si>
  <si>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</si>
  <si>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06 DE ABRIL-26</t>
  </si>
  <si>
    <t>FOCO DE STOP</t>
  </si>
  <si>
    <t xml:space="preserve">FOCO DIRECCIONAL </t>
  </si>
  <si>
    <t>CADENA 428 X 136 WAPEMEX</t>
  </si>
  <si>
    <t>X</t>
  </si>
  <si>
    <t>BALATA DE TAMBOR CHICO</t>
  </si>
  <si>
    <t>FILTRO DE AIRE DS150</t>
  </si>
  <si>
    <t>ACEITE AKRON</t>
  </si>
  <si>
    <t xml:space="preserve">FILTRO DE GASOLINA CARTON </t>
  </si>
  <si>
    <t>BUJIA C7</t>
  </si>
  <si>
    <t>BUJIA C9</t>
  </si>
  <si>
    <t>RED DE ACIENTO WS150</t>
  </si>
  <si>
    <t xml:space="preserve">PILA QLINK YTX7 DANIEL DEJO 500 </t>
  </si>
  <si>
    <t xml:space="preserve">BALATA DE DISCO ATV ITALIKA </t>
  </si>
  <si>
    <t>SUITH DS150</t>
  </si>
  <si>
    <t>BUJIA D8</t>
  </si>
  <si>
    <t>ACEITE LUBER</t>
  </si>
  <si>
    <t>TUERCA</t>
  </si>
  <si>
    <t>DANIEL YA BAJO LO DE LA PILA 121</t>
  </si>
  <si>
    <t>BOMBA DE ATV ITALIKA</t>
  </si>
  <si>
    <t xml:space="preserve">MANGUERA DE GASOLINA </t>
  </si>
  <si>
    <t xml:space="preserve">ACEITE AKRON </t>
  </si>
  <si>
    <t xml:space="preserve">FILTRO DE AGSOLINA CARTON </t>
  </si>
  <si>
    <t>FILTRO DE AIRE XR125</t>
  </si>
  <si>
    <t xml:space="preserve">FILTRO DE GASOLINA </t>
  </si>
  <si>
    <t>TAZA DE DIRECCION D125</t>
  </si>
  <si>
    <t xml:space="preserve">LIMPIADOR DE CARBURADOR </t>
  </si>
  <si>
    <t>BOTON DE ENCENDIDO DS150</t>
  </si>
  <si>
    <t xml:space="preserve">ESCAPE </t>
  </si>
  <si>
    <t>BALATA TRASERA REPTIL</t>
  </si>
  <si>
    <t xml:space="preserve">PEDIDO NASAKI </t>
  </si>
  <si>
    <t xml:space="preserve">PILAS </t>
  </si>
  <si>
    <t xml:space="preserve"> REFLEJANTE DE RID </t>
  </si>
  <si>
    <t xml:space="preserve">BALATA DE TAMBOR CHICO </t>
  </si>
  <si>
    <t xml:space="preserve">TOTAL </t>
  </si>
  <si>
    <t>CHICOTE DE ACELERADOR WS150</t>
  </si>
  <si>
    <t xml:space="preserve">BOTON DE ENCENDIDO D125 </t>
  </si>
  <si>
    <t>SELLO DE ESCAPE DS150</t>
  </si>
  <si>
    <t>RED DE ACIENTO</t>
  </si>
  <si>
    <t>STIKER</t>
  </si>
  <si>
    <t>BALERO 6202</t>
  </si>
  <si>
    <t xml:space="preserve">CUENTA SEMAANA PASADA $ 19263 MENOS $ 4781 QUEDA $ 14482 
DANIEL YA PAGO LOS 121 QUE DEBIA DE LA PILA </t>
  </si>
  <si>
    <t>PEDAL  DE CAMBIOS FT150</t>
  </si>
  <si>
    <t>SEGURO</t>
  </si>
  <si>
    <t>BUJES PLASTICO</t>
  </si>
  <si>
    <t>BALERO6302</t>
  </si>
  <si>
    <t>PROTECTOR DE CAMBIO</t>
  </si>
  <si>
    <t>CLAXON DS150</t>
  </si>
  <si>
    <t>TIRAS LED AZULES</t>
  </si>
  <si>
    <t xml:space="preserve">ACEITE  AKRON </t>
  </si>
  <si>
    <t xml:space="preserve">DIRECCIONAL DE CALAVERA </t>
  </si>
  <si>
    <t xml:space="preserve">PILA MOTONETA  NASAKI </t>
  </si>
  <si>
    <t>TAZAS DE DIRECCION FT150</t>
  </si>
  <si>
    <t>CHCICOTEB UNIVERSAL CLUTH</t>
  </si>
  <si>
    <t>FILTRO DE ALTO FLUJO</t>
  </si>
  <si>
    <t>CAMARA 120-80-118</t>
  </si>
  <si>
    <t>P.NASAKI</t>
  </si>
  <si>
    <t>PILANASA</t>
  </si>
  <si>
    <t xml:space="preserve">QLINK </t>
  </si>
  <si>
    <t xml:space="preserve">PAGOYAS </t>
  </si>
  <si>
    <t>VIERNES 10 DE ABRIL</t>
  </si>
  <si>
    <t>JUEVES 09 DE ABRIL-26</t>
  </si>
  <si>
    <t>MARTES 07 DE ABRIL-26</t>
  </si>
  <si>
    <t xml:space="preserve">TOTAL DE EGRESOS </t>
  </si>
  <si>
    <t>Viernes 10 DE ABRIL -26</t>
  </si>
  <si>
    <t>Jueves 09 DE ABRIL -26</t>
  </si>
  <si>
    <t>Miercoles 08 DE ABRIL-26</t>
  </si>
  <si>
    <t>Martes 07 DE ABRIL -26</t>
  </si>
  <si>
    <t xml:space="preserve">GASOLINA </t>
  </si>
  <si>
    <t xml:space="preserve">CUENTA SE SEMANA PASADA $ 14482 MENOS 8940 DE PILAS QLINK QUEDA $ 5542  MAS 100 DE GASOLINA </t>
  </si>
  <si>
    <t>DIRECCCIONAL UNIVERSAL NASAKI</t>
  </si>
  <si>
    <t>FOCO H6 HALOGENO</t>
  </si>
  <si>
    <t>FOCO DIRECCIONAL</t>
  </si>
  <si>
    <t>PORTA SPROKET YBR125</t>
  </si>
  <si>
    <t>BIRLOS DE MASA FT125</t>
  </si>
  <si>
    <t>KID DE CILINDRO 250Z</t>
  </si>
  <si>
    <t xml:space="preserve">CLAXON </t>
  </si>
  <si>
    <t>GUIAS DE CADENA 250Z</t>
  </si>
  <si>
    <t>FOCO H4 LED</t>
  </si>
  <si>
    <t xml:space="preserve">POSAPIES UNIVERSALES </t>
  </si>
  <si>
    <t>GASOLINA</t>
  </si>
  <si>
    <t>RETEN DE VALVULA DS150</t>
  </si>
  <si>
    <t>JUNTA DE CYBIERTA DERECHA DM200</t>
  </si>
  <si>
    <t>VALVULAS DE MOTOR 250Z</t>
  </si>
  <si>
    <t>FILTRO DE AIRE 150Z NASAKI</t>
  </si>
  <si>
    <t>BALATA DE DISCO AT110</t>
  </si>
  <si>
    <t xml:space="preserve">SELLO DE ESCAPE </t>
  </si>
  <si>
    <t>CUBRE POLVO ATV</t>
  </si>
  <si>
    <r>
      <rPr>
        <b/>
        <sz val="14"/>
        <color theme="1"/>
        <rFont val="Calibri"/>
        <family val="2"/>
        <scheme val="minor"/>
      </rPr>
      <t>CORTES DE LA SEMANA   SEMANA PASADA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06 DE ABRIL-26                        $ 19263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$ 1691                MENOS $ 15321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MARTES 07 DE ABRIL-26     QUEDA $ 3942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$ 2517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08 DE ABRIL-26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$ 629.5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JUEVES 09 DE ABRIL-26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$ 1078.5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VIERNES 10 DE ABRIL-26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$ 1966.5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2"/>
        <color theme="1"/>
        <rFont val="Calibri"/>
        <family val="2"/>
        <scheme val="minor"/>
      </rPr>
      <t xml:space="preserve">TOTAL$ 7882.5 
TOTAL EN CAJA $ 11824.5 </t>
    </r>
  </si>
  <si>
    <t>Sabado 11 DE ABRIL -26</t>
  </si>
  <si>
    <t>EJE DE HORQUILLA ATV</t>
  </si>
  <si>
    <t>BUJE DE HORQUILLA ATV</t>
  </si>
  <si>
    <t xml:space="preserve">SELLADOR DE ROSCA </t>
  </si>
  <si>
    <t>CADENA 428X 116 ITALIKA</t>
  </si>
  <si>
    <t>BARRA DE POSAPIE  FT150</t>
  </si>
  <si>
    <t xml:space="preserve">ESPEJOS PARA MOTONETA </t>
  </si>
  <si>
    <t>PUÑOS DE FT150</t>
  </si>
  <si>
    <t>BALATA DELANTERA FT1509</t>
  </si>
  <si>
    <t>BUJIA DE IRIDIUM</t>
  </si>
  <si>
    <t>BALATA DELANTERA XR150</t>
  </si>
  <si>
    <t>FILTRO DE GASOLINA CARTON</t>
  </si>
  <si>
    <t>FILTRO DE AIRE D150</t>
  </si>
  <si>
    <t>BUJIUAS C7</t>
  </si>
  <si>
    <t xml:space="preserve">PILA QLINK YTX7 </t>
  </si>
  <si>
    <t>BALATA DE ATMBOR DS150 NASAKI</t>
  </si>
  <si>
    <t>MANIJA DEREHCA YBR125</t>
  </si>
  <si>
    <t>CHCICOTE DE CLUTH FT150</t>
  </si>
  <si>
    <t xml:space="preserve">FILTRO DE AIRE ALTO FLUJO </t>
  </si>
  <si>
    <r>
      <t xml:space="preserve">CUENTA DE HOY SABADO $ 3087 MENOS 300 PAGO DE YAS QUEDA $ 2787 MAS LA CUENTA DE AYER $ 11824.5 
</t>
    </r>
    <r>
      <rPr>
        <b/>
        <sz val="22"/>
        <color theme="1"/>
        <rFont val="Calibri"/>
        <family val="2"/>
        <scheme val="minor"/>
      </rPr>
      <t xml:space="preserve">TOTAL EN CAJA $ 14611.5 </t>
    </r>
  </si>
  <si>
    <t xml:space="preserve">DANIEL DEBE 121 DE PILA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</si>
</sst>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4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M4" sqref="M4:R2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17</v>
      </c>
      <c r="K3" s="6">
        <f>SUM(Tabla1[Importa])</f>
        <v>1691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17</v>
      </c>
      <c r="M4" s="36" t="s">
        <v>134</v>
      </c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46123.797432175925</v>
      </c>
      <c r="C5">
        <f>IF(ISNUMBER(E5), IF(ISNUMBER(C4), C4+1, 1), "")</f>
        <v>1</v>
      </c>
      <c r="D5" t="s">
        <v>26</v>
      </c>
      <c r="E5">
        <v>1</v>
      </c>
      <c r="F5">
        <v>20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20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46123.797432175925</v>
      </c>
      <c r="C6">
        <f t="shared" ref="C6:C36" si="0">IF(ISNUMBER(E6), IF(ISNUMBER(C5), C5+1, 1), "")</f>
        <v>2</v>
      </c>
      <c r="D6" t="s">
        <v>27</v>
      </c>
      <c r="E6">
        <v>1</v>
      </c>
      <c r="F6">
        <v>12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12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46123.797432175925</v>
      </c>
      <c r="C7">
        <f t="shared" si="0"/>
        <v>3</v>
      </c>
      <c r="D7" t="s">
        <v>28</v>
      </c>
      <c r="E7">
        <v>1</v>
      </c>
      <c r="F7">
        <v>190</v>
      </c>
      <c r="G7" t="s">
        <v>29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171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46123.797432175925</v>
      </c>
      <c r="C8">
        <f t="shared" si="0"/>
        <v>4</v>
      </c>
      <c r="D8" t="s">
        <v>30</v>
      </c>
      <c r="E8">
        <v>1</v>
      </c>
      <c r="F8">
        <v>78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78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46123.797432175925</v>
      </c>
      <c r="C9">
        <f t="shared" si="0"/>
        <v>5</v>
      </c>
      <c r="D9" t="s">
        <v>31</v>
      </c>
      <c r="E9">
        <v>1</v>
      </c>
      <c r="F9">
        <v>70</v>
      </c>
      <c r="G9" t="s">
        <v>29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63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46123.797432175925</v>
      </c>
      <c r="C10">
        <f t="shared" si="0"/>
        <v>6</v>
      </c>
      <c r="D10" t="s">
        <v>32</v>
      </c>
      <c r="E10">
        <v>1</v>
      </c>
      <c r="F10">
        <v>117</v>
      </c>
      <c r="G10" t="s">
        <v>29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111.5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46123.797432175925</v>
      </c>
      <c r="C11">
        <f t="shared" si="0"/>
        <v>7</v>
      </c>
      <c r="D11" t="s">
        <v>33</v>
      </c>
      <c r="E11">
        <v>1</v>
      </c>
      <c r="F11">
        <v>15</v>
      </c>
      <c r="G11" t="s">
        <v>29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13.5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46123.797432175925</v>
      </c>
      <c r="C12">
        <f t="shared" si="0"/>
        <v>8</v>
      </c>
      <c r="D12" t="s">
        <v>34</v>
      </c>
      <c r="E12">
        <v>1</v>
      </c>
      <c r="F12">
        <v>50</v>
      </c>
      <c r="G12" t="s">
        <v>29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45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46123.797432175925</v>
      </c>
      <c r="C13">
        <f t="shared" si="0"/>
        <v>9</v>
      </c>
      <c r="D13" t="s">
        <v>35</v>
      </c>
      <c r="E13">
        <v>1</v>
      </c>
      <c r="F13">
        <v>50</v>
      </c>
      <c r="G13" t="s">
        <v>29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45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46123.797432175925</v>
      </c>
      <c r="C14">
        <f t="shared" si="0"/>
        <v>10</v>
      </c>
      <c r="D14" t="s">
        <v>36</v>
      </c>
      <c r="E14">
        <v>1</v>
      </c>
      <c r="F14">
        <v>115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115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46123.797432175925</v>
      </c>
      <c r="C15">
        <f t="shared" si="0"/>
        <v>11</v>
      </c>
      <c r="D15" t="s">
        <v>37</v>
      </c>
      <c r="E15">
        <v>1</v>
      </c>
      <c r="F15">
        <v>500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500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46123.797432175925</v>
      </c>
      <c r="C16">
        <f t="shared" si="0"/>
        <v>12</v>
      </c>
      <c r="D16" t="s">
        <v>38</v>
      </c>
      <c r="E16">
        <v>1</v>
      </c>
      <c r="F16">
        <v>42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42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46123.797432175925</v>
      </c>
      <c r="C17">
        <f t="shared" si="0"/>
        <v>13</v>
      </c>
      <c r="D17" t="s">
        <v>39</v>
      </c>
      <c r="E17">
        <v>1</v>
      </c>
      <c r="F17">
        <v>291</v>
      </c>
      <c r="G17" t="s">
        <v>29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262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46123.797432175925</v>
      </c>
      <c r="C18">
        <f t="shared" si="0"/>
        <v>14</v>
      </c>
      <c r="D18" t="s">
        <v>40</v>
      </c>
      <c r="E18">
        <v>1</v>
      </c>
      <c r="F18">
        <v>50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50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46123.797432175925</v>
      </c>
      <c r="C19">
        <f t="shared" si="0"/>
        <v>15</v>
      </c>
      <c r="D19" t="s">
        <v>38</v>
      </c>
      <c r="E19">
        <v>2</v>
      </c>
      <c r="F19">
        <v>34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68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46123.797432175925</v>
      </c>
      <c r="C20">
        <f t="shared" si="0"/>
        <v>16</v>
      </c>
      <c r="D20" t="s">
        <v>41</v>
      </c>
      <c r="E20">
        <v>1</v>
      </c>
      <c r="F20">
        <v>90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90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46123.797432175925</v>
      </c>
      <c r="C21">
        <f t="shared" si="0"/>
        <v>17</v>
      </c>
      <c r="D21" t="s">
        <v>42</v>
      </c>
      <c r="E21">
        <v>1</v>
      </c>
      <c r="F21">
        <v>5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32" t="s">
        <v>19</v>
      </c>
      <c r="N24" s="32"/>
      <c r="O24" s="32"/>
      <c r="P24" s="32"/>
      <c r="Q24" s="32"/>
      <c r="R24" s="32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1" t="s">
        <v>20</v>
      </c>
      <c r="N26" s="31"/>
      <c r="O26" s="14" t="s">
        <v>21</v>
      </c>
      <c r="P26" s="31" t="s">
        <v>22</v>
      </c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19"/>
      <c r="N27" s="20"/>
      <c r="O27" s="23"/>
      <c r="P27" s="25"/>
      <c r="Q27" s="26"/>
      <c r="R27" s="27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1"/>
      <c r="N28" s="22"/>
      <c r="O28" s="24"/>
      <c r="P28" s="28"/>
      <c r="Q28" s="29"/>
      <c r="R28" s="30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19"/>
      <c r="N29" s="20"/>
      <c r="O29" s="23"/>
      <c r="P29" s="25"/>
      <c r="Q29" s="26"/>
      <c r="R29" s="27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1"/>
      <c r="N30" s="22"/>
      <c r="O30" s="24"/>
      <c r="P30" s="28"/>
      <c r="Q30" s="29"/>
      <c r="R30" s="30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19"/>
      <c r="N31" s="20"/>
      <c r="O31" s="23"/>
      <c r="P31" s="25"/>
      <c r="Q31" s="26"/>
      <c r="R31" s="27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1"/>
      <c r="N32" s="22"/>
      <c r="O32" s="24"/>
      <c r="P32" s="28"/>
      <c r="Q32" s="29"/>
      <c r="R32" s="30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19"/>
      <c r="N33" s="20"/>
      <c r="O33" s="23"/>
      <c r="P33" s="25"/>
      <c r="Q33" s="26"/>
      <c r="R33" s="27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1"/>
      <c r="N34" s="22"/>
      <c r="O34" s="24"/>
      <c r="P34" s="28"/>
      <c r="Q34" s="29"/>
      <c r="R34" s="30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26" sqref="D2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92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SUM(Tabla110[Importa])</f>
        <v>2517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21</v>
      </c>
      <c r="M4" s="36" t="s">
        <v>66</v>
      </c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46123.797432175925</v>
      </c>
      <c r="C5">
        <f t="shared" ref="C5:C68" si="0">IF(ISNUMBER(E5), IF(ISNUMBER(C4), C4+1, 1), "")</f>
        <v>1</v>
      </c>
      <c r="D5" t="s">
        <v>43</v>
      </c>
      <c r="E5">
        <v>1</v>
      </c>
      <c r="F5">
        <v>121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121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46123.797432175925</v>
      </c>
      <c r="C6">
        <f t="shared" si="0"/>
        <v>2</v>
      </c>
      <c r="D6" t="s">
        <v>44</v>
      </c>
      <c r="E6">
        <v>1</v>
      </c>
      <c r="F6">
        <v>400</v>
      </c>
      <c r="G6" t="s">
        <v>29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360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46123.797432175925</v>
      </c>
      <c r="C7">
        <f t="shared" si="0"/>
        <v>3</v>
      </c>
      <c r="D7" t="s">
        <v>45</v>
      </c>
      <c r="E7">
        <v>1</v>
      </c>
      <c r="F7">
        <v>30</v>
      </c>
      <c r="G7" t="s">
        <v>29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27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46123.797432175925</v>
      </c>
      <c r="C8">
        <f t="shared" si="0"/>
        <v>4</v>
      </c>
      <c r="D8" t="s">
        <v>46</v>
      </c>
      <c r="E8">
        <v>1</v>
      </c>
      <c r="F8">
        <v>117</v>
      </c>
      <c r="G8" t="s">
        <v>29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111.5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46123.797432175925</v>
      </c>
      <c r="C9">
        <f t="shared" si="0"/>
        <v>5</v>
      </c>
      <c r="D9" t="s">
        <v>47</v>
      </c>
      <c r="E9">
        <v>1</v>
      </c>
      <c r="F9">
        <v>15</v>
      </c>
      <c r="G9" t="s">
        <v>29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13.5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46123.797432175925</v>
      </c>
      <c r="C10">
        <f t="shared" si="0"/>
        <v>6</v>
      </c>
      <c r="D10" t="s">
        <v>48</v>
      </c>
      <c r="E10">
        <v>1</v>
      </c>
      <c r="F10">
        <v>72</v>
      </c>
      <c r="G10" t="s">
        <v>29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65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46123.797432175925</v>
      </c>
      <c r="C11">
        <f t="shared" si="0"/>
        <v>7</v>
      </c>
      <c r="D11" t="s">
        <v>46</v>
      </c>
      <c r="E11">
        <v>1</v>
      </c>
      <c r="F11">
        <v>117</v>
      </c>
      <c r="G11" t="s">
        <v>29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111.5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46123.797432175925</v>
      </c>
      <c r="C12">
        <f t="shared" si="0"/>
        <v>8</v>
      </c>
      <c r="D12" t="s">
        <v>49</v>
      </c>
      <c r="E12">
        <v>1</v>
      </c>
      <c r="F12">
        <v>15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15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46123.797432175925</v>
      </c>
      <c r="C13">
        <f t="shared" si="0"/>
        <v>9</v>
      </c>
      <c r="D13" t="s">
        <v>46</v>
      </c>
      <c r="E13">
        <v>1</v>
      </c>
      <c r="F13">
        <v>117</v>
      </c>
      <c r="G13" t="s">
        <v>29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111.5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46123.797432175925</v>
      </c>
      <c r="C14">
        <f t="shared" si="0"/>
        <v>10</v>
      </c>
      <c r="D14" t="s">
        <v>33</v>
      </c>
      <c r="E14">
        <v>1</v>
      </c>
      <c r="F14">
        <v>15</v>
      </c>
      <c r="G14" t="s">
        <v>29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13.5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46123.797432175925</v>
      </c>
      <c r="C15">
        <f t="shared" si="0"/>
        <v>11</v>
      </c>
      <c r="D15" t="s">
        <v>40</v>
      </c>
      <c r="E15">
        <v>1</v>
      </c>
      <c r="F15">
        <v>50</v>
      </c>
      <c r="G15" t="s">
        <v>29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45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46123.797432175925</v>
      </c>
      <c r="C16">
        <f t="shared" si="0"/>
        <v>12</v>
      </c>
      <c r="D16" t="s">
        <v>31</v>
      </c>
      <c r="E16">
        <v>1</v>
      </c>
      <c r="F16">
        <v>70</v>
      </c>
      <c r="G16" t="s">
        <v>29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63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46123.797432175925</v>
      </c>
      <c r="C17">
        <f t="shared" si="0"/>
        <v>13</v>
      </c>
      <c r="D17" t="s">
        <v>50</v>
      </c>
      <c r="E17">
        <v>1</v>
      </c>
      <c r="F17">
        <v>139</v>
      </c>
      <c r="G17" t="s">
        <v>29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125.5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46123.797432175925</v>
      </c>
      <c r="C18">
        <f t="shared" si="0"/>
        <v>14</v>
      </c>
      <c r="D18" t="s">
        <v>51</v>
      </c>
      <c r="E18">
        <v>1</v>
      </c>
      <c r="F18">
        <v>75</v>
      </c>
      <c r="G18" t="s">
        <v>29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67.5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46123.797432175925</v>
      </c>
      <c r="C19">
        <f t="shared" si="0"/>
        <v>15</v>
      </c>
      <c r="D19" t="s">
        <v>52</v>
      </c>
      <c r="E19">
        <v>1</v>
      </c>
      <c r="F19">
        <v>15</v>
      </c>
      <c r="G19" t="s">
        <v>29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13.5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46123.797432175925</v>
      </c>
      <c r="C20">
        <f t="shared" si="0"/>
        <v>16</v>
      </c>
      <c r="D20" t="s">
        <v>53</v>
      </c>
      <c r="E20">
        <v>1</v>
      </c>
      <c r="F20">
        <v>750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750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46123.797432175925</v>
      </c>
      <c r="C21">
        <f t="shared" si="0"/>
        <v>17</v>
      </c>
      <c r="D21" t="s">
        <v>54</v>
      </c>
      <c r="E21">
        <v>1</v>
      </c>
      <c r="F21">
        <v>150</v>
      </c>
      <c r="G21" t="s">
        <v>29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135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57</v>
      </c>
      <c r="E22">
        <v>1</v>
      </c>
      <c r="F22">
        <v>45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45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46</v>
      </c>
      <c r="E23">
        <v>1</v>
      </c>
      <c r="F23">
        <v>117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117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34</v>
      </c>
      <c r="E24">
        <v>1</v>
      </c>
      <c r="F24">
        <v>50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50</v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>
        <f t="shared" si="0"/>
        <v>21</v>
      </c>
      <c r="D25" t="s">
        <v>58</v>
      </c>
      <c r="E25">
        <v>2</v>
      </c>
      <c r="F25">
        <v>78</v>
      </c>
      <c r="H25" s="5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>156</v>
      </c>
      <c r="M25" s="37"/>
      <c r="N25" s="37"/>
      <c r="O25" s="37"/>
      <c r="P25" s="37"/>
      <c r="Q25" s="37"/>
      <c r="R25" s="37"/>
    </row>
    <row r="26" spans="2:18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30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55</v>
      </c>
      <c r="N27" s="15">
        <v>3851</v>
      </c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 t="s">
        <v>56</v>
      </c>
      <c r="N28" s="15">
        <v>930</v>
      </c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 t="s">
        <v>59</v>
      </c>
      <c r="N29" s="15">
        <v>4781</v>
      </c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C2" sqref="C2:H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91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SUM(Tabla111[Importa])</f>
        <v>629.5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14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46123.797432175925</v>
      </c>
      <c r="C5">
        <f>IF(ISNUMBER(E5), IF(ISNUMBER(C4), C4+1, 1), "")</f>
        <v>1</v>
      </c>
      <c r="D5" t="s">
        <v>46</v>
      </c>
      <c r="E5">
        <v>1</v>
      </c>
      <c r="F5">
        <v>117</v>
      </c>
      <c r="G5" t="s">
        <v>29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111.5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46123.797432175925</v>
      </c>
      <c r="C6">
        <f t="shared" ref="C6" si="0">IF(ISNUMBER(E6), IF(ISNUMBER(C5), C5+1, 1), "")</f>
        <v>2</v>
      </c>
      <c r="D6" t="s">
        <v>40</v>
      </c>
      <c r="E6">
        <v>1</v>
      </c>
      <c r="F6">
        <v>50</v>
      </c>
      <c r="G6" t="s">
        <v>29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45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46123.797432175925</v>
      </c>
      <c r="C7">
        <f>IF(ISNUMBER(E7), IF(ISNUMBER(C6), C6+1, 1), "")</f>
        <v>3</v>
      </c>
      <c r="D7" t="s">
        <v>35</v>
      </c>
      <c r="E7">
        <v>1</v>
      </c>
      <c r="F7">
        <v>50</v>
      </c>
      <c r="G7" t="s">
        <v>29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45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46123.797432175925</v>
      </c>
      <c r="C8">
        <f t="shared" ref="C8:C68" si="1">IF(ISNUMBER(E8), IF(ISNUMBER(C7), C7+1, 1), "")</f>
        <v>4</v>
      </c>
      <c r="D8" t="s">
        <v>60</v>
      </c>
      <c r="E8">
        <v>1</v>
      </c>
      <c r="F8">
        <v>50</v>
      </c>
      <c r="G8" t="s">
        <v>29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45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46123.797432175925</v>
      </c>
      <c r="C9">
        <f t="shared" si="1"/>
        <v>5</v>
      </c>
      <c r="D9" t="s">
        <v>61</v>
      </c>
      <c r="E9">
        <v>1</v>
      </c>
      <c r="F9">
        <v>31</v>
      </c>
      <c r="G9" t="s">
        <v>29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28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46123.797432175925</v>
      </c>
      <c r="C10">
        <f t="shared" si="1"/>
        <v>6</v>
      </c>
      <c r="D10" t="s">
        <v>62</v>
      </c>
      <c r="E10">
        <v>1</v>
      </c>
      <c r="F10">
        <v>10</v>
      </c>
      <c r="G10" t="s">
        <v>29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9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46123.797432175925</v>
      </c>
      <c r="C11">
        <f t="shared" si="1"/>
        <v>7</v>
      </c>
      <c r="D11" t="s">
        <v>63</v>
      </c>
      <c r="E11">
        <v>1</v>
      </c>
      <c r="F11">
        <v>115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115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46123.797432175925</v>
      </c>
      <c r="C12">
        <f t="shared" si="1"/>
        <v>8</v>
      </c>
      <c r="D12" t="s">
        <v>64</v>
      </c>
      <c r="E12">
        <v>1</v>
      </c>
      <c r="F12">
        <v>5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46123.797432175925</v>
      </c>
      <c r="C13">
        <f t="shared" si="1"/>
        <v>9</v>
      </c>
      <c r="D13" t="s">
        <v>65</v>
      </c>
      <c r="E13">
        <v>1</v>
      </c>
      <c r="F13">
        <v>30</v>
      </c>
      <c r="G13" t="s">
        <v>29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27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46123.797432175925</v>
      </c>
      <c r="C14">
        <f t="shared" si="1"/>
        <v>10</v>
      </c>
      <c r="D14" t="s">
        <v>67</v>
      </c>
      <c r="E14">
        <v>1</v>
      </c>
      <c r="F14">
        <v>89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89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46123.797432175925</v>
      </c>
      <c r="C15">
        <f t="shared" si="1"/>
        <v>11</v>
      </c>
      <c r="D15" t="s">
        <v>68</v>
      </c>
      <c r="E15">
        <v>1</v>
      </c>
      <c r="F15">
        <v>10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10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46123.797432175925</v>
      </c>
      <c r="C16">
        <f t="shared" si="1"/>
        <v>12</v>
      </c>
      <c r="D16" t="s">
        <v>69</v>
      </c>
      <c r="E16">
        <v>1</v>
      </c>
      <c r="F16">
        <v>20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20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46123.797432175925</v>
      </c>
      <c r="C17">
        <f t="shared" si="1"/>
        <v>13</v>
      </c>
      <c r="D17" t="s">
        <v>70</v>
      </c>
      <c r="E17">
        <v>1</v>
      </c>
      <c r="F17">
        <v>30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30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46123.797432175925</v>
      </c>
      <c r="C18">
        <f t="shared" si="1"/>
        <v>14</v>
      </c>
      <c r="D18" t="s">
        <v>35</v>
      </c>
      <c r="E18">
        <v>1</v>
      </c>
      <c r="F18">
        <v>50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50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46123.797432175925</v>
      </c>
      <c r="C19" t="str">
        <f t="shared" si="1"/>
        <v/>
      </c>
      <c r="H19" s="5" t="str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46123.797432175925</v>
      </c>
      <c r="C20" t="str">
        <f t="shared" si="1"/>
        <v/>
      </c>
      <c r="H20" s="5" t="str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46123.797432175925</v>
      </c>
      <c r="C21" t="str">
        <f t="shared" si="1"/>
        <v/>
      </c>
      <c r="H21" s="5" t="str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1"/>
        <v/>
      </c>
      <c r="H22" s="5" t="str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1"/>
        <v/>
      </c>
      <c r="H23" s="5" t="str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1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 t="str">
        <f t="shared" si="1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1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1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90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SUM(Tabla112[Importa])</f>
        <v>1078.5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11</v>
      </c>
      <c r="M4" s="36" t="s">
        <v>94</v>
      </c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46123.797432175925</v>
      </c>
      <c r="C5">
        <f t="shared" ref="C5:C68" si="0">IF(ISNUMBER(E5), IF(ISNUMBER(C4), C4+1, 1), "")</f>
        <v>1</v>
      </c>
      <c r="D5" t="s">
        <v>71</v>
      </c>
      <c r="E5">
        <v>1</v>
      </c>
      <c r="F5">
        <v>35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35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46123.797432175925</v>
      </c>
      <c r="C6">
        <f t="shared" si="0"/>
        <v>2</v>
      </c>
      <c r="D6" t="s">
        <v>26</v>
      </c>
      <c r="E6">
        <v>1</v>
      </c>
      <c r="F6">
        <v>20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20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46123.797432175925</v>
      </c>
      <c r="C7">
        <f t="shared" si="0"/>
        <v>3</v>
      </c>
      <c r="D7" t="s">
        <v>72</v>
      </c>
      <c r="E7">
        <v>1</v>
      </c>
      <c r="F7">
        <v>50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50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46123.797432175925</v>
      </c>
      <c r="C8">
        <f t="shared" si="0"/>
        <v>4</v>
      </c>
      <c r="D8" t="s">
        <v>73</v>
      </c>
      <c r="E8">
        <v>3</v>
      </c>
      <c r="F8">
        <v>15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45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46123.797432175925</v>
      </c>
      <c r="C9">
        <f t="shared" si="0"/>
        <v>5</v>
      </c>
      <c r="D9" t="s">
        <v>74</v>
      </c>
      <c r="E9">
        <v>1</v>
      </c>
      <c r="F9">
        <v>117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117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46123.797432175925</v>
      </c>
      <c r="C10">
        <f t="shared" si="0"/>
        <v>6</v>
      </c>
      <c r="D10" t="s">
        <v>75</v>
      </c>
      <c r="E10">
        <v>1</v>
      </c>
      <c r="F10">
        <v>110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110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46123.797432175925</v>
      </c>
      <c r="C11">
        <f t="shared" si="0"/>
        <v>7</v>
      </c>
      <c r="D11" t="s">
        <v>76</v>
      </c>
      <c r="E11">
        <v>1</v>
      </c>
      <c r="F11">
        <v>500</v>
      </c>
      <c r="G11" t="s">
        <v>29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450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46123.797432175925</v>
      </c>
      <c r="C12">
        <f t="shared" si="0"/>
        <v>8</v>
      </c>
      <c r="D12" t="s">
        <v>77</v>
      </c>
      <c r="E12">
        <v>1</v>
      </c>
      <c r="F12">
        <v>59</v>
      </c>
      <c r="G12" t="s">
        <v>29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53.5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46123.797432175925</v>
      </c>
      <c r="C13">
        <f t="shared" si="0"/>
        <v>9</v>
      </c>
      <c r="D13" t="s">
        <v>78</v>
      </c>
      <c r="E13">
        <v>1</v>
      </c>
      <c r="F13">
        <v>20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20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46123.797432175925</v>
      </c>
      <c r="C14">
        <f t="shared" si="0"/>
        <v>10</v>
      </c>
      <c r="D14" t="s">
        <v>79</v>
      </c>
      <c r="E14">
        <v>1</v>
      </c>
      <c r="F14">
        <v>78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78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46123.797432175925</v>
      </c>
      <c r="C15">
        <f t="shared" si="0"/>
        <v>11</v>
      </c>
      <c r="D15" t="s">
        <v>80</v>
      </c>
      <c r="E15">
        <v>1</v>
      </c>
      <c r="F15">
        <v>100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100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46123.797432175925</v>
      </c>
      <c r="C16" t="str">
        <f t="shared" si="0"/>
        <v/>
      </c>
      <c r="H16" s="5" t="str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46123.797432175925</v>
      </c>
      <c r="C17" t="str">
        <f t="shared" si="0"/>
        <v/>
      </c>
      <c r="H17" s="5" t="str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46123.797432175925</v>
      </c>
      <c r="C18" t="str">
        <f t="shared" si="0"/>
        <v/>
      </c>
      <c r="H18" s="5" t="str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46123.797432175925</v>
      </c>
      <c r="C19" t="str">
        <f t="shared" si="0"/>
        <v/>
      </c>
      <c r="H19" s="5" t="str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46123.797432175925</v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46123.797432175925</v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 t="s">
        <v>56</v>
      </c>
      <c r="N27" s="15">
        <v>8940</v>
      </c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 t="s">
        <v>93</v>
      </c>
      <c r="N28" s="15">
        <v>100</v>
      </c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23" sqref="D23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34" t="s">
        <v>89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SUM(Tabla113[Importa])</f>
        <v>1966.5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18</v>
      </c>
      <c r="M4" s="36" t="s">
        <v>113</v>
      </c>
      <c r="N4" s="36"/>
      <c r="O4" s="36"/>
      <c r="P4" s="36"/>
      <c r="Q4" s="36"/>
      <c r="R4" s="36"/>
    </row>
    <row r="5" spans="2:18" x14ac:dyDescent="0.25">
      <c r="B5" s="18">
        <f ca="1">IF(Tabla113[[#This Row],['#]]&lt;&gt;"", NOW(), "")</f>
        <v>46123.797432175925</v>
      </c>
      <c r="C5">
        <f t="shared" ref="C5:C68" si="0">IF(ISNUMBER(E5), IF(ISNUMBER(C4), C4+1, 1), "")</f>
        <v>1</v>
      </c>
      <c r="D5" t="s">
        <v>95</v>
      </c>
      <c r="E5">
        <v>1</v>
      </c>
      <c r="F5">
        <v>90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90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46123.797432175925</v>
      </c>
      <c r="C6">
        <f t="shared" si="0"/>
        <v>2</v>
      </c>
      <c r="D6" t="s">
        <v>96</v>
      </c>
      <c r="E6">
        <v>1</v>
      </c>
      <c r="F6">
        <v>45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45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46123.797432175925</v>
      </c>
      <c r="C7">
        <f t="shared" si="0"/>
        <v>3</v>
      </c>
      <c r="D7" t="s">
        <v>97</v>
      </c>
      <c r="E7">
        <v>1</v>
      </c>
      <c r="F7">
        <v>12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12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46123.797432175925</v>
      </c>
      <c r="C8">
        <f t="shared" si="0"/>
        <v>4</v>
      </c>
      <c r="D8" t="s">
        <v>98</v>
      </c>
      <c r="E8">
        <v>1</v>
      </c>
      <c r="F8">
        <v>250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250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46123.797432175925</v>
      </c>
      <c r="C9">
        <f t="shared" si="0"/>
        <v>5</v>
      </c>
      <c r="D9" t="s">
        <v>99</v>
      </c>
      <c r="E9">
        <v>1</v>
      </c>
      <c r="F9">
        <v>67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67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46123.797432175925</v>
      </c>
      <c r="C10">
        <f t="shared" si="0"/>
        <v>6</v>
      </c>
      <c r="D10" t="s">
        <v>60</v>
      </c>
      <c r="E10">
        <v>1</v>
      </c>
      <c r="F10">
        <v>50</v>
      </c>
      <c r="G10" t="s">
        <v>29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45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46123.797432175925</v>
      </c>
      <c r="C11">
        <f t="shared" si="0"/>
        <v>7</v>
      </c>
      <c r="D11" t="s">
        <v>100</v>
      </c>
      <c r="E11">
        <v>1</v>
      </c>
      <c r="F11">
        <v>750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750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46123.797432175925</v>
      </c>
      <c r="C12">
        <f t="shared" si="0"/>
        <v>8</v>
      </c>
      <c r="D12" t="s">
        <v>101</v>
      </c>
      <c r="E12">
        <v>1</v>
      </c>
      <c r="F12">
        <v>50</v>
      </c>
      <c r="G12" t="s">
        <v>29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45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46123.797432175925</v>
      </c>
      <c r="C13">
        <f t="shared" si="0"/>
        <v>9</v>
      </c>
      <c r="D13" t="s">
        <v>102</v>
      </c>
      <c r="E13">
        <v>1</v>
      </c>
      <c r="F13">
        <v>145</v>
      </c>
      <c r="G13" t="s">
        <v>29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130.5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46123.797432175925</v>
      </c>
      <c r="C14">
        <f t="shared" si="0"/>
        <v>10</v>
      </c>
      <c r="D14" t="s">
        <v>103</v>
      </c>
      <c r="E14">
        <v>1</v>
      </c>
      <c r="F14">
        <v>135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135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46123.797432175925</v>
      </c>
      <c r="C15">
        <f t="shared" si="0"/>
        <v>11</v>
      </c>
      <c r="D15" t="s">
        <v>104</v>
      </c>
      <c r="E15">
        <v>1</v>
      </c>
      <c r="F15">
        <v>100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100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46123.797432175925</v>
      </c>
      <c r="C16">
        <f t="shared" si="0"/>
        <v>12</v>
      </c>
      <c r="D16" t="s">
        <v>106</v>
      </c>
      <c r="E16">
        <v>1</v>
      </c>
      <c r="F16">
        <v>15</v>
      </c>
      <c r="G16" t="s">
        <v>29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13.5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46123.797432175925</v>
      </c>
      <c r="C17">
        <f t="shared" si="0"/>
        <v>13</v>
      </c>
      <c r="D17" t="s">
        <v>107</v>
      </c>
      <c r="E17">
        <v>1</v>
      </c>
      <c r="F17">
        <v>42</v>
      </c>
      <c r="G17" t="s">
        <v>29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38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46123.797432175925</v>
      </c>
      <c r="C18">
        <f t="shared" si="0"/>
        <v>14</v>
      </c>
      <c r="D18" t="s">
        <v>108</v>
      </c>
      <c r="E18">
        <v>1</v>
      </c>
      <c r="F18">
        <v>99</v>
      </c>
      <c r="G18" t="s">
        <v>29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89.5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46123.797432175925</v>
      </c>
      <c r="C19">
        <f t="shared" si="0"/>
        <v>15</v>
      </c>
      <c r="D19" t="s">
        <v>109</v>
      </c>
      <c r="E19">
        <v>1</v>
      </c>
      <c r="F19">
        <v>53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53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46123.797432175925</v>
      </c>
      <c r="C20">
        <f t="shared" si="0"/>
        <v>16</v>
      </c>
      <c r="D20" t="s">
        <v>110</v>
      </c>
      <c r="E20">
        <v>1</v>
      </c>
      <c r="F20">
        <v>34</v>
      </c>
      <c r="G20" t="s">
        <v>29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31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46123.797432175925</v>
      </c>
      <c r="C21">
        <f t="shared" si="0"/>
        <v>17</v>
      </c>
      <c r="D21" t="s">
        <v>111</v>
      </c>
      <c r="E21">
        <v>1</v>
      </c>
      <c r="F21">
        <v>10</v>
      </c>
      <c r="G21" t="s">
        <v>29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9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112</v>
      </c>
      <c r="E22">
        <v>2</v>
      </c>
      <c r="F22">
        <v>35</v>
      </c>
      <c r="G22" t="s">
        <v>29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63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81</v>
      </c>
      <c r="N27" s="15">
        <v>3851</v>
      </c>
      <c r="O27" s="39" t="s">
        <v>87</v>
      </c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82</v>
      </c>
      <c r="N28" s="15">
        <v>930</v>
      </c>
      <c r="O28" s="39" t="s">
        <v>87</v>
      </c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83</v>
      </c>
      <c r="N29" s="15">
        <v>8940</v>
      </c>
      <c r="O29" s="39" t="s">
        <v>86</v>
      </c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105</v>
      </c>
      <c r="N30" s="15">
        <v>100</v>
      </c>
      <c r="O30" s="39" t="s">
        <v>85</v>
      </c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84</v>
      </c>
      <c r="N31" s="15">
        <v>1500</v>
      </c>
      <c r="O31" s="39" t="s">
        <v>88</v>
      </c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59</v>
      </c>
      <c r="N32" s="15">
        <v>15321</v>
      </c>
      <c r="O32" s="39" t="s">
        <v>88</v>
      </c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28" sqref="D2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114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SUM(Tabla114[Importa])</f>
        <v>3087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23</v>
      </c>
      <c r="M4" s="36" t="s">
        <v>133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46123.797432175925</v>
      </c>
      <c r="C5">
        <f t="shared" ref="C5:C68" si="0">IF(ISNUMBER(E5), IF(ISNUMBER(C4), C4+1, 1), "")</f>
        <v>1</v>
      </c>
      <c r="D5" t="s">
        <v>115</v>
      </c>
      <c r="E5">
        <v>1</v>
      </c>
      <c r="F5">
        <v>150</v>
      </c>
      <c r="G5" t="s">
        <v>29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135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46123.797432175925</v>
      </c>
      <c r="C6">
        <f t="shared" si="0"/>
        <v>2</v>
      </c>
      <c r="D6" t="s">
        <v>116</v>
      </c>
      <c r="E6">
        <v>1</v>
      </c>
      <c r="F6">
        <v>210</v>
      </c>
      <c r="G6" t="s">
        <v>29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189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46123.797432175925</v>
      </c>
      <c r="C7">
        <f t="shared" si="0"/>
        <v>3</v>
      </c>
      <c r="D7" t="s">
        <v>117</v>
      </c>
      <c r="E7">
        <v>1</v>
      </c>
      <c r="F7">
        <v>105</v>
      </c>
      <c r="G7" t="s">
        <v>29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94.5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46123.797432175925</v>
      </c>
      <c r="C8">
        <f t="shared" si="0"/>
        <v>4</v>
      </c>
      <c r="D8" t="s">
        <v>118</v>
      </c>
      <c r="E8">
        <v>1</v>
      </c>
      <c r="F8">
        <v>185</v>
      </c>
      <c r="G8" t="s">
        <v>29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166.5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46123.797432175925</v>
      </c>
      <c r="C9">
        <f t="shared" si="0"/>
        <v>5</v>
      </c>
      <c r="D9" t="s">
        <v>119</v>
      </c>
      <c r="E9">
        <v>1</v>
      </c>
      <c r="F9">
        <v>266</v>
      </c>
      <c r="G9" t="s">
        <v>29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239.5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46123.797432175925</v>
      </c>
      <c r="C10">
        <f t="shared" si="0"/>
        <v>6</v>
      </c>
      <c r="D10" t="s">
        <v>120</v>
      </c>
      <c r="E10">
        <v>1</v>
      </c>
      <c r="F10">
        <v>162</v>
      </c>
      <c r="G10" t="s">
        <v>29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146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46123.797432175925</v>
      </c>
      <c r="C11">
        <f t="shared" si="0"/>
        <v>7</v>
      </c>
      <c r="D11" t="s">
        <v>121</v>
      </c>
      <c r="E11">
        <v>1</v>
      </c>
      <c r="F11">
        <v>65</v>
      </c>
      <c r="G11" t="s">
        <v>29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58.5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46123.797432175925</v>
      </c>
      <c r="C12">
        <f t="shared" si="0"/>
        <v>8</v>
      </c>
      <c r="D12" t="s">
        <v>122</v>
      </c>
      <c r="E12">
        <v>1</v>
      </c>
      <c r="F12">
        <v>42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42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46123.797432175925</v>
      </c>
      <c r="C13">
        <f t="shared" si="0"/>
        <v>9</v>
      </c>
      <c r="D13" t="s">
        <v>123</v>
      </c>
      <c r="E13">
        <v>1</v>
      </c>
      <c r="F13">
        <v>250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250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46123.797432175925</v>
      </c>
      <c r="C14">
        <f t="shared" si="0"/>
        <v>10</v>
      </c>
      <c r="D14" t="s">
        <v>124</v>
      </c>
      <c r="E14">
        <v>1</v>
      </c>
      <c r="F14">
        <v>150</v>
      </c>
      <c r="G14" t="s">
        <v>29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135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46123.797432175925</v>
      </c>
      <c r="C15">
        <f t="shared" si="0"/>
        <v>11</v>
      </c>
      <c r="D15" t="s">
        <v>32</v>
      </c>
      <c r="E15">
        <v>1</v>
      </c>
      <c r="F15">
        <v>117</v>
      </c>
      <c r="G15" t="s">
        <v>29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111.5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46123.797432175925</v>
      </c>
      <c r="C16">
        <f t="shared" si="0"/>
        <v>12</v>
      </c>
      <c r="D16" t="s">
        <v>125</v>
      </c>
      <c r="E16">
        <v>2</v>
      </c>
      <c r="F16">
        <v>15</v>
      </c>
      <c r="G16" t="s">
        <v>29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27</v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46123.797432175925</v>
      </c>
      <c r="C17">
        <f t="shared" si="0"/>
        <v>13</v>
      </c>
      <c r="D17" t="s">
        <v>126</v>
      </c>
      <c r="E17">
        <v>1</v>
      </c>
      <c r="F17">
        <v>60</v>
      </c>
      <c r="G17" t="s">
        <v>29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54</v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46123.797432175925</v>
      </c>
      <c r="C18">
        <f t="shared" si="0"/>
        <v>14</v>
      </c>
      <c r="D18" t="s">
        <v>127</v>
      </c>
      <c r="E18">
        <v>2</v>
      </c>
      <c r="F18">
        <v>50</v>
      </c>
      <c r="G18" t="s">
        <v>29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90</v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46123.797432175925</v>
      </c>
      <c r="C19">
        <f t="shared" si="0"/>
        <v>15</v>
      </c>
      <c r="D19" t="s">
        <v>63</v>
      </c>
      <c r="E19">
        <v>1</v>
      </c>
      <c r="F19">
        <v>115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115</v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46123.797432175925</v>
      </c>
      <c r="C20">
        <f t="shared" si="0"/>
        <v>16</v>
      </c>
      <c r="D20" t="s">
        <v>128</v>
      </c>
      <c r="E20">
        <v>1</v>
      </c>
      <c r="F20">
        <v>690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690</v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46123.797432175925</v>
      </c>
      <c r="C21">
        <f t="shared" si="0"/>
        <v>17</v>
      </c>
      <c r="D21" t="s">
        <v>129</v>
      </c>
      <c r="E21">
        <v>2</v>
      </c>
      <c r="F21">
        <v>96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192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130</v>
      </c>
      <c r="E22">
        <v>1</v>
      </c>
      <c r="F22">
        <v>52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52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131</v>
      </c>
      <c r="E23">
        <v>1</v>
      </c>
      <c r="F23">
        <v>35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35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45</v>
      </c>
      <c r="E24">
        <v>1</v>
      </c>
      <c r="F24">
        <v>30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30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132</v>
      </c>
      <c r="E25">
        <v>1</v>
      </c>
      <c r="F25">
        <v>78</v>
      </c>
      <c r="H25" s="5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>78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32</v>
      </c>
      <c r="E26">
        <v>1</v>
      </c>
      <c r="F26">
        <v>117</v>
      </c>
      <c r="G26" t="s">
        <v>29</v>
      </c>
      <c r="H26" s="5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>111.5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>
        <f t="shared" si="0"/>
        <v>23</v>
      </c>
      <c r="D27" t="s">
        <v>35</v>
      </c>
      <c r="E27">
        <v>1</v>
      </c>
      <c r="F27">
        <v>50</v>
      </c>
      <c r="G27" t="s">
        <v>29</v>
      </c>
      <c r="H27" s="5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>45</v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46123.797432175925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46123.797432175925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46123.797432175925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46123.797432175925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46123.797432175925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46123.797432175925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46123.797432175925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46123.797432175925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46123.797432175925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46123.797432175925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46123.797432175925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>
        <f ca="1">IF(Tabla1[[#This Row],['#]]&lt;&gt;"", NOW(), "")</f>
        <v>46123.797432175925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>
        <f ca="1">IF(Tabla1[[#This Row],['#]]&lt;&gt;"", NOW(), "")</f>
        <v>46123.797432175925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>
        <f ca="1">IF(Tabla1[[#This Row],['#]]&lt;&gt;"", NOW(), "")</f>
        <v>46123.797432175925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>
        <f ca="1">IF(Tabla1[[#This Row],['#]]&lt;&gt;"", NOW(), "")</f>
        <v>46123.797432175925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>
        <f ca="1">IF(Tabla1[[#This Row],['#]]&lt;&gt;"", NOW(), "")</f>
        <v>46123.797432175925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06-04-26</vt:lpstr>
      <vt:lpstr>Martes 07-04-26</vt:lpstr>
      <vt:lpstr>Miercoles 07-04-26</vt:lpstr>
      <vt:lpstr>Jueves 09-04 -26</vt:lpstr>
      <vt:lpstr>Viernes 10-04-26</vt:lpstr>
      <vt:lpstr>Sabado 11-04-26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2026-04-12T01:09:04Z</dcterms:modified>
</cp:coreProperties>
</file>