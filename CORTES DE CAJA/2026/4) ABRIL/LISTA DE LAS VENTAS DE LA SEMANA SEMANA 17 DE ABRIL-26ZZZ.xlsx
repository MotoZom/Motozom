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E513F2D-11C8-40BC-9F47-8E39F0CE991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7-04-26" sheetId="1" r:id="rId1"/>
    <sheet name="Martes 28-04-26" sheetId="2" r:id="rId2"/>
    <sheet name="Miercoles 29-04-26" sheetId="3" r:id="rId3"/>
    <sheet name="Jueves 30-04-26" sheetId="4" r:id="rId4"/>
    <sheet name="Viernes 01-05-26" sheetId="5" r:id="rId5"/>
    <sheet name="Sabado 02-05-26" sheetId="6" r:id="rId6"/>
    <sheet name="Domingo" sheetId="8" r:id="rId7"/>
    <sheet name="Cambios" sheetId="7" r:id="rId8"/>
  </sheets>
  <definedNames>
    <definedName name="_xlnm._FilterDatabase" localSheetId="0" hidden="1">'Lunes 27-04-26'!$B$4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5" i="6"/>
  <c r="C26" i="6" s="1"/>
  <c r="C27" i="6" s="1"/>
  <c r="C28" i="6" s="1"/>
  <c r="C29" i="6" s="1"/>
  <c r="C30" i="6" s="1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<sst xmlns="http://schemas.openxmlformats.org/spreadsheetml/2006/main" count="322" uniqueCount="149">
  <si>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</si>
  <si>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</si>
  <si>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</si>
  <si>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</si>
  <si>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</si>
  <si>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</si>
  <si>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</si>
  <si>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</si>
  <si>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</si>
  <si>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</si>
  <si>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</si>
  <si>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</si>
  <si>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</si>
  <si>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</si>
  <si>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</si>
  <si>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</si>
  <si>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</si>
  <si>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</si>
  <si>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</si>
  <si>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</si>
  <si>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</si>
  <si>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</si>
  <si>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</si>
  <si>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</si>
  <si>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</si>
  <si>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27 DE ABRIL-26</t>
  </si>
  <si>
    <t>LUBRICANTE DE CADENA LUBER</t>
  </si>
  <si>
    <t>FILTRO DE GASOINA PIEDRA</t>
  </si>
  <si>
    <t>MANIJA DERECHA 250Z</t>
  </si>
  <si>
    <t>SELLO DE ESCAPE FT150</t>
  </si>
  <si>
    <t xml:space="preserve">POSAPIES UNIVERSALES </t>
  </si>
  <si>
    <t xml:space="preserve">FOCO H6 LED </t>
  </si>
  <si>
    <t>CAMARA 120-80-18</t>
  </si>
  <si>
    <t>X</t>
  </si>
  <si>
    <t>BUJIA C9</t>
  </si>
  <si>
    <t>FILTRO DE AIRE DM200</t>
  </si>
  <si>
    <t>ACEITE AKRON</t>
  </si>
  <si>
    <t>BUJIA D8</t>
  </si>
  <si>
    <t xml:space="preserve">FILTRO DE GASOLINA PIEDRA </t>
  </si>
  <si>
    <t>MARCHA DM200</t>
  </si>
  <si>
    <t>LLAVE DE GASOLINA YBR125</t>
  </si>
  <si>
    <t>CAMARA 3.50.18</t>
  </si>
  <si>
    <t>CAMARA 130-60-13</t>
  </si>
  <si>
    <t>Martes  28 DE ABRIL-26</t>
  </si>
  <si>
    <t>BALATA DE DISCO DS150</t>
  </si>
  <si>
    <t>BENDIX DE FT150</t>
  </si>
  <si>
    <t xml:space="preserve">ACEITE AKRON </t>
  </si>
  <si>
    <t>FILTRO DE ACEIT FZ16</t>
  </si>
  <si>
    <t>PASATAS DE CLUTH FZ16</t>
  </si>
  <si>
    <t>GUNATES NEGROS</t>
  </si>
  <si>
    <t>PEDAL DE FRENO DE FT150</t>
  </si>
  <si>
    <t>TAZAS DE DIRECCION WS150 SPORT</t>
  </si>
  <si>
    <t>PEDAL DE CAMBIOS 125Z</t>
  </si>
  <si>
    <t>ARAÑA DE VELOCIMETRO DM150</t>
  </si>
  <si>
    <t>PEDIDO NASAKI</t>
  </si>
  <si>
    <t>JUNTAS DE MOTOR FT125</t>
  </si>
  <si>
    <t>LLANTA 3.50.10 WAPEMEX</t>
  </si>
  <si>
    <t>CHICOTED E ACELERADOR FT125</t>
  </si>
  <si>
    <t xml:space="preserve">ACEITE LUBER </t>
  </si>
  <si>
    <t>FILTRO DE AIRE WS150</t>
  </si>
  <si>
    <t xml:space="preserve">CUENTA SEMANA PASADA $ 13908.5 MENOS $ 3056 DE PEDIDO DE NASAKI QUEDA $10853.5 </t>
  </si>
  <si>
    <t xml:space="preserve">MANGUERA DE GASOLINA </t>
  </si>
  <si>
    <t xml:space="preserve">PEDIDO DE OSCAR </t>
  </si>
  <si>
    <t>ROLLO Y FABULOSO</t>
  </si>
  <si>
    <t>Miercoles 29 DE ABRIL-26</t>
  </si>
  <si>
    <t>CAMARA 3.00.17</t>
  </si>
  <si>
    <t xml:space="preserve">ACEITE YAMALUBE </t>
  </si>
  <si>
    <t xml:space="preserve">BALATA DELANTERA DE VENTO ROKEMAN </t>
  </si>
  <si>
    <t xml:space="preserve">BALATA TRASERA VENTO ROKEMAN </t>
  </si>
  <si>
    <t>FILTRO DE ACEI FZ16</t>
  </si>
  <si>
    <t>ACEITE MOTUL7100-10W-40</t>
  </si>
  <si>
    <t xml:space="preserve">ARNES DE 4 PINES </t>
  </si>
  <si>
    <t>CADENA 428 WAPEMEX</t>
  </si>
  <si>
    <t>GOMAS DE IMPACTO FT125</t>
  </si>
  <si>
    <t>FILTRO DE AIRE 150Z</t>
  </si>
  <si>
    <t>CAMARA 90-90-19</t>
  </si>
  <si>
    <t>VALVULAS DE MOTOR 200Z</t>
  </si>
  <si>
    <t>VALVULAS DE MOTRO DS150</t>
  </si>
  <si>
    <t>AFLOJATODO LUBER</t>
  </si>
  <si>
    <t xml:space="preserve">CHICOTE DE CLUTH UNIVERSAL </t>
  </si>
  <si>
    <t xml:space="preserve">AORCADOR UNIVERSAL </t>
  </si>
  <si>
    <t>AJUSTADOR DE CADENA FT125</t>
  </si>
  <si>
    <t>ACEITE REPSOL</t>
  </si>
  <si>
    <t>FILTRO DE AIRE WS175 ITALIKA</t>
  </si>
  <si>
    <t xml:space="preserve">RESORTE DE PEDAL </t>
  </si>
  <si>
    <t xml:space="preserve">TOTAL </t>
  </si>
  <si>
    <t xml:space="preserve">TOTAL DE EGRESOS </t>
  </si>
  <si>
    <t xml:space="preserve">CUENTA DE AYER $ 10853.5 MENOS $ 1936 DE PEDIDO DE OSCAR Y ROLLO Y FABULOSO QUEDA $ 8917.5 </t>
  </si>
  <si>
    <t>Jueves 30 DE ABRIL-26</t>
  </si>
  <si>
    <t>MANUBRIO DE FZ16</t>
  </si>
  <si>
    <t>ANILLOS DE PISTON DS150</t>
  </si>
  <si>
    <t>JUNTA DE DS150</t>
  </si>
  <si>
    <t>BUJE DE MOTOR DS150</t>
  </si>
  <si>
    <t>PASTAS</t>
  </si>
  <si>
    <t>CHICOTE DE ACELERADOR DM200</t>
  </si>
  <si>
    <t>BALATA DE TAMBOR CHICO</t>
  </si>
  <si>
    <t>PEDIDO MERCADO</t>
  </si>
  <si>
    <t>Viernes 01- DE MAYO-26</t>
  </si>
  <si>
    <t>MANIJAS DE PULSAR 200</t>
  </si>
  <si>
    <t>CARBURADOR DS150</t>
  </si>
  <si>
    <t xml:space="preserve">TORNILLOS </t>
  </si>
  <si>
    <t>ACEITE MOTUL 5000</t>
  </si>
  <si>
    <t xml:space="preserve">DIRECCIONALES UNIVERSALES </t>
  </si>
  <si>
    <t xml:space="preserve">SELLO DE ESCAPE MOTONETA </t>
  </si>
  <si>
    <t>TIRA LED AZUL</t>
  </si>
  <si>
    <t>FOCO H4 HALOGENO</t>
  </si>
  <si>
    <t>P.NASAKI</t>
  </si>
  <si>
    <t>MARTES 28 DE ABRIL-26</t>
  </si>
  <si>
    <t>ROLLO</t>
  </si>
  <si>
    <t>MIERCOLES 29 DE ABRIL-26</t>
  </si>
  <si>
    <t>P.OSCAR</t>
  </si>
  <si>
    <t>MERCADO</t>
  </si>
  <si>
    <t>JUEVES 30 DE ABRIL-26</t>
  </si>
  <si>
    <t xml:space="preserve">DANIEL </t>
  </si>
  <si>
    <t>VIERNES 01 DE MAYO-26</t>
  </si>
  <si>
    <t>PAGOYAS</t>
  </si>
  <si>
    <t>LLANTA 3.00.18</t>
  </si>
  <si>
    <t xml:space="preserve">RED DE ACIENTO UNIVERSAL </t>
  </si>
  <si>
    <t>AMORTIGUADOR DM200</t>
  </si>
  <si>
    <t>TOTAL</t>
  </si>
  <si>
    <t>CUENTA DE AYER $ 8917.5 MENOS $ 1596 QUEDA$ 7321</t>
  </si>
  <si>
    <t xml:space="preserve">SEGURO MEGA </t>
  </si>
  <si>
    <t xml:space="preserve">TERMINAL DE BACTERIA </t>
  </si>
  <si>
    <t>CADENA 428 X126</t>
  </si>
  <si>
    <t>SALPICADERA DELANTERA 150Z</t>
  </si>
  <si>
    <t>SUITH WS175 WAPEMEX</t>
  </si>
  <si>
    <t>BUJIA C7</t>
  </si>
  <si>
    <t>CHICOTE DE FRENO ATV</t>
  </si>
  <si>
    <t>WAPEEMX</t>
  </si>
  <si>
    <t>GOMAS DE IMPACTO FT150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</si>
  <si>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27 DE ABRIL-26              $ 13908.5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$ 1528.5    MENOS  $ 11682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28 DE ABRIL-26           $ 2226.5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$ 1871.5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4"/>
        <color theme="1"/>
        <rFont val="Calibri"/>
        <family val="2"/>
        <scheme val="minor"/>
      </rPr>
      <t>MIERCOLES 29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VENTA$ 1768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30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$ 3973.5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01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$ 1239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$ 10380.5 
TOTAL EN CAJA $12607 </t>
    </r>
    <r>
      <rPr>
        <sz val="11"/>
        <color theme="1"/>
        <rFont val="Calibri"/>
        <family val="2"/>
        <scheme val="minor"/>
      </rPr>
      <t xml:space="preserve">
</t>
    </r>
  </si>
  <si>
    <t>Sabado 02 DE MAYO-26</t>
  </si>
  <si>
    <t>ARNES PRINCIPAL FT150</t>
  </si>
  <si>
    <t xml:space="preserve">ESPEJOS DE ALERON </t>
  </si>
  <si>
    <t>DIRECCIONALES UNIVERSALES</t>
  </si>
  <si>
    <t>ESPEJOS 125Z ITALIKA</t>
  </si>
  <si>
    <t>CARBURADOR FT150</t>
  </si>
  <si>
    <t>MANDO DERECHO FT150</t>
  </si>
  <si>
    <t>PASTAS DE CLUTH FT150</t>
  </si>
  <si>
    <t>ACEITE MOTUL 7100 10W-40</t>
  </si>
  <si>
    <t xml:space="preserve">GOMA </t>
  </si>
  <si>
    <t xml:space="preserve">LIMPIADOR DE CARBURADOR </t>
  </si>
  <si>
    <t>ACIENTO DE 150Z</t>
  </si>
  <si>
    <t>MANIJA DERECHA DE 250Z WAPEMEX</t>
  </si>
  <si>
    <t>ACEITE YAMALUBE</t>
  </si>
  <si>
    <t>BALATA DE DISCO ATV ITALIKA</t>
  </si>
  <si>
    <t>FILTRO DE GASOLINA CARTON</t>
  </si>
  <si>
    <t>CHICOTE DE CLUTH UNIVERSAL</t>
  </si>
  <si>
    <r>
      <t xml:space="preserve">CUENTA DE HOY SABADO$ 4050 MENOS $ 300 DE PAGO DE YAS QUEDA $ 3750 MAS LO DE AYER EN CAJA $ 12607 
</t>
    </r>
    <r>
      <rPr>
        <b/>
        <sz val="22"/>
        <color theme="1"/>
        <rFont val="Calibri"/>
        <family val="2"/>
        <scheme val="minor"/>
      </rPr>
      <t xml:space="preserve">TOTAL EN CAJA $ 16357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</si>
</sst>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1528.5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16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46144.792345717593</v>
      </c>
      <c r="C5">
        <f>IF(ISNUMBER(E5), IF(ISNUMBER(C4), C4+1, 1), "")</f>
        <v>1</v>
      </c>
      <c r="D5" t="s">
        <v>26</v>
      </c>
      <c r="E5">
        <v>1</v>
      </c>
      <c r="F5">
        <v>90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20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 t="shared" si="0"/>
        <v>3</v>
      </c>
      <c r="D7" t="s">
        <v>28</v>
      </c>
      <c r="E7">
        <v>1</v>
      </c>
      <c r="F7">
        <v>40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si="0"/>
        <v>4</v>
      </c>
      <c r="D8" t="s">
        <v>29</v>
      </c>
      <c r="E8">
        <v>1</v>
      </c>
      <c r="F8">
        <v>10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30</v>
      </c>
      <c r="E9">
        <v>1</v>
      </c>
      <c r="F9">
        <v>100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>
        <f t="shared" si="0"/>
        <v>6</v>
      </c>
      <c r="D10" t="s">
        <v>31</v>
      </c>
      <c r="E10">
        <v>1</v>
      </c>
      <c r="F10">
        <v>150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32</v>
      </c>
      <c r="E11">
        <v>1</v>
      </c>
      <c r="F11">
        <v>100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100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34</v>
      </c>
      <c r="E12">
        <v>1</v>
      </c>
      <c r="F12">
        <v>50</v>
      </c>
      <c r="G12" t="s">
        <v>33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35</v>
      </c>
      <c r="E13">
        <v>1</v>
      </c>
      <c r="F13">
        <v>71</v>
      </c>
      <c r="G13" t="s">
        <v>33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64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36</v>
      </c>
      <c r="E14">
        <v>1</v>
      </c>
      <c r="F14">
        <v>117</v>
      </c>
      <c r="G14" t="s">
        <v>33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111.5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37</v>
      </c>
      <c r="E15">
        <v>1</v>
      </c>
      <c r="F15">
        <v>50</v>
      </c>
      <c r="G15" t="s">
        <v>33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38</v>
      </c>
      <c r="E16">
        <v>1</v>
      </c>
      <c r="F16">
        <v>20</v>
      </c>
      <c r="G16" t="s">
        <v>33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>
        <f t="shared" si="0"/>
        <v>13</v>
      </c>
      <c r="D17" t="s">
        <v>39</v>
      </c>
      <c r="E17">
        <v>1</v>
      </c>
      <c r="F17">
        <v>494</v>
      </c>
      <c r="G17" t="s">
        <v>33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445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>
        <f t="shared" si="0"/>
        <v>14</v>
      </c>
      <c r="D18" t="s">
        <v>40</v>
      </c>
      <c r="E18">
        <v>1</v>
      </c>
      <c r="F18">
        <v>133</v>
      </c>
      <c r="G18" t="s">
        <v>33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120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>
        <f t="shared" si="0"/>
        <v>15</v>
      </c>
      <c r="D19" t="s">
        <v>41</v>
      </c>
      <c r="E19">
        <v>1</v>
      </c>
      <c r="F19">
        <v>85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85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>
        <f t="shared" si="0"/>
        <v>16</v>
      </c>
      <c r="D20" t="s">
        <v>42</v>
      </c>
      <c r="E20">
        <v>1</v>
      </c>
      <c r="F20">
        <v>85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85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1871.5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60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46144.792345717593</v>
      </c>
      <c r="C5">
        <f t="shared" ref="C5:C68" si="0">IF(ISNUMBER(E5), IF(ISNUMBER(C4), C4+1, 1), "")</f>
        <v>1</v>
      </c>
      <c r="D5" t="s">
        <v>44</v>
      </c>
      <c r="E5">
        <v>1</v>
      </c>
      <c r="F5">
        <v>36</v>
      </c>
      <c r="G5" t="s">
        <v>33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32.5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 t="shared" si="0"/>
        <v>2</v>
      </c>
      <c r="D6" t="s">
        <v>45</v>
      </c>
      <c r="E6">
        <v>1</v>
      </c>
      <c r="F6">
        <v>256</v>
      </c>
      <c r="G6" t="s">
        <v>33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230.5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 t="shared" si="0"/>
        <v>3</v>
      </c>
      <c r="D7" t="s">
        <v>46</v>
      </c>
      <c r="E7">
        <v>1</v>
      </c>
      <c r="F7">
        <v>117</v>
      </c>
      <c r="G7" t="s">
        <v>33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111.5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si="0"/>
        <v>4</v>
      </c>
      <c r="D8" t="s">
        <v>47</v>
      </c>
      <c r="E8">
        <v>1</v>
      </c>
      <c r="F8">
        <v>32</v>
      </c>
      <c r="G8" t="s">
        <v>33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29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48</v>
      </c>
      <c r="E9">
        <v>1</v>
      </c>
      <c r="F9">
        <v>90</v>
      </c>
      <c r="G9" t="s">
        <v>33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81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46144.792345717593</v>
      </c>
      <c r="C10">
        <f t="shared" si="0"/>
        <v>6</v>
      </c>
      <c r="D10" t="s">
        <v>49</v>
      </c>
      <c r="E10">
        <v>1</v>
      </c>
      <c r="F10">
        <v>185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185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50</v>
      </c>
      <c r="E11">
        <v>1</v>
      </c>
      <c r="F11">
        <v>126</v>
      </c>
      <c r="G11" t="s">
        <v>33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51</v>
      </c>
      <c r="E12">
        <v>1</v>
      </c>
      <c r="F12">
        <v>199</v>
      </c>
      <c r="G12" t="s">
        <v>33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179.5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52</v>
      </c>
      <c r="E13">
        <v>1</v>
      </c>
      <c r="F13">
        <v>90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90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53</v>
      </c>
      <c r="E14">
        <v>1</v>
      </c>
      <c r="F14">
        <v>72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72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55</v>
      </c>
      <c r="E15">
        <v>1</v>
      </c>
      <c r="F15">
        <v>75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56</v>
      </c>
      <c r="E16">
        <v>1</v>
      </c>
      <c r="F16">
        <v>450</v>
      </c>
      <c r="G16" t="s">
        <v>33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405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>
        <f t="shared" si="0"/>
        <v>13</v>
      </c>
      <c r="D17" t="s">
        <v>57</v>
      </c>
      <c r="E17">
        <v>1</v>
      </c>
      <c r="F17">
        <v>35</v>
      </c>
      <c r="G17" t="s">
        <v>33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31.5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>
        <f t="shared" si="0"/>
        <v>14</v>
      </c>
      <c r="D18" t="s">
        <v>58</v>
      </c>
      <c r="E18">
        <v>1</v>
      </c>
      <c r="F18">
        <v>90</v>
      </c>
      <c r="G18" t="s">
        <v>33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85.5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>
        <f t="shared" si="0"/>
        <v>15</v>
      </c>
      <c r="D19" t="s">
        <v>59</v>
      </c>
      <c r="E19">
        <v>1</v>
      </c>
      <c r="F19">
        <v>35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35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>
        <f t="shared" si="0"/>
        <v>16</v>
      </c>
      <c r="D20" t="s">
        <v>41</v>
      </c>
      <c r="E20">
        <v>1</v>
      </c>
      <c r="F20">
        <v>85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85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61</v>
      </c>
      <c r="E21">
        <v>1</v>
      </c>
      <c r="F21">
        <v>30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30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54</v>
      </c>
      <c r="N27" s="15">
        <v>3056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64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1768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87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46144.792345717593</v>
      </c>
      <c r="C5">
        <f>IF(ISNUMBER(E5), IF(ISNUMBER(C4), C4+1, 1), "")</f>
        <v>1</v>
      </c>
      <c r="D5" t="s">
        <v>65</v>
      </c>
      <c r="E5">
        <v>2</v>
      </c>
      <c r="F5">
        <v>60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>IF(ISNUMBER(E6), IF(ISNUMBER(C5), C5+1, 1), "")</f>
        <v>2</v>
      </c>
      <c r="D6" t="s">
        <v>61</v>
      </c>
      <c r="E6">
        <v>3</v>
      </c>
      <c r="F6">
        <v>30</v>
      </c>
      <c r="G6" t="s">
        <v>33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81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>IF(ISNUMBER(E7), IF(ISNUMBER(C6), C6+1, 1), "")</f>
        <v>3</v>
      </c>
      <c r="D7" t="s">
        <v>66</v>
      </c>
      <c r="E7">
        <v>1</v>
      </c>
      <c r="F7">
        <v>150</v>
      </c>
      <c r="G7" t="s">
        <v>33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142.5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ref="C8:C68" si="0">IF(ISNUMBER(E8), IF(ISNUMBER(C7), C7+1, 1), "")</f>
        <v>4</v>
      </c>
      <c r="D8" t="s">
        <v>67</v>
      </c>
      <c r="E8">
        <v>1</v>
      </c>
      <c r="F8">
        <v>95</v>
      </c>
      <c r="G8" t="s">
        <v>33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85.5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68</v>
      </c>
      <c r="E9">
        <v>1</v>
      </c>
      <c r="F9">
        <v>42</v>
      </c>
      <c r="G9" t="s">
        <v>33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>
        <f t="shared" si="0"/>
        <v>6</v>
      </c>
      <c r="D10" t="s">
        <v>69</v>
      </c>
      <c r="E10">
        <v>1</v>
      </c>
      <c r="F10">
        <v>32</v>
      </c>
      <c r="G10" t="s">
        <v>33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29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70</v>
      </c>
      <c r="E11">
        <v>1</v>
      </c>
      <c r="F11">
        <v>280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280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71</v>
      </c>
      <c r="E12">
        <v>1</v>
      </c>
      <c r="F12">
        <v>29</v>
      </c>
      <c r="G12" t="s">
        <v>33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26.5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72</v>
      </c>
      <c r="E13">
        <v>1</v>
      </c>
      <c r="F13">
        <v>190</v>
      </c>
      <c r="G13" t="s">
        <v>33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171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73</v>
      </c>
      <c r="E14">
        <v>1</v>
      </c>
      <c r="F14">
        <v>35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74</v>
      </c>
      <c r="E15">
        <v>1</v>
      </c>
      <c r="F15">
        <v>53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53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75</v>
      </c>
      <c r="E16">
        <v>1</v>
      </c>
      <c r="F16">
        <v>85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85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>
        <f t="shared" si="0"/>
        <v>13</v>
      </c>
      <c r="D17" t="s">
        <v>76</v>
      </c>
      <c r="E17">
        <v>1</v>
      </c>
      <c r="F17">
        <v>270</v>
      </c>
      <c r="G17" t="s">
        <v>33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243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>
        <f t="shared" si="0"/>
        <v>14</v>
      </c>
      <c r="D18" t="s">
        <v>77</v>
      </c>
      <c r="E18">
        <v>1</v>
      </c>
      <c r="F18">
        <v>15</v>
      </c>
      <c r="G18" t="s">
        <v>33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13.5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>
        <f t="shared" si="0"/>
        <v>15</v>
      </c>
      <c r="D19" t="s">
        <v>78</v>
      </c>
      <c r="E19">
        <v>1</v>
      </c>
      <c r="F19">
        <v>90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90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>
        <f t="shared" si="0"/>
        <v>16</v>
      </c>
      <c r="D20" t="s">
        <v>79</v>
      </c>
      <c r="E20">
        <v>1</v>
      </c>
      <c r="F20">
        <v>20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20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80</v>
      </c>
      <c r="E21">
        <v>1</v>
      </c>
      <c r="F21">
        <v>5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81</v>
      </c>
      <c r="E22">
        <v>1</v>
      </c>
      <c r="F22">
        <v>25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25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82</v>
      </c>
      <c r="E23">
        <v>1</v>
      </c>
      <c r="F23">
        <v>142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142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83</v>
      </c>
      <c r="E24">
        <v>1</v>
      </c>
      <c r="F24">
        <v>70</v>
      </c>
      <c r="G24" t="s">
        <v>33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63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84</v>
      </c>
      <c r="E25">
        <v>1</v>
      </c>
      <c r="F25">
        <v>20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20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63</v>
      </c>
      <c r="N27" s="15">
        <v>71</v>
      </c>
      <c r="O27" s="39"/>
      <c r="P27" s="40"/>
      <c r="Q27" s="40"/>
      <c r="R27" s="41"/>
    </row>
    <row r="28" spans="2:18" ht="45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62</v>
      </c>
      <c r="N28" s="15">
        <v>1865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 t="s">
        <v>85</v>
      </c>
      <c r="N29" s="15">
        <v>1936</v>
      </c>
      <c r="O29" s="39" t="s">
        <v>86</v>
      </c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3973.5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 t="s">
        <v>120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46144.792345717593</v>
      </c>
      <c r="C5">
        <f t="shared" ref="C5:C68" si="0">IF(ISNUMBER(E5), IF(ISNUMBER(C4), C4+1, 1), "")</f>
        <v>1</v>
      </c>
      <c r="D5" t="s">
        <v>89</v>
      </c>
      <c r="E5">
        <v>1</v>
      </c>
      <c r="F5">
        <v>230</v>
      </c>
      <c r="G5" t="s">
        <v>33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207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 t="shared" si="0"/>
        <v>2</v>
      </c>
      <c r="D6" t="s">
        <v>77</v>
      </c>
      <c r="E6">
        <v>1</v>
      </c>
      <c r="F6">
        <v>93</v>
      </c>
      <c r="G6" t="s">
        <v>33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84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 t="shared" si="0"/>
        <v>3</v>
      </c>
      <c r="D7" t="s">
        <v>90</v>
      </c>
      <c r="E7">
        <v>1</v>
      </c>
      <c r="F7">
        <v>54</v>
      </c>
      <c r="G7" t="s">
        <v>33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si="0"/>
        <v>4</v>
      </c>
      <c r="D8" t="s">
        <v>91</v>
      </c>
      <c r="E8">
        <v>1</v>
      </c>
      <c r="F8">
        <v>15</v>
      </c>
      <c r="G8" t="s">
        <v>33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92</v>
      </c>
      <c r="E9">
        <v>2</v>
      </c>
      <c r="F9">
        <v>25</v>
      </c>
      <c r="G9" t="s">
        <v>33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>
        <f t="shared" si="0"/>
        <v>6</v>
      </c>
      <c r="D10" t="s">
        <v>61</v>
      </c>
      <c r="E10">
        <v>1</v>
      </c>
      <c r="F10">
        <v>15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30</v>
      </c>
      <c r="E11">
        <v>1</v>
      </c>
      <c r="F11">
        <v>100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100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82</v>
      </c>
      <c r="E12">
        <v>1</v>
      </c>
      <c r="F12">
        <v>142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142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94</v>
      </c>
      <c r="E13">
        <v>1</v>
      </c>
      <c r="F13">
        <v>40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40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95</v>
      </c>
      <c r="E14">
        <v>1</v>
      </c>
      <c r="F14">
        <v>78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98</v>
      </c>
      <c r="E15">
        <v>1</v>
      </c>
      <c r="F15">
        <v>130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130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99</v>
      </c>
      <c r="E16">
        <v>1</v>
      </c>
      <c r="F16">
        <v>490</v>
      </c>
      <c r="G16" t="s">
        <v>33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441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>
        <f t="shared" si="0"/>
        <v>13</v>
      </c>
      <c r="D17" t="s">
        <v>100</v>
      </c>
      <c r="E17">
        <v>4</v>
      </c>
      <c r="F17">
        <v>4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16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>
        <f t="shared" si="0"/>
        <v>14</v>
      </c>
      <c r="D18" t="s">
        <v>101</v>
      </c>
      <c r="E18">
        <v>1</v>
      </c>
      <c r="F18">
        <v>232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232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>
        <f t="shared" si="0"/>
        <v>15</v>
      </c>
      <c r="D19" t="s">
        <v>101</v>
      </c>
      <c r="E19">
        <v>1</v>
      </c>
      <c r="F19">
        <v>232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232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>
        <f t="shared" si="0"/>
        <v>16</v>
      </c>
      <c r="D20" t="s">
        <v>101</v>
      </c>
      <c r="E20">
        <v>1</v>
      </c>
      <c r="F20">
        <v>232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232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102</v>
      </c>
      <c r="E21">
        <v>1</v>
      </c>
      <c r="F21">
        <v>110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110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104</v>
      </c>
      <c r="E22">
        <v>1</v>
      </c>
      <c r="F22">
        <v>15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103</v>
      </c>
      <c r="E23">
        <v>1</v>
      </c>
      <c r="F23">
        <v>10</v>
      </c>
      <c r="G23" t="s">
        <v>33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9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105</v>
      </c>
      <c r="E24">
        <v>1</v>
      </c>
      <c r="F24">
        <v>40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40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116</v>
      </c>
      <c r="E25">
        <v>1</v>
      </c>
      <c r="F25">
        <v>423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423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117</v>
      </c>
      <c r="E26">
        <v>1</v>
      </c>
      <c r="F26">
        <v>120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120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118</v>
      </c>
      <c r="E27">
        <v>1</v>
      </c>
      <c r="F27">
        <v>1200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1200</v>
      </c>
      <c r="M27" s="13" t="s">
        <v>93</v>
      </c>
      <c r="N27" s="15">
        <v>100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96</v>
      </c>
      <c r="N28" s="15">
        <v>1496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119</v>
      </c>
      <c r="N29" s="15">
        <v>1596</v>
      </c>
      <c r="O29" s="39" t="s">
        <v>86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97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1239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36" t="s">
        <v>130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46144.792345717593</v>
      </c>
      <c r="C5">
        <f t="shared" ref="C5:C68" si="0">IF(ISNUMBER(E5), IF(ISNUMBER(C4), C4+1, 1), "")</f>
        <v>1</v>
      </c>
      <c r="D5" t="s">
        <v>121</v>
      </c>
      <c r="E5">
        <v>1</v>
      </c>
      <c r="F5">
        <v>10</v>
      </c>
      <c r="G5" t="s">
        <v>33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 t="shared" si="0"/>
        <v>2</v>
      </c>
      <c r="D6" t="s">
        <v>122</v>
      </c>
      <c r="E6">
        <v>4</v>
      </c>
      <c r="F6">
        <v>5</v>
      </c>
      <c r="G6" t="s">
        <v>33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 t="shared" si="0"/>
        <v>3</v>
      </c>
      <c r="D7" t="s">
        <v>123</v>
      </c>
      <c r="E7">
        <v>1</v>
      </c>
      <c r="F7">
        <v>185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185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si="0"/>
        <v>4</v>
      </c>
      <c r="D8" t="s">
        <v>124</v>
      </c>
      <c r="E8">
        <v>1</v>
      </c>
      <c r="F8">
        <v>320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320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125</v>
      </c>
      <c r="E9">
        <v>1</v>
      </c>
      <c r="F9">
        <v>300</v>
      </c>
      <c r="G9" t="s">
        <v>33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270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>
        <f t="shared" si="0"/>
        <v>6</v>
      </c>
      <c r="D10" t="s">
        <v>83</v>
      </c>
      <c r="E10">
        <v>1</v>
      </c>
      <c r="F10">
        <v>71</v>
      </c>
      <c r="G10" t="s">
        <v>33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64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126</v>
      </c>
      <c r="E11">
        <v>1</v>
      </c>
      <c r="F11">
        <v>50</v>
      </c>
      <c r="G11" t="s">
        <v>33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45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127</v>
      </c>
      <c r="E12">
        <v>1</v>
      </c>
      <c r="F12">
        <v>120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121</v>
      </c>
      <c r="E13">
        <v>2</v>
      </c>
      <c r="F13">
        <v>10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36</v>
      </c>
      <c r="E14">
        <v>1</v>
      </c>
      <c r="F14">
        <v>117</v>
      </c>
      <c r="G14" t="s">
        <v>33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111.5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37</v>
      </c>
      <c r="E15">
        <v>1</v>
      </c>
      <c r="F15">
        <v>50</v>
      </c>
      <c r="G15" t="s">
        <v>33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129</v>
      </c>
      <c r="E16">
        <v>1</v>
      </c>
      <c r="F16">
        <v>35</v>
      </c>
      <c r="G16" t="s">
        <v>33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31.5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106</v>
      </c>
      <c r="N27" s="15">
        <v>3056</v>
      </c>
      <c r="O27" s="39" t="s">
        <v>107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108</v>
      </c>
      <c r="N28" s="15">
        <v>71</v>
      </c>
      <c r="O28" s="39" t="s">
        <v>109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110</v>
      </c>
      <c r="N29" s="15">
        <v>1865</v>
      </c>
      <c r="O29" s="39" t="s">
        <v>109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111</v>
      </c>
      <c r="N30" s="15">
        <v>1496</v>
      </c>
      <c r="O30" s="39" t="s">
        <v>112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113</v>
      </c>
      <c r="N31" s="15">
        <v>100</v>
      </c>
      <c r="O31" s="39" t="s">
        <v>112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128</v>
      </c>
      <c r="N32" s="15">
        <v>3594</v>
      </c>
      <c r="O32" s="39" t="s">
        <v>114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115</v>
      </c>
      <c r="N33" s="15">
        <v>1500</v>
      </c>
      <c r="O33" s="39" t="s">
        <v>114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85</v>
      </c>
      <c r="N34" s="15">
        <v>11682</v>
      </c>
      <c r="O34" s="39" t="s">
        <v>86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3" sqref="D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131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4050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36" t="s">
        <v>148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46144.792345717593</v>
      </c>
      <c r="C5">
        <f t="shared" ref="C5:C68" si="0">IF(ISNUMBER(E5), IF(ISNUMBER(C4), C4+1, 1), "")</f>
        <v>1</v>
      </c>
      <c r="D5" t="s">
        <v>132</v>
      </c>
      <c r="E5">
        <v>1</v>
      </c>
      <c r="F5">
        <v>380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380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>
        <f t="shared" si="0"/>
        <v>2</v>
      </c>
      <c r="D6" t="s">
        <v>133</v>
      </c>
      <c r="E6">
        <v>1</v>
      </c>
      <c r="F6">
        <v>297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297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>
        <f t="shared" si="0"/>
        <v>3</v>
      </c>
      <c r="D7" t="s">
        <v>134</v>
      </c>
      <c r="E7">
        <v>1</v>
      </c>
      <c r="F7">
        <v>120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>
        <f t="shared" si="0"/>
        <v>4</v>
      </c>
      <c r="D8" t="s">
        <v>135</v>
      </c>
      <c r="E8">
        <v>1</v>
      </c>
      <c r="F8">
        <v>166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166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>
        <f t="shared" si="0"/>
        <v>5</v>
      </c>
      <c r="D9" t="s">
        <v>136</v>
      </c>
      <c r="E9">
        <v>1</v>
      </c>
      <c r="F9">
        <v>350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350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>
        <f t="shared" si="0"/>
        <v>6</v>
      </c>
      <c r="D10" t="s">
        <v>137</v>
      </c>
      <c r="E10">
        <v>1</v>
      </c>
      <c r="F10">
        <v>120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>
        <f t="shared" si="0"/>
        <v>7</v>
      </c>
      <c r="D11" t="s">
        <v>82</v>
      </c>
      <c r="E11">
        <v>1</v>
      </c>
      <c r="F11">
        <v>142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142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>
        <f t="shared" si="0"/>
        <v>8</v>
      </c>
      <c r="D12" t="s">
        <v>141</v>
      </c>
      <c r="E12">
        <v>1</v>
      </c>
      <c r="F12">
        <v>75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75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>
        <f t="shared" si="0"/>
        <v>9</v>
      </c>
      <c r="D13" t="s">
        <v>138</v>
      </c>
      <c r="E13">
        <v>1</v>
      </c>
      <c r="F13">
        <v>70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70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>
        <f t="shared" si="0"/>
        <v>10</v>
      </c>
      <c r="D14" t="s">
        <v>139</v>
      </c>
      <c r="E14">
        <v>1</v>
      </c>
      <c r="F14">
        <v>280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280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>
        <f t="shared" si="0"/>
        <v>11</v>
      </c>
      <c r="D15" t="s">
        <v>26</v>
      </c>
      <c r="E15">
        <v>1</v>
      </c>
      <c r="F15">
        <v>90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90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>
        <f t="shared" si="0"/>
        <v>12</v>
      </c>
      <c r="D16" t="s">
        <v>140</v>
      </c>
      <c r="E16">
        <v>1</v>
      </c>
      <c r="F16">
        <v>15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>
        <f t="shared" si="0"/>
        <v>13</v>
      </c>
      <c r="D17" t="s">
        <v>82</v>
      </c>
      <c r="E17">
        <v>1</v>
      </c>
      <c r="F17">
        <v>142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142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>
        <f t="shared" si="0"/>
        <v>14</v>
      </c>
      <c r="D18" t="s">
        <v>142</v>
      </c>
      <c r="E18">
        <v>1</v>
      </c>
      <c r="F18">
        <v>550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550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>
        <f t="shared" si="0"/>
        <v>15</v>
      </c>
      <c r="D19" t="s">
        <v>143</v>
      </c>
      <c r="E19">
        <v>1</v>
      </c>
      <c r="F19">
        <v>40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40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>
        <f t="shared" si="0"/>
        <v>16</v>
      </c>
      <c r="D20" t="s">
        <v>30</v>
      </c>
      <c r="E20">
        <v>1</v>
      </c>
      <c r="F20">
        <v>100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100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144</v>
      </c>
      <c r="E21">
        <v>1</v>
      </c>
      <c r="F21">
        <v>150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150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37</v>
      </c>
      <c r="E22">
        <v>1</v>
      </c>
      <c r="F22">
        <v>50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145</v>
      </c>
      <c r="E23">
        <v>1</v>
      </c>
      <c r="F23">
        <v>42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42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37</v>
      </c>
      <c r="E24">
        <v>1</v>
      </c>
      <c r="F24">
        <v>50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50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37</v>
      </c>
      <c r="E25">
        <v>1</v>
      </c>
      <c r="F25">
        <v>50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50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27</v>
      </c>
      <c r="E26">
        <v>1</v>
      </c>
      <c r="F26">
        <v>20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27</v>
      </c>
      <c r="E27">
        <v>1</v>
      </c>
      <c r="F27">
        <v>20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20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101</v>
      </c>
      <c r="E28">
        <v>1</v>
      </c>
      <c r="F28">
        <v>232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232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101</v>
      </c>
      <c r="E29">
        <v>1</v>
      </c>
      <c r="F29">
        <v>232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232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101</v>
      </c>
      <c r="E30">
        <v>1</v>
      </c>
      <c r="F30">
        <v>232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232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146</v>
      </c>
      <c r="E31">
        <v>1</v>
      </c>
      <c r="F31">
        <v>15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15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147</v>
      </c>
      <c r="E32">
        <v>1</v>
      </c>
      <c r="F32">
        <v>20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20</v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46144.792345717593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46144.792345717593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46144.792345717593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46144.792345717593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46144.792345833332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46144.792345717593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46144.792345717593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46144.792345717593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46144.792345717593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46144.792345717593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46144.792345717593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46144.792345717593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46144.792345717593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46144.792345717593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46144.792345717593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27-04-26</vt:lpstr>
      <vt:lpstr>Martes 28-04-26</vt:lpstr>
      <vt:lpstr>Miercoles 29-04-26</vt:lpstr>
      <vt:lpstr>Jueves 30-04-26</vt:lpstr>
      <vt:lpstr>Viernes 01-05-26</vt:lpstr>
      <vt:lpstr>Sabado 02-05-26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2026-05-03T01:04:09Z</dcterms:modified>
</cp:coreProperties>
</file>