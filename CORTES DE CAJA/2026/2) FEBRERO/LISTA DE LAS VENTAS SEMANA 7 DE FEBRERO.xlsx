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A75AB84-FAFD-4FAF-8FF8-C669393C8BAF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6-02-26" sheetId="1" r:id="rId1"/>
    <sheet name="Martes 17-02-26" sheetId="2" r:id="rId2"/>
    <sheet name="Miercoles 18-02-26" sheetId="3" r:id="rId3"/>
    <sheet name="Jueves 19-02-26" sheetId="4" r:id="rId4"/>
    <sheet name="Viernes 20-02-26" sheetId="5" r:id="rId5"/>
    <sheet name="Sabado 21-02-26" sheetId="6" r:id="rId6"/>
    <sheet name="Domingo" sheetId="8" r:id="rId7"/>
    <sheet name="Cambios" sheetId="7" r:id="rId8"/>
  </sheets>
  <definedNames>
    <definedName name="_xlnm._FilterDatabase" localSheetId="0" hidden="1">'Lunes 16-02-26'!$B$4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6" l="1"/>
  <c r="C20" i="1" l="1"/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7" i="3"/>
  <c r="C18" i="3" s="1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B20" i="2"/>
  <c r="C21" i="1"/>
  <c r="B21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C6" i="5" l="1"/>
  <c r="C22" i="1"/>
  <c r="B22" i="2" s="1"/>
  <c r="K4" i="8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<sst xmlns="http://schemas.openxmlformats.org/spreadsheetml/2006/main" count="306" uniqueCount="147">
  <si>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</si>
  <si>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</si>
  <si>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</si>
  <si>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</si>
  <si>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</si>
  <si>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</si>
  <si>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</si>
  <si>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</si>
  <si>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</si>
  <si>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</si>
  <si>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</si>
  <si>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</si>
  <si>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</si>
  <si>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</si>
  <si>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</si>
  <si>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</si>
  <si>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</si>
  <si>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</si>
  <si>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</si>
  <si>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</si>
  <si>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</si>
  <si>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</si>
  <si>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</si>
  <si>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</si>
  <si>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</si>
  <si>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16-DE FEBRERO-26</t>
  </si>
  <si>
    <t>CHICOTE DE CLUTH PARA DANIEL</t>
  </si>
  <si>
    <t>LUBRICANTE DE CADENA LUBER</t>
  </si>
  <si>
    <t>X</t>
  </si>
  <si>
    <t>BALATA DE TAMBOR DS150</t>
  </si>
  <si>
    <t>ROLLO Y FABULOSO</t>
  </si>
  <si>
    <t>LLANTA 70-100-19</t>
  </si>
  <si>
    <t>CAMARA 90-90-19</t>
  </si>
  <si>
    <t>GRASA PARA CADENA AXPRO</t>
  </si>
  <si>
    <t xml:space="preserve">DIRECCIONALES UNIVERSALES </t>
  </si>
  <si>
    <t>STIKER</t>
  </si>
  <si>
    <t xml:space="preserve">BANDA PARA LA CARA </t>
  </si>
  <si>
    <t>BAYONETA FT150</t>
  </si>
  <si>
    <t>ACEITE MOTUL 5100</t>
  </si>
  <si>
    <t>EJE TRASERO ATV</t>
  </si>
  <si>
    <t>TUERCA DE SEGURIDAD</t>
  </si>
  <si>
    <t xml:space="preserve">CORTADOR DE CADENA </t>
  </si>
  <si>
    <t>BOMBA DE FRENO ATV</t>
  </si>
  <si>
    <t>PUÑOS UNIVERSALES</t>
  </si>
  <si>
    <t xml:space="preserve">ALARMA </t>
  </si>
  <si>
    <t>PEDIDO NASAKI</t>
  </si>
  <si>
    <t>RETEN DE MOTOR FT150</t>
  </si>
  <si>
    <t>LLANTA 120-80-18</t>
  </si>
  <si>
    <t xml:space="preserve">CUENTA SEMANA PASADA $ 15205.5  MENOS $ 69 DE ROLLO Y FABULOSO QUEDA $ 15136.5 MENOS $ 1068  DE AXPRO QUEDA $ 14068.5 MENOS $ 2775 DE PEDIDO DE NASAKI QUEDA $ 11293.5 </t>
  </si>
  <si>
    <t>Martes 17 DE FEBRERO-26</t>
  </si>
  <si>
    <t xml:space="preserve">BALATA TRASERA DE PULSAR </t>
  </si>
  <si>
    <t>ARNES PRINCIPAL FT125 WAPEMEX</t>
  </si>
  <si>
    <t>MANDO DERECHO FT125</t>
  </si>
  <si>
    <t>NOTAS</t>
  </si>
  <si>
    <t>MANDO DERECHO FT150</t>
  </si>
  <si>
    <t>RENTA Y INTERNET</t>
  </si>
  <si>
    <t xml:space="preserve">BALEROS </t>
  </si>
  <si>
    <t xml:space="preserve">LLEVO DANIEL </t>
  </si>
  <si>
    <t>BALERO 6301 WAPEMEX</t>
  </si>
  <si>
    <t>CAPUCHON DE BUJIA DS150</t>
  </si>
  <si>
    <t xml:space="preserve">CUENTA DE AYER $ 11293.5 MENOS $ 500 DE NOTAS QUEDA $ 10793.5 MENOS $ 1550 DE RENTA Y INTERNE QUEDA $ 9243.5 MENOS $ 120 DE BALEROS QUEDA $ 9123.5 </t>
  </si>
  <si>
    <t xml:space="preserve">CHICOTE DE CLUTH </t>
  </si>
  <si>
    <t>AORCADOR CLUTH</t>
  </si>
  <si>
    <t>ACEITE AKRON</t>
  </si>
  <si>
    <t>BUJIA C7</t>
  </si>
  <si>
    <t>FILTRO DE GASOLINA CARTO</t>
  </si>
  <si>
    <t xml:space="preserve">POSAPIES UNIVERSALES </t>
  </si>
  <si>
    <t>FILTRO DE ACEI R15</t>
  </si>
  <si>
    <t>CAMARA 3.50.18</t>
  </si>
  <si>
    <t xml:space="preserve">ACEITE LUBER </t>
  </si>
  <si>
    <t>CDI ATV</t>
  </si>
  <si>
    <t>Miercoles 18 DE FEBRERO-26</t>
  </si>
  <si>
    <t xml:space="preserve">PILA QLINK YTX 7 </t>
  </si>
  <si>
    <t>JUNTA DE CILINDRO FT150</t>
  </si>
  <si>
    <t>SEGURO DE CADENA 520</t>
  </si>
  <si>
    <t>SEGURO DE CADENA 428</t>
  </si>
  <si>
    <t>FILTRO DE ESPONGA FT150</t>
  </si>
  <si>
    <t xml:space="preserve">BASE PARA LOS AUXILIARES </t>
  </si>
  <si>
    <t>FOCO DE STOP</t>
  </si>
  <si>
    <t>AORCADOR DE CLUTH UNIVERSAL</t>
  </si>
  <si>
    <t>ESPEJOS DM200</t>
  </si>
  <si>
    <t>ESCAPE</t>
  </si>
  <si>
    <t xml:space="preserve">CENTGRIFUJO DE DS150 WAPEMEX </t>
  </si>
  <si>
    <t xml:space="preserve">CADENA 428 SENCILLA </t>
  </si>
  <si>
    <t>BALERO 6300</t>
  </si>
  <si>
    <t>CHICOTE DE VELOCIMETRO WS150</t>
  </si>
  <si>
    <t>ARAÑA DE VELOCIMETRO WS150</t>
  </si>
  <si>
    <t>FOCO H4 LED</t>
  </si>
  <si>
    <t xml:space="preserve">SUPER GLUE WURTH </t>
  </si>
  <si>
    <t>REGULADOR DE 250CC WAPEMEX</t>
  </si>
  <si>
    <t>CABLE SUELTO NEGRO</t>
  </si>
  <si>
    <t>BALATA DE TAMBOR CHICO CGL</t>
  </si>
  <si>
    <t>Jueves 19 DE FEBRERO-26</t>
  </si>
  <si>
    <t>POSAPIE  UNIVERSAL</t>
  </si>
  <si>
    <t>CHICOTE DE CLUTH 150Z</t>
  </si>
  <si>
    <t xml:space="preserve">AHORCADOR UNIVERSAL DE CLUTH </t>
  </si>
  <si>
    <t>CHICOTE DE CLUTH UNIVERSAL</t>
  </si>
  <si>
    <t xml:space="preserve">TUERCA DE ESCAPE </t>
  </si>
  <si>
    <t>BUJIA C8 NASAKI</t>
  </si>
  <si>
    <t>FILTRO DE GASOLINA CARTON</t>
  </si>
  <si>
    <t>BALERO 6302</t>
  </si>
  <si>
    <t>FILTRO DE AIRE DM200 NASAKI</t>
  </si>
  <si>
    <t>BUJE  NILANH</t>
  </si>
  <si>
    <t>JUNTA DE CABEZA FT150</t>
  </si>
  <si>
    <t xml:space="preserve">GOMA DE CALIPER </t>
  </si>
  <si>
    <t>GOMAS DE IMPACTO FT150</t>
  </si>
  <si>
    <t>FILTRO DE AIRE 150Z</t>
  </si>
  <si>
    <t xml:space="preserve">FILTRO DE CARTON GASOLINA </t>
  </si>
  <si>
    <t>BUJIA D8 NASAKI</t>
  </si>
  <si>
    <t xml:space="preserve">RAYOS TRASEROS DM200 SUELTOS </t>
  </si>
  <si>
    <t>ACEITE TOP</t>
  </si>
  <si>
    <t>TUBO MOVIL DS150</t>
  </si>
  <si>
    <t>Viernes 20 DE FEBRERO-26</t>
  </si>
  <si>
    <t>ROLLO</t>
  </si>
  <si>
    <t>AXPRO</t>
  </si>
  <si>
    <t>P.NASAKI</t>
  </si>
  <si>
    <t>NOTA AN</t>
  </si>
  <si>
    <t>MARTES 17 DE FEBRERO-26</t>
  </si>
  <si>
    <t>LUNES 16 DE FEBRERO-26</t>
  </si>
  <si>
    <t>LUNES 16DE FEBRERO-26</t>
  </si>
  <si>
    <t xml:space="preserve">RENTA </t>
  </si>
  <si>
    <t>BALEROS</t>
  </si>
  <si>
    <t>PAGOYAS</t>
  </si>
  <si>
    <t>VIERNES 20 DE FEBRERO-26</t>
  </si>
  <si>
    <t xml:space="preserve">TOTAL </t>
  </si>
  <si>
    <t xml:space="preserve">TOTAL DE EGRESOS </t>
  </si>
  <si>
    <t xml:space="preserve">TORNILLO </t>
  </si>
  <si>
    <t>CAMARA 3.00.17</t>
  </si>
  <si>
    <t>RELEVADOR DE FT150</t>
  </si>
  <si>
    <t>P.WAPE</t>
  </si>
  <si>
    <t xml:space="preserve">RAYOS TRSEROS DM200 SUELTOS </t>
  </si>
  <si>
    <t>MANIJA IZQUIERDA CON BASE FT150</t>
  </si>
  <si>
    <t>ACEITE MOTUL 3000</t>
  </si>
  <si>
    <t>ESPEJOS DE ITALIKA 170Z</t>
  </si>
  <si>
    <t xml:space="preserve">ARNES DE 5 CABLES </t>
  </si>
  <si>
    <t>CAMARA 3.00.18 NASAKI</t>
  </si>
  <si>
    <t xml:space="preserve">GUANTES VERDES </t>
  </si>
  <si>
    <t xml:space="preserve">FILTROS DE GASOLINA CARTON </t>
  </si>
  <si>
    <r>
      <rPr>
        <b/>
        <sz val="14"/>
        <color theme="1"/>
        <rFont val="Calibri"/>
        <family val="2"/>
        <scheme val="minor"/>
      </rPr>
      <t>CORTES DE LA SEMANA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16 DE FEBRERO-26              $ 15205.5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$ 3417          MENOS $ 10875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17 DE FEBRERO-26      $ 4330.5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$ 1592.5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18 DE FEBRERO-26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$ 3045.5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19 DE FEBRERO-26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$ 1042.5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20 DE FEBRERO-26
</t>
    </r>
    <r>
      <rPr>
        <b/>
        <sz val="16"/>
        <color rgb="FFFF0000"/>
        <rFont val="Calibri"/>
        <family val="2"/>
        <scheme val="minor"/>
      </rPr>
      <t>VENTA$1281.5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$ 10379
TOTAL EN CAJA $ 14709.5 </t>
    </r>
  </si>
  <si>
    <t>Sabado 21 DE FEBRERO-26</t>
  </si>
  <si>
    <t xml:space="preserve">MANGUERA DE GASOLINA </t>
  </si>
  <si>
    <t xml:space="preserve">FOCO DE DIRECCIONAL </t>
  </si>
  <si>
    <t>RED DE CASCO ROJO</t>
  </si>
  <si>
    <t>CUBRE TANQUE ROJO</t>
  </si>
  <si>
    <t xml:space="preserve">PIJAS Y GRAPAS </t>
  </si>
  <si>
    <t>CONTRAPESO ROJO</t>
  </si>
  <si>
    <t xml:space="preserve">CUENTA DE HOY 329 MENOS $ 150 PAGO DE YAS QUEDA $ 179
MAS LA CUENTA DE AYER $ 14709.5 MAS $ 179 
TOTAL EN CAJA $ 14888.5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</si>
</sst>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3417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18</v>
      </c>
      <c r="M4" s="36" t="s">
        <v>48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46074.589057870369</v>
      </c>
      <c r="C5">
        <f>IF(ISNUMBER(E5), IF(ISNUMBER(C4), C4+1, 1), "")</f>
        <v>1</v>
      </c>
      <c r="D5" t="s">
        <v>26</v>
      </c>
      <c r="E5">
        <v>10</v>
      </c>
      <c r="F5">
        <v>13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130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46074.589057870369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90</v>
      </c>
      <c r="G6" t="s">
        <v>28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81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46074.589057870369</v>
      </c>
      <c r="C7">
        <f t="shared" si="0"/>
        <v>3</v>
      </c>
      <c r="D7" t="s">
        <v>29</v>
      </c>
      <c r="E7">
        <v>1</v>
      </c>
      <c r="F7">
        <v>70</v>
      </c>
      <c r="G7" t="s">
        <v>28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63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46074.589057870369</v>
      </c>
      <c r="C8">
        <f t="shared" si="0"/>
        <v>4</v>
      </c>
      <c r="D8" t="s">
        <v>31</v>
      </c>
      <c r="E8">
        <v>1</v>
      </c>
      <c r="F8">
        <v>780</v>
      </c>
      <c r="G8" t="s">
        <v>28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702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46074.589057870369</v>
      </c>
      <c r="C9">
        <f t="shared" si="0"/>
        <v>5</v>
      </c>
      <c r="D9" t="s">
        <v>32</v>
      </c>
      <c r="E9">
        <v>1</v>
      </c>
      <c r="F9">
        <v>85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85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46074.589057870369</v>
      </c>
      <c r="C10">
        <f t="shared" si="0"/>
        <v>6</v>
      </c>
      <c r="D10" t="s">
        <v>34</v>
      </c>
      <c r="E10">
        <v>1</v>
      </c>
      <c r="F10">
        <v>90</v>
      </c>
      <c r="G10" t="s">
        <v>28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81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46074.589057870369</v>
      </c>
      <c r="C11">
        <f t="shared" si="0"/>
        <v>7</v>
      </c>
      <c r="D11" t="s">
        <v>35</v>
      </c>
      <c r="E11">
        <v>2</v>
      </c>
      <c r="F11">
        <v>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46074.589057870369</v>
      </c>
      <c r="C12">
        <f t="shared" si="0"/>
        <v>8</v>
      </c>
      <c r="D12" t="s">
        <v>36</v>
      </c>
      <c r="E12">
        <v>1</v>
      </c>
      <c r="F12">
        <v>40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40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46074.589057870369</v>
      </c>
      <c r="C13">
        <f t="shared" si="0"/>
        <v>9</v>
      </c>
      <c r="D13" t="s">
        <v>37</v>
      </c>
      <c r="E13">
        <v>1</v>
      </c>
      <c r="F13">
        <v>20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46074.589057870369</v>
      </c>
      <c r="C14">
        <f t="shared" si="0"/>
        <v>10</v>
      </c>
      <c r="D14" t="s">
        <v>38</v>
      </c>
      <c r="E14">
        <v>1</v>
      </c>
      <c r="F14">
        <v>250</v>
      </c>
      <c r="G14" t="s">
        <v>28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237.5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46074.589057870369</v>
      </c>
      <c r="C15">
        <f t="shared" si="0"/>
        <v>11</v>
      </c>
      <c r="D15" t="s">
        <v>39</v>
      </c>
      <c r="E15">
        <v>1</v>
      </c>
      <c r="F15">
        <v>155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155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46074.589057870369</v>
      </c>
      <c r="C16">
        <f t="shared" si="0"/>
        <v>12</v>
      </c>
      <c r="D16" t="s">
        <v>40</v>
      </c>
      <c r="E16">
        <v>1</v>
      </c>
      <c r="F16">
        <v>20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20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46074.589057870369</v>
      </c>
      <c r="C17">
        <f t="shared" si="0"/>
        <v>13</v>
      </c>
      <c r="D17" t="s">
        <v>41</v>
      </c>
      <c r="E17">
        <v>1</v>
      </c>
      <c r="F17">
        <v>200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200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46074.589057870369</v>
      </c>
      <c r="C18">
        <f t="shared" si="0"/>
        <v>14</v>
      </c>
      <c r="D18" t="s">
        <v>42</v>
      </c>
      <c r="E18">
        <v>1</v>
      </c>
      <c r="F18">
        <v>400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400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46074.589057870369</v>
      </c>
      <c r="C19">
        <f t="shared" si="0"/>
        <v>15</v>
      </c>
      <c r="D19" t="s">
        <v>43</v>
      </c>
      <c r="E19">
        <v>1</v>
      </c>
      <c r="F19">
        <v>85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85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46074.589057870369</v>
      </c>
      <c r="C20">
        <f>IF(ISNUMBER(E20), IF(ISNUMBER(C19), C19+1, 1), "")</f>
        <v>16</v>
      </c>
      <c r="D20" t="s">
        <v>44</v>
      </c>
      <c r="E20">
        <v>1</v>
      </c>
      <c r="F20">
        <v>265</v>
      </c>
      <c r="G20" t="s">
        <v>28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238.5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46074.589057870369</v>
      </c>
      <c r="C21">
        <f t="shared" si="0"/>
        <v>17</v>
      </c>
      <c r="D21" t="s">
        <v>46</v>
      </c>
      <c r="E21">
        <v>1</v>
      </c>
      <c r="F21">
        <v>50</v>
      </c>
      <c r="G21" t="s">
        <v>28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45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46074.589057870369</v>
      </c>
      <c r="C22">
        <f t="shared" si="0"/>
        <v>18</v>
      </c>
      <c r="D22" t="s">
        <v>47</v>
      </c>
      <c r="E22">
        <v>1</v>
      </c>
      <c r="F22">
        <v>824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824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30</v>
      </c>
      <c r="N27" s="20"/>
      <c r="O27" s="23">
        <v>69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33</v>
      </c>
      <c r="N29" s="20"/>
      <c r="O29" s="23">
        <v>1068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 t="s">
        <v>45</v>
      </c>
      <c r="N31" s="20"/>
      <c r="O31" s="23">
        <v>2775</v>
      </c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49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1592.5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16</v>
      </c>
      <c r="M4" s="36" t="s">
        <v>60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46074.589057870369</v>
      </c>
      <c r="C5">
        <f t="shared" ref="C5:C68" si="0">IF(ISNUMBER(E5), IF(ISNUMBER(C4), C4+1, 1), "")</f>
        <v>1</v>
      </c>
      <c r="D5" t="s">
        <v>50</v>
      </c>
      <c r="E5">
        <v>1</v>
      </c>
      <c r="F5">
        <v>45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46074.589057870369</v>
      </c>
      <c r="C6">
        <f t="shared" si="0"/>
        <v>2</v>
      </c>
      <c r="D6" t="s">
        <v>51</v>
      </c>
      <c r="E6">
        <v>1</v>
      </c>
      <c r="F6">
        <v>390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390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46074.589057870369</v>
      </c>
      <c r="C7">
        <f t="shared" si="0"/>
        <v>3</v>
      </c>
      <c r="D7" t="s">
        <v>54</v>
      </c>
      <c r="E7">
        <v>1</v>
      </c>
      <c r="F7">
        <v>120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46074.589057870369</v>
      </c>
      <c r="C8">
        <f t="shared" si="0"/>
        <v>4</v>
      </c>
      <c r="D8" t="s">
        <v>52</v>
      </c>
      <c r="E8">
        <v>1</v>
      </c>
      <c r="F8">
        <v>112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112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46074.589057870369</v>
      </c>
      <c r="C9">
        <f t="shared" si="0"/>
        <v>5</v>
      </c>
      <c r="D9" t="s">
        <v>58</v>
      </c>
      <c r="E9">
        <v>2</v>
      </c>
      <c r="F9">
        <v>20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36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46074.589057870369</v>
      </c>
      <c r="C10">
        <f t="shared" si="0"/>
        <v>6</v>
      </c>
      <c r="D10" t="s">
        <v>59</v>
      </c>
      <c r="E10">
        <v>1</v>
      </c>
      <c r="F10">
        <v>20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46074.589057870369</v>
      </c>
      <c r="C11">
        <f t="shared" si="0"/>
        <v>7</v>
      </c>
      <c r="D11" t="s">
        <v>61</v>
      </c>
      <c r="E11">
        <v>1</v>
      </c>
      <c r="F11">
        <v>20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46074.589057870369</v>
      </c>
      <c r="C12">
        <f t="shared" si="0"/>
        <v>8</v>
      </c>
      <c r="D12" t="s">
        <v>62</v>
      </c>
      <c r="E12">
        <v>1</v>
      </c>
      <c r="F12">
        <v>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46074.589057870369</v>
      </c>
      <c r="C13">
        <f t="shared" si="0"/>
        <v>9</v>
      </c>
      <c r="D13" t="s">
        <v>63</v>
      </c>
      <c r="E13">
        <v>1</v>
      </c>
      <c r="F13">
        <v>117</v>
      </c>
      <c r="G13" t="s">
        <v>28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111.5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46074.589057870369</v>
      </c>
      <c r="C14">
        <f t="shared" si="0"/>
        <v>10</v>
      </c>
      <c r="D14" t="s">
        <v>64</v>
      </c>
      <c r="E14">
        <v>1</v>
      </c>
      <c r="F14">
        <v>57</v>
      </c>
      <c r="G14" t="s">
        <v>28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51.5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46074.589057870369</v>
      </c>
      <c r="C15">
        <f t="shared" si="0"/>
        <v>11</v>
      </c>
      <c r="D15" t="s">
        <v>65</v>
      </c>
      <c r="E15">
        <v>1</v>
      </c>
      <c r="F15">
        <v>15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13.5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46074.589057870369</v>
      </c>
      <c r="C16">
        <f t="shared" si="0"/>
        <v>12</v>
      </c>
      <c r="D16" t="s">
        <v>66</v>
      </c>
      <c r="E16">
        <v>1</v>
      </c>
      <c r="F16">
        <v>180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180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46074.589057870369</v>
      </c>
      <c r="C17">
        <f t="shared" si="0"/>
        <v>13</v>
      </c>
      <c r="D17" t="s">
        <v>67</v>
      </c>
      <c r="E17">
        <v>1</v>
      </c>
      <c r="F17">
        <v>90</v>
      </c>
      <c r="G17" t="s">
        <v>28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81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46074.589057870369</v>
      </c>
      <c r="C18">
        <f t="shared" si="0"/>
        <v>14</v>
      </c>
      <c r="D18" t="s">
        <v>68</v>
      </c>
      <c r="E18">
        <v>1</v>
      </c>
      <c r="F18">
        <v>85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85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46074.589057870369</v>
      </c>
      <c r="C19">
        <f t="shared" si="0"/>
        <v>15</v>
      </c>
      <c r="D19" t="s">
        <v>69</v>
      </c>
      <c r="E19">
        <v>2</v>
      </c>
      <c r="F19">
        <v>90</v>
      </c>
      <c r="G19" t="s">
        <v>28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171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46074.589057870369</v>
      </c>
      <c r="C20">
        <f t="shared" si="0"/>
        <v>16</v>
      </c>
      <c r="D20" t="s">
        <v>70</v>
      </c>
      <c r="E20">
        <v>1</v>
      </c>
      <c r="F20">
        <v>170</v>
      </c>
      <c r="G20" t="s">
        <v>28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153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46074.589057870369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46074.589057870369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53</v>
      </c>
      <c r="N27" s="15">
        <v>500</v>
      </c>
      <c r="O27" s="39"/>
      <c r="P27" s="40"/>
      <c r="Q27" s="40"/>
      <c r="R27" s="41"/>
    </row>
    <row r="28" spans="2:18" ht="45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55</v>
      </c>
      <c r="N28" s="15">
        <v>1550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 t="s">
        <v>56</v>
      </c>
      <c r="N29" s="15">
        <v>120</v>
      </c>
      <c r="O29" s="39" t="s">
        <v>57</v>
      </c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3045.5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46074.589057870369</v>
      </c>
      <c r="C5">
        <f>IF(ISNUMBER(E5), IF(ISNUMBER(C4), C4+1, 1), "")</f>
        <v>1</v>
      </c>
      <c r="D5" t="s">
        <v>72</v>
      </c>
      <c r="E5">
        <v>1</v>
      </c>
      <c r="F5">
        <v>690</v>
      </c>
      <c r="G5" t="s">
        <v>28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621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46074.589057870369</v>
      </c>
      <c r="C6">
        <f t="shared" ref="C6" si="0">IF(ISNUMBER(E6), IF(ISNUMBER(C5), C5+1, 1), "")</f>
        <v>2</v>
      </c>
      <c r="D6" t="s">
        <v>73</v>
      </c>
      <c r="E6">
        <v>1</v>
      </c>
      <c r="F6">
        <v>15</v>
      </c>
      <c r="G6" t="s">
        <v>28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46074.589057870369</v>
      </c>
      <c r="C7">
        <f>IF(ISNUMBER(E7), IF(ISNUMBER(C6), C6+1, 1), "")</f>
        <v>3</v>
      </c>
      <c r="D7" t="s">
        <v>64</v>
      </c>
      <c r="E7">
        <v>2</v>
      </c>
      <c r="F7">
        <v>57</v>
      </c>
      <c r="G7" t="s">
        <v>28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103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46074.589057870369</v>
      </c>
      <c r="C8">
        <f t="shared" ref="C8:C68" si="1">IF(ISNUMBER(E8), IF(ISNUMBER(C7), C7+1, 1), "")</f>
        <v>4</v>
      </c>
      <c r="D8" t="s">
        <v>74</v>
      </c>
      <c r="E8">
        <v>1</v>
      </c>
      <c r="F8">
        <v>11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11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46074.589057870369</v>
      </c>
      <c r="C9">
        <f t="shared" si="1"/>
        <v>5</v>
      </c>
      <c r="D9" t="s">
        <v>75</v>
      </c>
      <c r="E9">
        <v>1</v>
      </c>
      <c r="F9">
        <v>28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28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46074.589057870369</v>
      </c>
      <c r="C10">
        <f t="shared" si="1"/>
        <v>6</v>
      </c>
      <c r="D10" t="s">
        <v>76</v>
      </c>
      <c r="E10">
        <v>2</v>
      </c>
      <c r="F10">
        <v>28</v>
      </c>
      <c r="G10" t="s">
        <v>28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50.5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46074.589057870369</v>
      </c>
      <c r="C11">
        <f t="shared" si="1"/>
        <v>7</v>
      </c>
      <c r="D11" t="s">
        <v>77</v>
      </c>
      <c r="E11">
        <v>1</v>
      </c>
      <c r="F11">
        <v>150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46074.589057870369</v>
      </c>
      <c r="C12">
        <f t="shared" si="1"/>
        <v>8</v>
      </c>
      <c r="D12" t="s">
        <v>78</v>
      </c>
      <c r="E12">
        <v>1</v>
      </c>
      <c r="F12">
        <v>20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46074.589057870369</v>
      </c>
      <c r="C13">
        <f t="shared" si="1"/>
        <v>9</v>
      </c>
      <c r="D13" t="s">
        <v>35</v>
      </c>
      <c r="E13">
        <v>1</v>
      </c>
      <c r="F13">
        <v>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46074.589057870369</v>
      </c>
      <c r="C14">
        <f t="shared" si="1"/>
        <v>10</v>
      </c>
      <c r="D14" t="s">
        <v>79</v>
      </c>
      <c r="E14">
        <v>1</v>
      </c>
      <c r="F14">
        <v>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46074.589057870369</v>
      </c>
      <c r="C15">
        <f t="shared" si="1"/>
        <v>11</v>
      </c>
      <c r="D15" t="s">
        <v>80</v>
      </c>
      <c r="E15">
        <v>1</v>
      </c>
      <c r="F15">
        <v>150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46074.589057870369</v>
      </c>
      <c r="C16">
        <f t="shared" si="1"/>
        <v>12</v>
      </c>
      <c r="D16" t="s">
        <v>81</v>
      </c>
      <c r="E16">
        <v>1</v>
      </c>
      <c r="F16">
        <v>750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750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46074.589057870369</v>
      </c>
      <c r="C17">
        <f t="shared" si="1"/>
        <v>13</v>
      </c>
      <c r="D17" t="s">
        <v>83</v>
      </c>
      <c r="E17">
        <v>1</v>
      </c>
      <c r="F17">
        <v>220</v>
      </c>
      <c r="G17" t="s">
        <v>28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198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46074.589057870369</v>
      </c>
      <c r="C18">
        <f t="shared" si="1"/>
        <v>14</v>
      </c>
      <c r="D18" t="s">
        <v>82</v>
      </c>
      <c r="E18">
        <v>1</v>
      </c>
      <c r="F18">
        <v>290</v>
      </c>
      <c r="G18" t="s">
        <v>28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261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46074.589057870369</v>
      </c>
      <c r="C19">
        <f t="shared" si="1"/>
        <v>15</v>
      </c>
      <c r="D19" t="s">
        <v>84</v>
      </c>
      <c r="E19">
        <v>2</v>
      </c>
      <c r="F19">
        <v>30</v>
      </c>
      <c r="G19" t="s">
        <v>28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54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46074.589057870369</v>
      </c>
      <c r="C20">
        <f t="shared" si="1"/>
        <v>16</v>
      </c>
      <c r="D20" t="s">
        <v>85</v>
      </c>
      <c r="E20">
        <v>1</v>
      </c>
      <c r="F20">
        <v>40</v>
      </c>
      <c r="G20" t="s">
        <v>28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36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46074.589057870369</v>
      </c>
      <c r="C21">
        <f t="shared" si="1"/>
        <v>17</v>
      </c>
      <c r="D21" t="s">
        <v>86</v>
      </c>
      <c r="E21">
        <v>1</v>
      </c>
      <c r="F21">
        <v>75</v>
      </c>
      <c r="G21" t="s">
        <v>28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67.5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46074.589057870369</v>
      </c>
      <c r="C22">
        <f t="shared" si="1"/>
        <v>18</v>
      </c>
      <c r="D22" t="s">
        <v>87</v>
      </c>
      <c r="E22">
        <v>1</v>
      </c>
      <c r="F22">
        <v>135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135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75</v>
      </c>
      <c r="E23">
        <v>1</v>
      </c>
      <c r="F23">
        <v>28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28</v>
      </c>
    </row>
    <row r="24" spans="2:18" ht="15" customHeight="1" x14ac:dyDescent="0.25">
      <c r="B24" s="18" t="str">
        <f ca="1">IF(Tabla1[[#This Row],['#]]&lt;&gt;"", NOW(), "")</f>
        <v/>
      </c>
      <c r="C24">
        <f t="shared" si="1"/>
        <v>20</v>
      </c>
      <c r="D24" t="s">
        <v>88</v>
      </c>
      <c r="E24">
        <v>2</v>
      </c>
      <c r="F24">
        <v>25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50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1"/>
        <v>21</v>
      </c>
      <c r="D25" t="s">
        <v>89</v>
      </c>
      <c r="E25">
        <v>1</v>
      </c>
      <c r="F25">
        <v>169</v>
      </c>
      <c r="G25" t="s">
        <v>28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152.5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1"/>
        <v>22</v>
      </c>
      <c r="D26" t="s">
        <v>90</v>
      </c>
      <c r="E26">
        <v>2</v>
      </c>
      <c r="F26">
        <v>8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16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>
        <f t="shared" si="1"/>
        <v>23</v>
      </c>
      <c r="D27" t="s">
        <v>91</v>
      </c>
      <c r="E27">
        <v>2</v>
      </c>
      <c r="F27">
        <v>78</v>
      </c>
      <c r="G27" t="s">
        <v>28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140.5</v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1042.5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46074.589057870369</v>
      </c>
      <c r="C5">
        <f t="shared" ref="C5:C68" si="0">IF(ISNUMBER(E5), IF(ISNUMBER(C4), C4+1, 1), "")</f>
        <v>1</v>
      </c>
      <c r="D5" t="s">
        <v>64</v>
      </c>
      <c r="E5">
        <v>1</v>
      </c>
      <c r="F5">
        <v>57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57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46074.589057870369</v>
      </c>
      <c r="C6">
        <f t="shared" si="0"/>
        <v>2</v>
      </c>
      <c r="D6" t="s">
        <v>93</v>
      </c>
      <c r="E6">
        <v>1</v>
      </c>
      <c r="F6">
        <v>180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180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46074.589057870369</v>
      </c>
      <c r="C7">
        <f t="shared" si="0"/>
        <v>3</v>
      </c>
      <c r="D7" t="s">
        <v>94</v>
      </c>
      <c r="E7">
        <v>1</v>
      </c>
      <c r="F7">
        <v>72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72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46074.589057870369</v>
      </c>
      <c r="C8">
        <f t="shared" si="0"/>
        <v>4</v>
      </c>
      <c r="D8" t="s">
        <v>95</v>
      </c>
      <c r="E8">
        <v>1</v>
      </c>
      <c r="F8">
        <v>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46074.589057870369</v>
      </c>
      <c r="C9">
        <f t="shared" si="0"/>
        <v>5</v>
      </c>
      <c r="D9" t="s">
        <v>96</v>
      </c>
      <c r="E9">
        <v>1</v>
      </c>
      <c r="F9">
        <v>5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46074.589057870369</v>
      </c>
      <c r="C10">
        <f t="shared" si="0"/>
        <v>6</v>
      </c>
      <c r="D10" t="s">
        <v>97</v>
      </c>
      <c r="E10">
        <v>4</v>
      </c>
      <c r="F10">
        <v>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46074.589057870369</v>
      </c>
      <c r="C11">
        <f t="shared" si="0"/>
        <v>7</v>
      </c>
      <c r="D11" t="s">
        <v>63</v>
      </c>
      <c r="E11">
        <v>1</v>
      </c>
      <c r="F11">
        <v>117</v>
      </c>
      <c r="G11" t="s">
        <v>28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111.5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46074.589057870369</v>
      </c>
      <c r="C12">
        <f t="shared" si="0"/>
        <v>8</v>
      </c>
      <c r="D12" t="s">
        <v>98</v>
      </c>
      <c r="E12">
        <v>1</v>
      </c>
      <c r="F12">
        <v>38</v>
      </c>
      <c r="G12" t="s">
        <v>28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34.5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46074.589057870369</v>
      </c>
      <c r="C13">
        <f t="shared" si="0"/>
        <v>9</v>
      </c>
      <c r="D13" t="s">
        <v>99</v>
      </c>
      <c r="E13">
        <v>1</v>
      </c>
      <c r="F13">
        <v>13</v>
      </c>
      <c r="G13" t="s">
        <v>28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12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46074.589057870369</v>
      </c>
      <c r="C14">
        <f t="shared" si="0"/>
        <v>10</v>
      </c>
      <c r="D14" t="s">
        <v>100</v>
      </c>
      <c r="E14">
        <v>2</v>
      </c>
      <c r="F14">
        <v>30</v>
      </c>
      <c r="G14" t="s">
        <v>28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54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46074.589057870369</v>
      </c>
      <c r="C15">
        <f t="shared" si="0"/>
        <v>11</v>
      </c>
      <c r="D15" t="s">
        <v>101</v>
      </c>
      <c r="E15">
        <v>1</v>
      </c>
      <c r="F15">
        <v>68</v>
      </c>
      <c r="G15" t="s">
        <v>28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61.5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46074.589057870369</v>
      </c>
      <c r="C16">
        <f t="shared" si="0"/>
        <v>12</v>
      </c>
      <c r="D16" t="s">
        <v>102</v>
      </c>
      <c r="E16">
        <v>1</v>
      </c>
      <c r="F16">
        <v>20</v>
      </c>
      <c r="G16" t="s">
        <v>28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18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46074.589057870369</v>
      </c>
      <c r="C17">
        <f t="shared" si="0"/>
        <v>13</v>
      </c>
      <c r="D17" t="s">
        <v>103</v>
      </c>
      <c r="E17">
        <v>1</v>
      </c>
      <c r="F17">
        <v>20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46074.589057870369</v>
      </c>
      <c r="C18">
        <f t="shared" si="0"/>
        <v>14</v>
      </c>
      <c r="D18" t="s">
        <v>104</v>
      </c>
      <c r="E18">
        <v>1</v>
      </c>
      <c r="F18">
        <v>25</v>
      </c>
      <c r="G18" t="s">
        <v>28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22.5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46074.589057870369</v>
      </c>
      <c r="C19">
        <f t="shared" si="0"/>
        <v>15</v>
      </c>
      <c r="D19" t="s">
        <v>105</v>
      </c>
      <c r="E19">
        <v>1</v>
      </c>
      <c r="F19">
        <v>45</v>
      </c>
      <c r="G19" t="s">
        <v>28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40.5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46074.589057870369</v>
      </c>
      <c r="C20">
        <f t="shared" si="0"/>
        <v>16</v>
      </c>
      <c r="D20" t="s">
        <v>106</v>
      </c>
      <c r="E20">
        <v>1</v>
      </c>
      <c r="F20">
        <v>53</v>
      </c>
      <c r="G20" t="s">
        <v>28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48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46074.589057870369</v>
      </c>
      <c r="C21">
        <f t="shared" si="0"/>
        <v>17</v>
      </c>
      <c r="D21" t="s">
        <v>107</v>
      </c>
      <c r="E21">
        <v>1</v>
      </c>
      <c r="F21">
        <v>15</v>
      </c>
      <c r="G21" t="s">
        <v>28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13.5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46074.589057870369</v>
      </c>
      <c r="C22">
        <f t="shared" si="0"/>
        <v>18</v>
      </c>
      <c r="D22" t="s">
        <v>63</v>
      </c>
      <c r="E22">
        <v>1</v>
      </c>
      <c r="F22">
        <v>117</v>
      </c>
      <c r="G22" t="s">
        <v>28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111.5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108</v>
      </c>
      <c r="E23">
        <v>1</v>
      </c>
      <c r="F23">
        <v>38</v>
      </c>
      <c r="G23" t="s">
        <v>28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34.5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109</v>
      </c>
      <c r="E24">
        <v>5</v>
      </c>
      <c r="F24">
        <v>7</v>
      </c>
      <c r="G24" t="s">
        <v>28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31.5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110</v>
      </c>
      <c r="E25">
        <v>1</v>
      </c>
      <c r="F25">
        <v>75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75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111</v>
      </c>
      <c r="E26">
        <v>1</v>
      </c>
      <c r="F26">
        <v>15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15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112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1281.5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15</v>
      </c>
      <c r="M4" s="36" t="s">
        <v>138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46074.589057870369</v>
      </c>
      <c r="C5">
        <f t="shared" ref="C5:C68" si="0">IF(ISNUMBER(E5), IF(ISNUMBER(C4), C4+1, 1), "")</f>
        <v>1</v>
      </c>
      <c r="D5" t="s">
        <v>35</v>
      </c>
      <c r="E5">
        <v>5</v>
      </c>
      <c r="F5">
        <v>5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25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46074.589057870369</v>
      </c>
      <c r="C6">
        <f t="shared" si="0"/>
        <v>2</v>
      </c>
      <c r="D6" t="s">
        <v>126</v>
      </c>
      <c r="E6">
        <v>3</v>
      </c>
      <c r="F6">
        <v>10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30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46074.589057870369</v>
      </c>
      <c r="C7">
        <f t="shared" si="0"/>
        <v>3</v>
      </c>
      <c r="D7" t="s">
        <v>105</v>
      </c>
      <c r="E7">
        <v>1</v>
      </c>
      <c r="F7">
        <v>45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45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46074.589057870369</v>
      </c>
      <c r="C8">
        <f t="shared" si="0"/>
        <v>4</v>
      </c>
      <c r="D8" t="s">
        <v>127</v>
      </c>
      <c r="E8">
        <v>1</v>
      </c>
      <c r="F8">
        <v>70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70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46074.589057870369</v>
      </c>
      <c r="C9">
        <f t="shared" si="0"/>
        <v>5</v>
      </c>
      <c r="D9" t="s">
        <v>128</v>
      </c>
      <c r="E9">
        <v>1</v>
      </c>
      <c r="F9">
        <v>25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46074.589057870369</v>
      </c>
      <c r="C10">
        <f t="shared" si="0"/>
        <v>6</v>
      </c>
      <c r="D10" t="s">
        <v>63</v>
      </c>
      <c r="E10">
        <v>2</v>
      </c>
      <c r="F10">
        <v>117</v>
      </c>
      <c r="G10" t="s">
        <v>28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222.5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46074.589057870369</v>
      </c>
      <c r="C11">
        <f t="shared" si="0"/>
        <v>7</v>
      </c>
      <c r="D11" t="s">
        <v>99</v>
      </c>
      <c r="E11">
        <v>2</v>
      </c>
      <c r="F11">
        <v>15</v>
      </c>
      <c r="G11" t="s">
        <v>28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46074.589057870369</v>
      </c>
      <c r="C12">
        <f t="shared" si="0"/>
        <v>8</v>
      </c>
      <c r="D12" t="s">
        <v>130</v>
      </c>
      <c r="E12">
        <v>4</v>
      </c>
      <c r="F12">
        <v>7</v>
      </c>
      <c r="G12" t="s">
        <v>28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25.5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46074.589057870369</v>
      </c>
      <c r="C13">
        <f t="shared" si="0"/>
        <v>9</v>
      </c>
      <c r="D13" t="s">
        <v>131</v>
      </c>
      <c r="E13">
        <v>1</v>
      </c>
      <c r="F13">
        <v>87</v>
      </c>
      <c r="G13" t="s">
        <v>28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78.5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46074.589057870369</v>
      </c>
      <c r="C14">
        <f t="shared" si="0"/>
        <v>10</v>
      </c>
      <c r="D14" t="s">
        <v>132</v>
      </c>
      <c r="E14">
        <v>1</v>
      </c>
      <c r="F14">
        <v>200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200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46074.589057870369</v>
      </c>
      <c r="C15">
        <f t="shared" si="0"/>
        <v>11</v>
      </c>
      <c r="D15" t="s">
        <v>133</v>
      </c>
      <c r="E15">
        <v>1</v>
      </c>
      <c r="F15">
        <v>166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166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46074.589057870369</v>
      </c>
      <c r="C16">
        <f t="shared" si="0"/>
        <v>12</v>
      </c>
      <c r="D16" t="s">
        <v>134</v>
      </c>
      <c r="E16">
        <v>2</v>
      </c>
      <c r="F16">
        <v>40</v>
      </c>
      <c r="G16" t="s">
        <v>28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72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46074.589057870369</v>
      </c>
      <c r="C17">
        <f t="shared" si="0"/>
        <v>13</v>
      </c>
      <c r="D17" t="s">
        <v>135</v>
      </c>
      <c r="E17">
        <v>1</v>
      </c>
      <c r="F17">
        <v>65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65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46074.589057870369</v>
      </c>
      <c r="C18">
        <f t="shared" si="0"/>
        <v>14</v>
      </c>
      <c r="D18" t="s">
        <v>136</v>
      </c>
      <c r="E18">
        <v>1</v>
      </c>
      <c r="F18">
        <v>185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185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46074.589057870369</v>
      </c>
      <c r="C19">
        <f t="shared" si="0"/>
        <v>15</v>
      </c>
      <c r="D19" t="s">
        <v>137</v>
      </c>
      <c r="E19">
        <v>3</v>
      </c>
      <c r="F19">
        <v>15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45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46074.589057870369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46074.589057870369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46074.589057870369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113</v>
      </c>
      <c r="N27" s="15">
        <v>69</v>
      </c>
      <c r="O27" s="39" t="s">
        <v>119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114</v>
      </c>
      <c r="N28" s="15">
        <v>1068</v>
      </c>
      <c r="O28" s="39" t="s">
        <v>118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115</v>
      </c>
      <c r="N29" s="15">
        <v>2775</v>
      </c>
      <c r="O29" s="39" t="s">
        <v>118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116</v>
      </c>
      <c r="N30" s="15">
        <v>500</v>
      </c>
      <c r="O30" s="39" t="s">
        <v>117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120</v>
      </c>
      <c r="N31" s="15">
        <v>1550</v>
      </c>
      <c r="O31" s="39" t="s">
        <v>117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121</v>
      </c>
      <c r="N32" s="15">
        <v>120</v>
      </c>
      <c r="O32" s="39" t="s">
        <v>117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129</v>
      </c>
      <c r="N33" s="15">
        <v>3293</v>
      </c>
      <c r="O33" s="39" t="s">
        <v>123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122</v>
      </c>
      <c r="N34" s="15">
        <v>1500</v>
      </c>
      <c r="O34" s="39" t="s">
        <v>123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124</v>
      </c>
      <c r="N35" s="15">
        <v>10875</v>
      </c>
      <c r="O35" s="39" t="s">
        <v>125</v>
      </c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139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329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6</v>
      </c>
      <c r="M4" s="36" t="s">
        <v>146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46074.589057870369</v>
      </c>
      <c r="C5">
        <f t="shared" ref="C5:C68" si="0">IF(ISNUMBER(E5), IF(ISNUMBER(C4), C4+1, 1), "")</f>
        <v>1</v>
      </c>
      <c r="D5" t="s">
        <v>140</v>
      </c>
      <c r="E5">
        <v>1</v>
      </c>
      <c r="F5">
        <v>15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46074.589057870369</v>
      </c>
      <c r="C6">
        <f t="shared" si="0"/>
        <v>2</v>
      </c>
      <c r="D6" t="s">
        <v>141</v>
      </c>
      <c r="E6">
        <v>2</v>
      </c>
      <c r="F6">
        <v>12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24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46074.589057870369</v>
      </c>
      <c r="C7">
        <f t="shared" si="0"/>
        <v>3</v>
      </c>
      <c r="D7" t="s">
        <v>142</v>
      </c>
      <c r="E7">
        <v>1</v>
      </c>
      <c r="F7">
        <v>75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75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46074.589057870369</v>
      </c>
      <c r="C8">
        <f t="shared" si="0"/>
        <v>4</v>
      </c>
      <c r="D8" t="s">
        <v>143</v>
      </c>
      <c r="E8">
        <v>1</v>
      </c>
      <c r="F8">
        <v>80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80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46074.589057870369</v>
      </c>
      <c r="C9">
        <f t="shared" si="0"/>
        <v>5</v>
      </c>
      <c r="D9" t="s">
        <v>144</v>
      </c>
      <c r="E9">
        <v>1</v>
      </c>
      <c r="F9">
        <v>20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46074.589057870369</v>
      </c>
      <c r="C10">
        <f t="shared" si="0"/>
        <v>6</v>
      </c>
      <c r="D10" t="s">
        <v>145</v>
      </c>
      <c r="E10">
        <v>1</v>
      </c>
      <c r="F10">
        <v>115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115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46074.589057870369</v>
      </c>
      <c r="C11" t="str">
        <f t="shared" si="0"/>
        <v/>
      </c>
      <c r="H11" s="5" t="str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46074.589057870369</v>
      </c>
      <c r="C12" t="str">
        <f t="shared" si="0"/>
        <v/>
      </c>
      <c r="H12" s="5" t="str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46074.589057870369</v>
      </c>
      <c r="C13" t="str">
        <f t="shared" si="0"/>
        <v/>
      </c>
      <c r="H13" s="5" t="str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46074.589057870369</v>
      </c>
      <c r="C14" t="str">
        <f t="shared" si="0"/>
        <v/>
      </c>
      <c r="H14" s="5" t="str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46074.589057870369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46074.589057870369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46074.589057870369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46074.589057870369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46074.589057870369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46074.589057870369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46074.589057870369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46074.589057870369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46074.589057870369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46074.589057870369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46074.589057870369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46074.589057870369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46074.589057870369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46074.589057870369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46074.589057870369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46074.589057870369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46074.589057870369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46074.589057870369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46074.589057870369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46074.589057870369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46074.589057870369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46074.589057870369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46074.589057870369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46074.589057870369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46074.589057870369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16-02-26</vt:lpstr>
      <vt:lpstr>Martes 17-02-26</vt:lpstr>
      <vt:lpstr>Miercoles 18-02-26</vt:lpstr>
      <vt:lpstr>Jueves 19-02-26</vt:lpstr>
      <vt:lpstr>Viernes 20-02-26</vt:lpstr>
      <vt:lpstr>Sabado 21-02-26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2026-02-21T20:08:21Z</dcterms:modified>
</cp:coreProperties>
</file>