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2ECA50B2-897C-4DBE-9379-897A27D4D4CB}" xr6:coauthVersionLast="47" xr6:coauthVersionMax="47" xr10:uidLastSave="{00000000-0000-0000-0000-000000000000}"/>
  <bookViews>
    <workbookView xWindow="-120" yWindow="-120" windowWidth="29040" windowHeight="17640" firstSheet="1" activeTab="6" xr2:uid="{00000000-000D-0000-FFFF-FFFF00000000}"/>
  </bookViews>
  <sheets>
    <sheet name="Lunes 02-02-26" sheetId="1" r:id="rId1"/>
    <sheet name="Martes 03-02-26" sheetId="2" r:id="rId2"/>
    <sheet name="Miercoles 04-02-26" sheetId="3" r:id="rId3"/>
    <sheet name="Jueves 05-02-26" sheetId="4" r:id="rId4"/>
    <sheet name="Gráfico1" sheetId="9" r:id="rId5"/>
    <sheet name="VIERNES 06-02-26" sheetId="5" r:id="rId6"/>
    <sheet name="Sabado 07-02-26" sheetId="6" r:id="rId7"/>
    <sheet name="Domingo" sheetId="8" r:id="rId8"/>
    <sheet name="Cambios" sheetId="7" r:id="rId9"/>
  </sheets>
  <definedNames>
    <definedName name="_xlnm._FilterDatabase" localSheetId="0" hidden="1">'Lunes 02-02-26'!$B$4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9" i="3"/>
  <c r="C10" i="3" s="1"/>
  <c r="C11" i="3" s="1"/>
  <c r="C12" i="3" s="1"/>
  <c r="C13" i="3" s="1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K4" i="8" l="1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E39" i="3"/>
  <c r="K3" i="3" s="1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<sst xmlns="http://schemas.openxmlformats.org/spreadsheetml/2006/main" count="324" uniqueCount="149">
  <si>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</si>
  <si>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</si>
  <si>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</si>
  <si>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</si>
  <si>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</si>
  <si>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</si>
  <si>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</si>
  <si>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</si>
  <si>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</si>
  <si>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</si>
  <si>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</si>
  <si>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</si>
  <si>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</si>
  <si>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</si>
  <si>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</si>
  <si>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</si>
  <si>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</si>
  <si>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</si>
  <si>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</si>
  <si>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</si>
  <si>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</si>
  <si>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</si>
  <si>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</si>
  <si>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</si>
  <si>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</si>
  <si>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02 DE FEBRERO-26</t>
  </si>
  <si>
    <t xml:space="preserve">FOCO DIRECCIONAL </t>
  </si>
  <si>
    <t>CHICOTE DE CLUTH DM200</t>
  </si>
  <si>
    <t>X</t>
  </si>
  <si>
    <t>PILA 12N5 3-B</t>
  </si>
  <si>
    <t>PASTAS DE CLUTH 250Z</t>
  </si>
  <si>
    <t>BALATA DE DISCO DS150</t>
  </si>
  <si>
    <t>ACEITE LUBER</t>
  </si>
  <si>
    <t xml:space="preserve">FUSIBLES </t>
  </si>
  <si>
    <t xml:space="preserve">BALATA TAMBOR CHICO </t>
  </si>
  <si>
    <t>BUJIA D8</t>
  </si>
  <si>
    <t>FOCO H4 HALOGENO</t>
  </si>
  <si>
    <t>JUNTA DE CABEZA DS150</t>
  </si>
  <si>
    <t>DIRECCIONAL DE PULSAR 200NS</t>
  </si>
  <si>
    <t>RETEN DE MOTOR FT150</t>
  </si>
  <si>
    <t>BALATA DE TAMBOR  DS150 WAPEMEX</t>
  </si>
  <si>
    <t>FILTRO DE GASOLINA CARTON</t>
  </si>
  <si>
    <t xml:space="preserve">CAMARA 90-90-21  CAMARA DE OSCAR </t>
  </si>
  <si>
    <t>ACEITE MOTUL 3000</t>
  </si>
  <si>
    <t>Martes 03 DE FEBRERO-26</t>
  </si>
  <si>
    <t>CHICOTE DE VELOCIMETRO DM200</t>
  </si>
  <si>
    <t>SUWITH UNIVERSAL 4 PUNTAS</t>
  </si>
  <si>
    <t>ACEITE REPSOL</t>
  </si>
  <si>
    <t>PILA 12N7 3B QLINK</t>
  </si>
  <si>
    <t>BUJIA C7</t>
  </si>
  <si>
    <t xml:space="preserve">FILTRO DE GASOLINA CARTON </t>
  </si>
  <si>
    <t>BALATA DE TAMBOR DS150 WAPEMEX</t>
  </si>
  <si>
    <t xml:space="preserve">FOCO H6 LED </t>
  </si>
  <si>
    <t>PEDIDO MERCADO</t>
  </si>
  <si>
    <t xml:space="preserve">PEDIDO ACEITE </t>
  </si>
  <si>
    <t>CADENA 428 X 136 ITALIKA</t>
  </si>
  <si>
    <t xml:space="preserve">CUENTA DE LA SEMANA PASADA $ 16501.5  MENOS $ 2330 QUEDA $14171.5 MENOS PEDIDO AKRON $ 3045 QUEDA $ 11126.5 </t>
  </si>
  <si>
    <t>Miercoles 04 DE FEBRERO-26</t>
  </si>
  <si>
    <t xml:space="preserve">MANGUERA DE GASOLINA </t>
  </si>
  <si>
    <t>CAMARA 2.75.18</t>
  </si>
  <si>
    <t>GOMAS DE IMPACTO FT150</t>
  </si>
  <si>
    <t>LUBRICANTE DE CADENA</t>
  </si>
  <si>
    <t>PILLA 6.5 QLINK</t>
  </si>
  <si>
    <t>MANIJA DE ATV</t>
  </si>
  <si>
    <t xml:space="preserve">FOCO H4 HALOGENO ITALIKA </t>
  </si>
  <si>
    <t>POSAPIES TRASEROS DM200</t>
  </si>
  <si>
    <t>FARO DE FT150</t>
  </si>
  <si>
    <t>CALAVERA DE DM200</t>
  </si>
  <si>
    <t>SALPICADERA TRASERA DE DM200</t>
  </si>
  <si>
    <t>CAPUCHON DE BUJIA DS150</t>
  </si>
  <si>
    <t>CLAXON DS150</t>
  </si>
  <si>
    <t xml:space="preserve">FOCO LED H4 </t>
  </si>
  <si>
    <t xml:space="preserve">GUANTES </t>
  </si>
  <si>
    <t>Jueves 05 DE FEBRERO -26</t>
  </si>
  <si>
    <t>CINTA DE AISLAR PEQUEÑA</t>
  </si>
  <si>
    <t>AHOGADOR WS150</t>
  </si>
  <si>
    <t>MANDO DERECHO WS150</t>
  </si>
  <si>
    <t>PILA 12N7 3B WAPEMEX</t>
  </si>
  <si>
    <t>KIND DE SPROKET FT125</t>
  </si>
  <si>
    <t xml:space="preserve">PILA 6.5 WAPEMEX </t>
  </si>
  <si>
    <t>SALPICADERA TRASERA DM200</t>
  </si>
  <si>
    <t>LIMPIADOR DE CARBURADOR AXPRO</t>
  </si>
  <si>
    <t>ACEITE LUBER FUERON PARA MOTO DE D</t>
  </si>
  <si>
    <t>CALAVERA TRASERA DM200</t>
  </si>
  <si>
    <t xml:space="preserve">FILTRO DE ACEITE </t>
  </si>
  <si>
    <t>TORNILLO M10</t>
  </si>
  <si>
    <t xml:space="preserve">GOGLEES </t>
  </si>
  <si>
    <t>FILTRO DE AIRE DOMINAR 400</t>
  </si>
  <si>
    <t>PILA 12N7 3-B WAPEMEX</t>
  </si>
  <si>
    <t>BANDA POWER LINK 743-20-30</t>
  </si>
  <si>
    <t xml:space="preserve">FOCOS H4 HALOGENOS </t>
  </si>
  <si>
    <t>ESPEJOS COFE RANCING</t>
  </si>
  <si>
    <t>Viernes 06 DE FEBRERO-26</t>
  </si>
  <si>
    <t>P.MERCADO</t>
  </si>
  <si>
    <t>MARTES 03 DE FEBRERO-26</t>
  </si>
  <si>
    <t>P.ACEITE</t>
  </si>
  <si>
    <t>VIERNES 06 DE FEBRERO-26</t>
  </si>
  <si>
    <t>PAGOYAS</t>
  </si>
  <si>
    <t>TOTAL</t>
  </si>
  <si>
    <t>TIRAS LED</t>
  </si>
  <si>
    <t>GOGLEES</t>
  </si>
  <si>
    <t>INTERRUPOR DE FRENO FT150</t>
  </si>
  <si>
    <t>MANGUERA DE GASOLINA 1</t>
  </si>
  <si>
    <t>P.WAPEMEX</t>
  </si>
  <si>
    <t>FILTRO DE AIRE DM200</t>
  </si>
  <si>
    <t>AJUSTADOR DE CADENA DM200</t>
  </si>
  <si>
    <t>LUBRICANTE PARA CADENA LUBER</t>
  </si>
  <si>
    <t xml:space="preserve">FILTRO DE GASOLINA LAVABLE </t>
  </si>
  <si>
    <t>CHICOTE DE CLUTH 150Z</t>
  </si>
  <si>
    <t>BUJE DE DM200</t>
  </si>
  <si>
    <t xml:space="preserve">SEGURO DE PIÑON </t>
  </si>
  <si>
    <t>MANIJA IZQUIERDA 150Z</t>
  </si>
  <si>
    <t xml:space="preserve">TOTAL DE EGRESOS </t>
  </si>
  <si>
    <t>TANQUE DE GASOLINA FT125 ROJA</t>
  </si>
  <si>
    <t>ACIENTO FT125</t>
  </si>
  <si>
    <t>BALATA DE TAMBOR FT150</t>
  </si>
  <si>
    <t>STIKER</t>
  </si>
  <si>
    <t>BALERO 6201</t>
  </si>
  <si>
    <t>TAZAS DE DIRECCION FT150</t>
  </si>
  <si>
    <t xml:space="preserve">TERMINAL DE BACTERIA </t>
  </si>
  <si>
    <t>SALPICADERA DELANTERA 150Z</t>
  </si>
  <si>
    <t xml:space="preserve">CHICOTED E AHOGADOR ITALIKA </t>
  </si>
  <si>
    <t>P.ITALIKA</t>
  </si>
  <si>
    <r>
      <rPr>
        <b/>
        <sz val="14"/>
        <color theme="1"/>
        <rFont val="Calibri"/>
        <family val="2"/>
        <scheme val="minor"/>
      </rPr>
      <t>CORTES DE LA SEMANA   CUENTA SEMANA PAS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LUNES 02 DE FEBRERO-26                $16501.5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$ 2084               MENOS $16418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MARTES 03 DE FEBRERO-26     QUEDA $83.5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$ 1585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04 DE FEBRERO-26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$ 2544.5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JUEVES 05 DE FEBRERO-26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$ 3463.5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VIERNES 06 DE FEBRERO-26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 $3184.5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20"/>
        <color theme="1"/>
        <rFont val="Calibri"/>
        <family val="2"/>
        <scheme val="minor"/>
      </rPr>
      <t xml:space="preserve">TOTAL$ 12861.5 
TOTAL EN CAJA $ 12945 </t>
    </r>
  </si>
  <si>
    <t>Sabado 07 DE FEBRERO-26</t>
  </si>
  <si>
    <t>COMIDA</t>
  </si>
  <si>
    <t xml:space="preserve">SEGURO DE CADENA 520 </t>
  </si>
  <si>
    <t>ACEITE AKRON</t>
  </si>
  <si>
    <t xml:space="preserve">FOCO DE STOP </t>
  </si>
  <si>
    <t>DISCO DELANTERO DM200</t>
  </si>
  <si>
    <t>EJE DE RUEDA TRASERA DM200</t>
  </si>
  <si>
    <t>GUANTES VERDES</t>
  </si>
  <si>
    <t xml:space="preserve">CADENA 520 CON ORING </t>
  </si>
  <si>
    <t>PUÑOS FT150 YOG</t>
  </si>
  <si>
    <t>P.0SCAR</t>
  </si>
  <si>
    <t xml:space="preserve">PEGAMENTO WURT </t>
  </si>
  <si>
    <t>TUBO MOVIL DS150</t>
  </si>
  <si>
    <t>ACEITE TOP RANCIN</t>
  </si>
  <si>
    <t>JUNTA DE ESTATOR FT150</t>
  </si>
  <si>
    <t>ESTATOR FT150 WINMEX</t>
  </si>
  <si>
    <t>SEGURO DE CADENA 428</t>
  </si>
  <si>
    <t xml:space="preserve">ANTICONGELANTE </t>
  </si>
  <si>
    <t>CHICOTE DE CLUTH UNIVERSAL</t>
  </si>
  <si>
    <t>POPOTE PARA RIND ROSA</t>
  </si>
  <si>
    <t xml:space="preserve">BALATA DELANTERA MT03 </t>
  </si>
  <si>
    <t xml:space="preserve">DIRECCIONALES UNIVERSALES </t>
  </si>
  <si>
    <t>DESENGRASANTE PARA CADENA WURT</t>
  </si>
  <si>
    <t>CLAXON</t>
  </si>
  <si>
    <r>
      <t xml:space="preserve">CUENTA EN CAJA TOTAL $ 12945 MENOS $ 50 COMIDA QUEDA $ 12895 MENOS PEDIDO DE OSCAR $ 4856 QUEDA $8039 
CUENTA DE HOY SABADO $ 2940 MENOS $ 300 PAGO DE YAS QUEDA $ 2640 MAS LO QUE QUEDA EN CAJA $ 8039 
</t>
    </r>
    <r>
      <rPr>
        <b/>
        <sz val="24"/>
        <color rgb="FFFF0000"/>
        <rFont val="Calibri"/>
        <family val="2"/>
        <scheme val="minor"/>
      </rPr>
      <t xml:space="preserve">TOTAL EN CAJA $ 10679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</si>
</sst>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4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</cellXfs>
  <cellStyles count="3">
    <cellStyle name="20% - Énfasis1" xfId="2" builtinId="30"/>
    <cellStyle name="Moneda" xfId="1" builtinId="4"/>
    <cellStyle name="Normal" xfId="0" builtinId="0"/>
  </cellStyles>
  <dxfs count="2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6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tyles" Target="styles.xml"/><Relationship Id="rId5" Type="http://schemas.openxmlformats.org/officeDocument/2006/relationships/chartsheet" Target="chartsheets/sheet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'VIERNES 06-02-26'!$M$26:$O$32</c:f>
              <c:multiLvlStrCache>
                <c:ptCount val="7"/>
                <c:lvl>
                  <c:pt idx="0">
                    <c:v>Comentarios</c:v>
                  </c:pt>
                  <c:pt idx="1">
                    <c:v>MARTES 03 DE FEBRERO-26</c:v>
                  </c:pt>
                  <c:pt idx="2">
                    <c:v>MARTES 03 DE FEBRERO-26</c:v>
                  </c:pt>
                  <c:pt idx="3">
                    <c:v>VIERNES 06 DE FEBRERO-26</c:v>
                  </c:pt>
                  <c:pt idx="4">
                    <c:v>VIERNES 06 DE FEBRERO-26</c:v>
                  </c:pt>
                  <c:pt idx="5">
                    <c:v>VIERNES 06 DE FEBRERO-26</c:v>
                  </c:pt>
                  <c:pt idx="6">
                    <c:v>TOTAL DE EGRESOS </c:v>
                  </c:pt>
                </c:lvl>
                <c:lvl>
                  <c:pt idx="0">
                    <c:v>Costo</c:v>
                  </c:pt>
                  <c:pt idx="1">
                    <c:v> $2,330.00 </c:v>
                  </c:pt>
                  <c:pt idx="2">
                    <c:v> $3,045.00 </c:v>
                  </c:pt>
                  <c:pt idx="3">
                    <c:v> $9,515.00 </c:v>
                  </c:pt>
                  <c:pt idx="4">
                    <c:v> $28.00 </c:v>
                  </c:pt>
                  <c:pt idx="5">
                    <c:v> $1,500.00 </c:v>
                  </c:pt>
                  <c:pt idx="6">
                    <c:v> $16,418.00 </c:v>
                  </c:pt>
                </c:lvl>
                <c:lvl>
                  <c:pt idx="0">
                    <c:v>Egreso</c:v>
                  </c:pt>
                  <c:pt idx="1">
                    <c:v>P.MERCADO</c:v>
                  </c:pt>
                  <c:pt idx="2">
                    <c:v>P.ACEITE</c:v>
                  </c:pt>
                  <c:pt idx="3">
                    <c:v>P.WAPEMEX</c:v>
                  </c:pt>
                  <c:pt idx="4">
                    <c:v>P.ITALIKA</c:v>
                  </c:pt>
                  <c:pt idx="5">
                    <c:v>PAGOYAS</c:v>
                  </c:pt>
                  <c:pt idx="6">
                    <c:v>TOTAL</c:v>
                  </c:pt>
                </c:lvl>
              </c:multiLvlStrCache>
            </c:multiLvlStrRef>
          </c:cat>
          <c:val>
            <c:numRef>
              <c:f>'VIERNES 06-02-26'!$P$26:$P$32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6AA7-4C3D-A006-1FE90BC4480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'VIERNES 06-02-26'!$M$26:$O$32</c:f>
              <c:multiLvlStrCache>
                <c:ptCount val="7"/>
                <c:lvl>
                  <c:pt idx="0">
                    <c:v>Comentarios</c:v>
                  </c:pt>
                  <c:pt idx="1">
                    <c:v>MARTES 03 DE FEBRERO-26</c:v>
                  </c:pt>
                  <c:pt idx="2">
                    <c:v>MARTES 03 DE FEBRERO-26</c:v>
                  </c:pt>
                  <c:pt idx="3">
                    <c:v>VIERNES 06 DE FEBRERO-26</c:v>
                  </c:pt>
                  <c:pt idx="4">
                    <c:v>VIERNES 06 DE FEBRERO-26</c:v>
                  </c:pt>
                  <c:pt idx="5">
                    <c:v>VIERNES 06 DE FEBRERO-26</c:v>
                  </c:pt>
                  <c:pt idx="6">
                    <c:v>TOTAL DE EGRESOS </c:v>
                  </c:pt>
                </c:lvl>
                <c:lvl>
                  <c:pt idx="0">
                    <c:v>Costo</c:v>
                  </c:pt>
                  <c:pt idx="1">
                    <c:v> $2,330.00 </c:v>
                  </c:pt>
                  <c:pt idx="2">
                    <c:v> $3,045.00 </c:v>
                  </c:pt>
                  <c:pt idx="3">
                    <c:v> $9,515.00 </c:v>
                  </c:pt>
                  <c:pt idx="4">
                    <c:v> $28.00 </c:v>
                  </c:pt>
                  <c:pt idx="5">
                    <c:v> $1,500.00 </c:v>
                  </c:pt>
                  <c:pt idx="6">
                    <c:v> $16,418.00 </c:v>
                  </c:pt>
                </c:lvl>
                <c:lvl>
                  <c:pt idx="0">
                    <c:v>Egreso</c:v>
                  </c:pt>
                  <c:pt idx="1">
                    <c:v>P.MERCADO</c:v>
                  </c:pt>
                  <c:pt idx="2">
                    <c:v>P.ACEITE</c:v>
                  </c:pt>
                  <c:pt idx="3">
                    <c:v>P.WAPEMEX</c:v>
                  </c:pt>
                  <c:pt idx="4">
                    <c:v>P.ITALIKA</c:v>
                  </c:pt>
                  <c:pt idx="5">
                    <c:v>PAGOYAS</c:v>
                  </c:pt>
                  <c:pt idx="6">
                    <c:v>TOTAL</c:v>
                  </c:pt>
                </c:lvl>
              </c:multiLvlStrCache>
            </c:multiLvlStrRef>
          </c:cat>
          <c:val>
            <c:numRef>
              <c:f>'VIERNES 06-02-26'!$Q$26:$Q$32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1-6AA7-4C3D-A006-1FE90BC4480A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'VIERNES 06-02-26'!$M$26:$O$32</c:f>
              <c:multiLvlStrCache>
                <c:ptCount val="7"/>
                <c:lvl>
                  <c:pt idx="0">
                    <c:v>Comentarios</c:v>
                  </c:pt>
                  <c:pt idx="1">
                    <c:v>MARTES 03 DE FEBRERO-26</c:v>
                  </c:pt>
                  <c:pt idx="2">
                    <c:v>MARTES 03 DE FEBRERO-26</c:v>
                  </c:pt>
                  <c:pt idx="3">
                    <c:v>VIERNES 06 DE FEBRERO-26</c:v>
                  </c:pt>
                  <c:pt idx="4">
                    <c:v>VIERNES 06 DE FEBRERO-26</c:v>
                  </c:pt>
                  <c:pt idx="5">
                    <c:v>VIERNES 06 DE FEBRERO-26</c:v>
                  </c:pt>
                  <c:pt idx="6">
                    <c:v>TOTAL DE EGRESOS </c:v>
                  </c:pt>
                </c:lvl>
                <c:lvl>
                  <c:pt idx="0">
                    <c:v>Costo</c:v>
                  </c:pt>
                  <c:pt idx="1">
                    <c:v> $2,330.00 </c:v>
                  </c:pt>
                  <c:pt idx="2">
                    <c:v> $3,045.00 </c:v>
                  </c:pt>
                  <c:pt idx="3">
                    <c:v> $9,515.00 </c:v>
                  </c:pt>
                  <c:pt idx="4">
                    <c:v> $28.00 </c:v>
                  </c:pt>
                  <c:pt idx="5">
                    <c:v> $1,500.00 </c:v>
                  </c:pt>
                  <c:pt idx="6">
                    <c:v> $16,418.00 </c:v>
                  </c:pt>
                </c:lvl>
                <c:lvl>
                  <c:pt idx="0">
                    <c:v>Egreso</c:v>
                  </c:pt>
                  <c:pt idx="1">
                    <c:v>P.MERCADO</c:v>
                  </c:pt>
                  <c:pt idx="2">
                    <c:v>P.ACEITE</c:v>
                  </c:pt>
                  <c:pt idx="3">
                    <c:v>P.WAPEMEX</c:v>
                  </c:pt>
                  <c:pt idx="4">
                    <c:v>P.ITALIKA</c:v>
                  </c:pt>
                  <c:pt idx="5">
                    <c:v>PAGOYAS</c:v>
                  </c:pt>
                  <c:pt idx="6">
                    <c:v>TOTAL</c:v>
                  </c:pt>
                </c:lvl>
              </c:multiLvlStrCache>
            </c:multiLvlStrRef>
          </c:cat>
          <c:val>
            <c:numRef>
              <c:f>'VIERNES 06-02-26'!$R$26:$R$32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2-6AA7-4C3D-A006-1FE90BC448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5866479"/>
        <c:axId val="1245852079"/>
      </c:barChart>
      <c:catAx>
        <c:axId val="124586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45852079"/>
        <c:crosses val="autoZero"/>
        <c:auto val="1"/>
        <c:lblAlgn val="ctr"/>
        <c:lblOffset val="100"/>
        <c:noMultiLvlLbl val="0"/>
      </c:catAx>
      <c:valAx>
        <c:axId val="12458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4586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3DCA696-29CF-4ED0-9622-9EAE06D2C163}">
  <sheetPr/>
  <sheetViews>
    <sheetView zoomScale="1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222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6934DB-14F0-3D22-E40D-1B34939B201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8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7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6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5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4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3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2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1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20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9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8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7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6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5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D42" sqref="D4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21" t="s">
        <v>25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2" t="s">
        <v>17</v>
      </c>
      <c r="K3" s="6">
        <f>SUM(Tabla1[Importa])</f>
        <v>2084</v>
      </c>
      <c r="M3" s="24" t="s">
        <v>6</v>
      </c>
      <c r="N3" s="24"/>
      <c r="O3" s="24"/>
      <c r="P3" s="24"/>
      <c r="Q3" s="24"/>
      <c r="R3" s="24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21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IF(Tabla1[[#This Row],['#]]&lt;&gt;"", NOW(), "")</f>
        <v>46060.79201921296</v>
      </c>
      <c r="C5">
        <f>IF(ISNUMBER(E5), IF(ISNUMBER(C4), C4+1, 1), "")</f>
        <v>1</v>
      </c>
      <c r="D5" t="s">
        <v>26</v>
      </c>
      <c r="E5">
        <v>1</v>
      </c>
      <c r="F5">
        <v>12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12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46060.79201921296</v>
      </c>
      <c r="C6">
        <f t="shared" ref="C6:C36" si="0">IF(ISNUMBER(E6), IF(ISNUMBER(C5), C5+1, 1), "")</f>
        <v>2</v>
      </c>
      <c r="D6" t="s">
        <v>27</v>
      </c>
      <c r="E6">
        <v>1</v>
      </c>
      <c r="F6">
        <v>45</v>
      </c>
      <c r="G6" t="s">
        <v>28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40.5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46060.79201921296</v>
      </c>
      <c r="C7">
        <f t="shared" si="0"/>
        <v>3</v>
      </c>
      <c r="D7" t="s">
        <v>29</v>
      </c>
      <c r="E7">
        <v>1</v>
      </c>
      <c r="F7">
        <v>510</v>
      </c>
      <c r="G7" t="s">
        <v>28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459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46060.79201921296</v>
      </c>
      <c r="C8">
        <f t="shared" si="0"/>
        <v>4</v>
      </c>
      <c r="D8" t="s">
        <v>30</v>
      </c>
      <c r="E8">
        <v>1</v>
      </c>
      <c r="F8">
        <v>89</v>
      </c>
      <c r="G8" t="s">
        <v>28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80.5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46060.79201921296</v>
      </c>
      <c r="C9">
        <f t="shared" si="0"/>
        <v>5</v>
      </c>
      <c r="D9" t="s">
        <v>31</v>
      </c>
      <c r="E9">
        <v>1</v>
      </c>
      <c r="F9">
        <v>36</v>
      </c>
      <c r="G9" t="s">
        <v>28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32.5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46060.79201921296</v>
      </c>
      <c r="C10">
        <f t="shared" si="0"/>
        <v>6</v>
      </c>
      <c r="D10" t="s">
        <v>32</v>
      </c>
      <c r="E10">
        <v>1</v>
      </c>
      <c r="F10">
        <v>90</v>
      </c>
      <c r="G10" t="s">
        <v>28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85.5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46060.79201921296</v>
      </c>
      <c r="C11">
        <f t="shared" si="0"/>
        <v>7</v>
      </c>
      <c r="D11" t="s">
        <v>33</v>
      </c>
      <c r="E11">
        <v>5</v>
      </c>
      <c r="F11">
        <v>3</v>
      </c>
      <c r="G11" t="s">
        <v>28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13.5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46060.79201921296</v>
      </c>
      <c r="C12">
        <f t="shared" si="0"/>
        <v>8</v>
      </c>
      <c r="D12" t="s">
        <v>32</v>
      </c>
      <c r="E12">
        <v>1</v>
      </c>
      <c r="F12">
        <v>90</v>
      </c>
      <c r="G12" t="s">
        <v>28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85.5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46060.79201921296</v>
      </c>
      <c r="C13">
        <f t="shared" si="0"/>
        <v>9</v>
      </c>
      <c r="D13" t="s">
        <v>34</v>
      </c>
      <c r="E13">
        <v>2</v>
      </c>
      <c r="F13">
        <v>78</v>
      </c>
      <c r="G13" t="s">
        <v>28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140.5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46060.79201921296</v>
      </c>
      <c r="C14">
        <f t="shared" si="0"/>
        <v>10</v>
      </c>
      <c r="D14" t="s">
        <v>35</v>
      </c>
      <c r="E14">
        <v>1</v>
      </c>
      <c r="F14">
        <v>57</v>
      </c>
      <c r="G14" t="s">
        <v>28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51.5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46060.79201921296</v>
      </c>
      <c r="C15">
        <f t="shared" si="0"/>
        <v>11</v>
      </c>
      <c r="D15" t="s">
        <v>36</v>
      </c>
      <c r="E15">
        <v>1</v>
      </c>
      <c r="F15">
        <v>45</v>
      </c>
      <c r="G15" t="s">
        <v>28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40.5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46060.79201921296</v>
      </c>
      <c r="C16">
        <f t="shared" si="0"/>
        <v>12</v>
      </c>
      <c r="D16" t="s">
        <v>37</v>
      </c>
      <c r="E16">
        <v>1</v>
      </c>
      <c r="F16">
        <v>22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22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46060.79201921296</v>
      </c>
      <c r="C17">
        <f t="shared" si="0"/>
        <v>13</v>
      </c>
      <c r="D17" t="s">
        <v>38</v>
      </c>
      <c r="E17">
        <v>1</v>
      </c>
      <c r="F17">
        <v>140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140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46060.79201921296</v>
      </c>
      <c r="C18">
        <f t="shared" si="0"/>
        <v>14</v>
      </c>
      <c r="D18" t="s">
        <v>38</v>
      </c>
      <c r="E18">
        <v>1</v>
      </c>
      <c r="F18">
        <v>140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140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46060.79201921296</v>
      </c>
      <c r="C19">
        <f t="shared" si="0"/>
        <v>15</v>
      </c>
      <c r="D19" t="s">
        <v>39</v>
      </c>
      <c r="E19">
        <v>1</v>
      </c>
      <c r="F19">
        <v>50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50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46060.79201921296</v>
      </c>
      <c r="C20">
        <f t="shared" si="0"/>
        <v>16</v>
      </c>
      <c r="D20" t="s">
        <v>40</v>
      </c>
      <c r="E20">
        <v>1</v>
      </c>
      <c r="F20">
        <v>70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70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46060.79201921296</v>
      </c>
      <c r="C21">
        <f t="shared" si="0"/>
        <v>17</v>
      </c>
      <c r="D21" t="s">
        <v>31</v>
      </c>
      <c r="E21">
        <v>1</v>
      </c>
      <c r="F21">
        <v>36</v>
      </c>
      <c r="H21" s="5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>36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46060.79201921296</v>
      </c>
      <c r="C22">
        <f t="shared" si="0"/>
        <v>18</v>
      </c>
      <c r="D22" t="s">
        <v>32</v>
      </c>
      <c r="E22">
        <v>1</v>
      </c>
      <c r="F22">
        <v>90</v>
      </c>
      <c r="H22" s="5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>90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46060.79201921296</v>
      </c>
      <c r="C23">
        <f t="shared" si="0"/>
        <v>19</v>
      </c>
      <c r="D23" t="s">
        <v>41</v>
      </c>
      <c r="E23">
        <v>1</v>
      </c>
      <c r="F23">
        <v>15</v>
      </c>
      <c r="G23" t="s">
        <v>28</v>
      </c>
      <c r="H23" s="5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>13.5</v>
      </c>
    </row>
    <row r="24" spans="2:18" ht="15" customHeight="1" x14ac:dyDescent="0.25">
      <c r="B24" s="18">
        <f ca="1">IF(Tabla1[[#This Row],['#]]&lt;&gt;"", NOW(), "")</f>
        <v>46060.79201921296</v>
      </c>
      <c r="C24">
        <f t="shared" si="0"/>
        <v>20</v>
      </c>
      <c r="D24" t="s">
        <v>42</v>
      </c>
      <c r="E24">
        <v>1</v>
      </c>
      <c r="F24">
        <v>90</v>
      </c>
      <c r="G24" t="s">
        <v>28</v>
      </c>
      <c r="H24" s="5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>81</v>
      </c>
      <c r="M24" s="19" t="s">
        <v>19</v>
      </c>
      <c r="N24" s="19"/>
      <c r="O24" s="19"/>
      <c r="P24" s="19"/>
      <c r="Q24" s="19"/>
      <c r="R24" s="19"/>
    </row>
    <row r="25" spans="2:18" x14ac:dyDescent="0.25">
      <c r="B25" s="18">
        <f ca="1">IF(Tabla1[[#This Row],['#]]&lt;&gt;"", NOW(), "")</f>
        <v>46060.79201921296</v>
      </c>
      <c r="C25">
        <f t="shared" si="0"/>
        <v>21</v>
      </c>
      <c r="D25" t="s">
        <v>43</v>
      </c>
      <c r="E25">
        <v>2</v>
      </c>
      <c r="F25">
        <v>200</v>
      </c>
      <c r="H25" s="5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>400</v>
      </c>
      <c r="M25" s="20"/>
      <c r="N25" s="20"/>
      <c r="O25" s="20"/>
      <c r="P25" s="20"/>
      <c r="Q25" s="20"/>
      <c r="R25" s="20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/>
      </c>
      <c r="M26" s="38" t="s">
        <v>20</v>
      </c>
      <c r="N26" s="38"/>
      <c r="O26" s="14" t="s">
        <v>21</v>
      </c>
      <c r="P26" s="38" t="s">
        <v>22</v>
      </c>
      <c r="Q26" s="38"/>
      <c r="R26" s="38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/>
      </c>
      <c r="M27" s="26"/>
      <c r="N27" s="27"/>
      <c r="O27" s="30"/>
      <c r="P27" s="32"/>
      <c r="Q27" s="33"/>
      <c r="R27" s="34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/>
      </c>
      <c r="M28" s="28"/>
      <c r="N28" s="29"/>
      <c r="O28" s="31"/>
      <c r="P28" s="35"/>
      <c r="Q28" s="36"/>
      <c r="R28" s="37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/>
      </c>
      <c r="M29" s="26"/>
      <c r="N29" s="27"/>
      <c r="O29" s="30"/>
      <c r="P29" s="32"/>
      <c r="Q29" s="33"/>
      <c r="R29" s="34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/>
      </c>
      <c r="M30" s="28"/>
      <c r="N30" s="29"/>
      <c r="O30" s="31"/>
      <c r="P30" s="35"/>
      <c r="Q30" s="36"/>
      <c r="R30" s="37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26"/>
      <c r="N31" s="27"/>
      <c r="O31" s="30"/>
      <c r="P31" s="32"/>
      <c r="Q31" s="33"/>
      <c r="R31" s="34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8"/>
      <c r="N32" s="29"/>
      <c r="O32" s="31"/>
      <c r="P32" s="35"/>
      <c r="Q32" s="36"/>
      <c r="R32" s="37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26"/>
      <c r="N33" s="27"/>
      <c r="O33" s="30"/>
      <c r="P33" s="32"/>
      <c r="Q33" s="33"/>
      <c r="R33" s="34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8"/>
      <c r="N34" s="29"/>
      <c r="O34" s="31"/>
      <c r="P34" s="35"/>
      <c r="Q34" s="36"/>
      <c r="R34" s="37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26"/>
      <c r="N35" s="27"/>
      <c r="O35" s="30"/>
      <c r="P35" s="32"/>
      <c r="Q35" s="33"/>
      <c r="R35" s="34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8"/>
      <c r="N36" s="29"/>
      <c r="O36" s="31"/>
      <c r="P36" s="35"/>
      <c r="Q36" s="36"/>
      <c r="R36" s="37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26"/>
      <c r="N37" s="27"/>
      <c r="O37" s="30"/>
      <c r="P37" s="32"/>
      <c r="Q37" s="33"/>
      <c r="R37" s="34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8"/>
      <c r="N38" s="29"/>
      <c r="O38" s="31"/>
      <c r="P38" s="35"/>
      <c r="Q38" s="36"/>
      <c r="R38" s="37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26"/>
      <c r="N39" s="27"/>
      <c r="O39" s="30"/>
      <c r="P39" s="32"/>
      <c r="Q39" s="33"/>
      <c r="R39" s="34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8"/>
      <c r="N40" s="29"/>
      <c r="O40" s="31"/>
      <c r="P40" s="35"/>
      <c r="Q40" s="36"/>
      <c r="R40" s="37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26"/>
      <c r="N41" s="27"/>
      <c r="O41" s="30"/>
      <c r="P41" s="32"/>
      <c r="Q41" s="33"/>
      <c r="R41" s="34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8"/>
      <c r="N42" s="29"/>
      <c r="O42" s="31"/>
      <c r="P42" s="35"/>
      <c r="Q42" s="36"/>
      <c r="R42" s="37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26"/>
      <c r="N43" s="27"/>
      <c r="O43" s="30"/>
      <c r="P43" s="32"/>
      <c r="Q43" s="33"/>
      <c r="R43" s="34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8"/>
      <c r="N44" s="29"/>
      <c r="O44" s="31"/>
      <c r="P44" s="35"/>
      <c r="Q44" s="36"/>
      <c r="R44" s="37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26"/>
      <c r="N45" s="27"/>
      <c r="O45" s="30"/>
      <c r="P45" s="32"/>
      <c r="Q45" s="33"/>
      <c r="R45" s="34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8"/>
      <c r="N46" s="29"/>
      <c r="O46" s="31"/>
      <c r="P46" s="35"/>
      <c r="Q46" s="36"/>
      <c r="R46" s="37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26"/>
      <c r="N47" s="27"/>
      <c r="O47" s="30"/>
      <c r="P47" s="32"/>
      <c r="Q47" s="33"/>
      <c r="R47" s="34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8"/>
      <c r="N48" s="29"/>
      <c r="O48" s="31"/>
      <c r="P48" s="35"/>
      <c r="Q48" s="36"/>
      <c r="R48" s="37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26"/>
      <c r="N49" s="27"/>
      <c r="O49" s="30"/>
      <c r="P49" s="32"/>
      <c r="Q49" s="33"/>
      <c r="R49" s="34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8"/>
      <c r="N50" s="29"/>
      <c r="O50" s="31"/>
      <c r="P50" s="35"/>
      <c r="Q50" s="36"/>
      <c r="R50" s="37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26"/>
      <c r="N51" s="27"/>
      <c r="O51" s="30"/>
      <c r="P51" s="32"/>
      <c r="Q51" s="33"/>
      <c r="R51" s="34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8"/>
      <c r="N52" s="29"/>
      <c r="O52" s="31"/>
      <c r="P52" s="35"/>
      <c r="Q52" s="36"/>
      <c r="R52" s="37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49:N50"/>
    <mergeCell ref="O49:O50"/>
    <mergeCell ref="P49:R50"/>
    <mergeCell ref="M51:N52"/>
    <mergeCell ref="O51:O52"/>
    <mergeCell ref="P51:R52"/>
    <mergeCell ref="M45:N46"/>
    <mergeCell ref="O45:O46"/>
    <mergeCell ref="P45:R46"/>
    <mergeCell ref="M47:N48"/>
    <mergeCell ref="O47:O48"/>
    <mergeCell ref="P47:R48"/>
    <mergeCell ref="P31:R32"/>
    <mergeCell ref="P33:R34"/>
    <mergeCell ref="P35:R36"/>
    <mergeCell ref="P37:R38"/>
    <mergeCell ref="P39:R40"/>
    <mergeCell ref="O31:O32"/>
    <mergeCell ref="O33:O34"/>
    <mergeCell ref="O35:O36"/>
    <mergeCell ref="O37:O38"/>
    <mergeCell ref="O39:O40"/>
    <mergeCell ref="M31:N32"/>
    <mergeCell ref="M33:N34"/>
    <mergeCell ref="M35:N36"/>
    <mergeCell ref="M37:N38"/>
    <mergeCell ref="M39:N40"/>
    <mergeCell ref="P26:R26"/>
    <mergeCell ref="M26:N26"/>
    <mergeCell ref="M27:N28"/>
    <mergeCell ref="M29:N30"/>
    <mergeCell ref="O27:O28"/>
    <mergeCell ref="O29:O30"/>
    <mergeCell ref="P27:R28"/>
    <mergeCell ref="P29:R30"/>
    <mergeCell ref="M41:N42"/>
    <mergeCell ref="M43:N44"/>
    <mergeCell ref="O41:O42"/>
    <mergeCell ref="O43:O44"/>
    <mergeCell ref="P41:R42"/>
    <mergeCell ref="P43:R44"/>
    <mergeCell ref="M24:R24"/>
    <mergeCell ref="M25:R25"/>
    <mergeCell ref="C2:H2"/>
    <mergeCell ref="M4:R22"/>
    <mergeCell ref="M2:R2"/>
    <mergeCell ref="M3:R3"/>
    <mergeCell ref="J5:K14"/>
  </mergeCells>
  <conditionalFormatting sqref="B5:B103">
    <cfRule type="expression" dxfId="14" priority="1">
      <formula>C5&gt;0&amp;ISBLANK(B5)</formula>
    </cfRule>
  </conditionalFormatting>
  <conditionalFormatting sqref="D5:D6">
    <cfRule type="expression" dxfId="13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J27" sqref="J27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44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SUM(Tabla110[Importa])</f>
        <v>1585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11</v>
      </c>
      <c r="M4" s="23" t="s">
        <v>56</v>
      </c>
      <c r="N4" s="23"/>
      <c r="O4" s="23"/>
      <c r="P4" s="23"/>
      <c r="Q4" s="23"/>
      <c r="R4" s="23"/>
    </row>
    <row r="5" spans="2:18" x14ac:dyDescent="0.25">
      <c r="B5" s="18">
        <f ca="1">IF(Tabla110[[#This Row],['#]]&lt;&gt;"", NOW(), "")</f>
        <v>46060.79201921296</v>
      </c>
      <c r="C5">
        <f t="shared" ref="C5:C68" si="0">IF(ISNUMBER(E5), IF(ISNUMBER(C4), C4+1, 1), "")</f>
        <v>1</v>
      </c>
      <c r="D5" t="s">
        <v>45</v>
      </c>
      <c r="E5">
        <v>1</v>
      </c>
      <c r="F5">
        <v>50</v>
      </c>
      <c r="G5" t="s">
        <v>28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45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46060.79201921296</v>
      </c>
      <c r="C6">
        <f t="shared" si="0"/>
        <v>2</v>
      </c>
      <c r="D6" t="s">
        <v>48</v>
      </c>
      <c r="E6">
        <v>1</v>
      </c>
      <c r="F6">
        <v>700</v>
      </c>
      <c r="G6" t="s">
        <v>28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630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46060.79201921296</v>
      </c>
      <c r="C7">
        <f t="shared" si="0"/>
        <v>3</v>
      </c>
      <c r="D7" t="s">
        <v>46</v>
      </c>
      <c r="E7">
        <v>1</v>
      </c>
      <c r="F7">
        <v>63</v>
      </c>
      <c r="G7" t="s">
        <v>28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57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46060.79201921296</v>
      </c>
      <c r="C8">
        <f t="shared" si="0"/>
        <v>4</v>
      </c>
      <c r="D8" t="s">
        <v>47</v>
      </c>
      <c r="E8">
        <v>1</v>
      </c>
      <c r="F8">
        <v>142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142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46060.79201921296</v>
      </c>
      <c r="C9">
        <f t="shared" si="0"/>
        <v>5</v>
      </c>
      <c r="D9" t="s">
        <v>32</v>
      </c>
      <c r="E9">
        <v>1</v>
      </c>
      <c r="F9">
        <v>90</v>
      </c>
      <c r="G9" t="s">
        <v>28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85.5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46060.79201921296</v>
      </c>
      <c r="C10">
        <f t="shared" si="0"/>
        <v>6</v>
      </c>
      <c r="D10" t="s">
        <v>49</v>
      </c>
      <c r="E10">
        <v>1</v>
      </c>
      <c r="F10">
        <v>57</v>
      </c>
      <c r="G10" t="s">
        <v>28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51.5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46060.79201921296</v>
      </c>
      <c r="C11">
        <f t="shared" si="0"/>
        <v>7</v>
      </c>
      <c r="D11" t="s">
        <v>50</v>
      </c>
      <c r="E11">
        <v>2</v>
      </c>
      <c r="F11">
        <v>15</v>
      </c>
      <c r="G11" t="s">
        <v>28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27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46060.79201921296</v>
      </c>
      <c r="C12">
        <f t="shared" si="0"/>
        <v>8</v>
      </c>
      <c r="D12" t="s">
        <v>51</v>
      </c>
      <c r="E12">
        <v>1</v>
      </c>
      <c r="F12">
        <v>70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70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46060.79201921296</v>
      </c>
      <c r="C13">
        <f t="shared" si="0"/>
        <v>9</v>
      </c>
      <c r="D13" t="s">
        <v>31</v>
      </c>
      <c r="E13">
        <v>1</v>
      </c>
      <c r="F13">
        <v>36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36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46060.79201921296</v>
      </c>
      <c r="C14">
        <f t="shared" si="0"/>
        <v>10</v>
      </c>
      <c r="D14" t="s">
        <v>52</v>
      </c>
      <c r="E14">
        <v>2</v>
      </c>
      <c r="F14">
        <v>135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270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46060.79201921296</v>
      </c>
      <c r="C15">
        <f t="shared" si="0"/>
        <v>11</v>
      </c>
      <c r="D15" t="s">
        <v>55</v>
      </c>
      <c r="E15">
        <v>1</v>
      </c>
      <c r="F15">
        <v>190</v>
      </c>
      <c r="G15" t="s">
        <v>28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171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46060.79201921296</v>
      </c>
      <c r="C16" t="str">
        <f t="shared" si="0"/>
        <v/>
      </c>
      <c r="H16" s="5" t="str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46060.79201921296</v>
      </c>
      <c r="C17" t="str">
        <f t="shared" si="0"/>
        <v/>
      </c>
      <c r="H17" s="5" t="str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46060.79201921296</v>
      </c>
      <c r="C18" t="str">
        <f t="shared" si="0"/>
        <v/>
      </c>
      <c r="H18" s="5" t="str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46060.79201921296</v>
      </c>
      <c r="C19" t="str">
        <f t="shared" si="0"/>
        <v/>
      </c>
      <c r="H19" s="5" t="str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46060.79201921296</v>
      </c>
      <c r="C20" t="str">
        <f t="shared" si="0"/>
        <v/>
      </c>
      <c r="H20" s="5" t="str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46060.79201921296</v>
      </c>
      <c r="C21" t="str">
        <f t="shared" si="0"/>
        <v/>
      </c>
      <c r="H21" s="5" t="str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46060.79201921296</v>
      </c>
      <c r="C22" t="str">
        <f t="shared" si="0"/>
        <v/>
      </c>
      <c r="H22" s="5" t="str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46060.79201921296</v>
      </c>
      <c r="C23" t="str">
        <f t="shared" si="0"/>
        <v/>
      </c>
      <c r="H23" s="5" t="str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46060.79201921296</v>
      </c>
      <c r="C24" t="str">
        <f t="shared" si="0"/>
        <v/>
      </c>
      <c r="H24" s="5" t="str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>
        <f ca="1">IF(Tabla1[[#This Row],['#]]&lt;&gt;"", NOW(), "")</f>
        <v>46060.79201921296</v>
      </c>
      <c r="C25" t="str">
        <f t="shared" si="0"/>
        <v/>
      </c>
      <c r="H25" s="5" t="str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45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 t="s">
        <v>53</v>
      </c>
      <c r="N27" s="15">
        <v>2330</v>
      </c>
      <c r="O27" s="40"/>
      <c r="P27" s="41"/>
      <c r="Q27" s="41"/>
      <c r="R27" s="42"/>
    </row>
    <row r="28" spans="2:18" ht="30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 t="s">
        <v>54</v>
      </c>
      <c r="N28" s="15">
        <v>3045</v>
      </c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2" priority="1">
      <formula>C5&gt;0&amp;ISBLANK(B5)</formula>
    </cfRule>
  </conditionalFormatting>
  <conditionalFormatting sqref="D5:D6">
    <cfRule type="expression" dxfId="11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D23" sqref="D23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57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SUM(Tabla111[Importa])</f>
        <v>2544.5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18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IF(Tabla111[[#This Row],['#]]&lt;&gt;"", NOW(), "")</f>
        <v>46060.79201921296</v>
      </c>
      <c r="C5">
        <f>IF(ISNUMBER(E5), IF(ISNUMBER(C4), C4+1, 1), "")</f>
        <v>1</v>
      </c>
      <c r="D5" t="s">
        <v>58</v>
      </c>
      <c r="E5">
        <v>1</v>
      </c>
      <c r="F5">
        <v>30</v>
      </c>
      <c r="G5" t="s">
        <v>28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27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46060.79201921296</v>
      </c>
      <c r="C6">
        <f>IF(ISNUMBER(E6), IF(ISNUMBER(C5), C5+1, 1), "")</f>
        <v>2</v>
      </c>
      <c r="D6" t="s">
        <v>59</v>
      </c>
      <c r="E6">
        <v>1</v>
      </c>
      <c r="F6">
        <v>62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62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46060.79201921296</v>
      </c>
      <c r="C7">
        <f>IF(ISNUMBER(E7), IF(ISNUMBER(C6), C6+1, 1), "")</f>
        <v>3</v>
      </c>
      <c r="D7" t="s">
        <v>60</v>
      </c>
      <c r="E7">
        <v>1</v>
      </c>
      <c r="F7">
        <v>45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45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46060.79201921296</v>
      </c>
      <c r="C8">
        <f t="shared" ref="C8:C68" si="0">IF(ISNUMBER(E8), IF(ISNUMBER(C7), C7+1, 1), "")</f>
        <v>4</v>
      </c>
      <c r="D8" t="s">
        <v>61</v>
      </c>
      <c r="E8">
        <v>1</v>
      </c>
      <c r="F8">
        <v>90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90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46060.79201921296</v>
      </c>
      <c r="C9">
        <f t="shared" si="0"/>
        <v>5</v>
      </c>
      <c r="D9" t="s">
        <v>62</v>
      </c>
      <c r="E9">
        <v>1</v>
      </c>
      <c r="F9">
        <v>645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645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46060.79201921296</v>
      </c>
      <c r="C10">
        <f t="shared" si="0"/>
        <v>6</v>
      </c>
      <c r="D10" t="s">
        <v>63</v>
      </c>
      <c r="E10">
        <v>1</v>
      </c>
      <c r="F10">
        <v>220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220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46060.79201921296</v>
      </c>
      <c r="C11">
        <f t="shared" si="0"/>
        <v>7</v>
      </c>
      <c r="D11" t="s">
        <v>64</v>
      </c>
      <c r="E11">
        <v>1</v>
      </c>
      <c r="F11">
        <v>45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45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46060.79201921296</v>
      </c>
      <c r="C12">
        <f t="shared" si="0"/>
        <v>8</v>
      </c>
      <c r="D12" t="s">
        <v>65</v>
      </c>
      <c r="E12">
        <v>1</v>
      </c>
      <c r="F12">
        <v>285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285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46060.79201921296</v>
      </c>
      <c r="C13">
        <f t="shared" si="0"/>
        <v>9</v>
      </c>
      <c r="D13" t="s">
        <v>31</v>
      </c>
      <c r="E13">
        <v>1</v>
      </c>
      <c r="F13">
        <v>36</v>
      </c>
      <c r="G13" t="s">
        <v>28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32.5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46060.79201921296</v>
      </c>
      <c r="C14">
        <f t="shared" si="0"/>
        <v>10</v>
      </c>
      <c r="D14" t="s">
        <v>66</v>
      </c>
      <c r="E14">
        <v>1</v>
      </c>
      <c r="F14">
        <v>380</v>
      </c>
      <c r="G14" t="s">
        <v>28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342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46060.79201921296</v>
      </c>
      <c r="C15">
        <f t="shared" si="0"/>
        <v>11</v>
      </c>
      <c r="D15" t="s">
        <v>67</v>
      </c>
      <c r="E15">
        <v>1</v>
      </c>
      <c r="F15">
        <v>110</v>
      </c>
      <c r="G15" t="s">
        <v>28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99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46060.79201921296</v>
      </c>
      <c r="C16">
        <f t="shared" si="0"/>
        <v>12</v>
      </c>
      <c r="D16" t="s">
        <v>68</v>
      </c>
      <c r="E16">
        <v>1</v>
      </c>
      <c r="F16">
        <v>142</v>
      </c>
      <c r="G16" t="s">
        <v>28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128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46060.79201921296</v>
      </c>
      <c r="C17">
        <f t="shared" si="0"/>
        <v>13</v>
      </c>
      <c r="D17" t="s">
        <v>69</v>
      </c>
      <c r="E17">
        <v>2</v>
      </c>
      <c r="F17">
        <v>20</v>
      </c>
      <c r="G17" t="s">
        <v>28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36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46060.79201921296</v>
      </c>
      <c r="C18">
        <f t="shared" si="0"/>
        <v>14</v>
      </c>
      <c r="D18" t="s">
        <v>41</v>
      </c>
      <c r="E18">
        <v>1</v>
      </c>
      <c r="F18">
        <v>15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15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46060.79201921296</v>
      </c>
      <c r="C19">
        <f t="shared" si="0"/>
        <v>15</v>
      </c>
      <c r="D19" t="s">
        <v>35</v>
      </c>
      <c r="E19">
        <v>2</v>
      </c>
      <c r="F19">
        <v>57</v>
      </c>
      <c r="G19" t="s">
        <v>28</v>
      </c>
      <c r="H19" s="5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>103</v>
      </c>
      <c r="M19" s="23"/>
      <c r="N19" s="23"/>
      <c r="O19" s="23"/>
      <c r="P19" s="23"/>
      <c r="Q19" s="23"/>
      <c r="R19" s="23"/>
    </row>
    <row r="20" spans="2:18" x14ac:dyDescent="0.25">
      <c r="C20">
        <f t="shared" si="0"/>
        <v>16</v>
      </c>
      <c r="D20" t="s">
        <v>70</v>
      </c>
      <c r="E20">
        <v>1</v>
      </c>
      <c r="F20">
        <v>50</v>
      </c>
      <c r="H20" s="5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>50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46060.79201921296</v>
      </c>
      <c r="C21">
        <f t="shared" si="0"/>
        <v>17</v>
      </c>
      <c r="D21" t="s">
        <v>71</v>
      </c>
      <c r="E21">
        <v>1</v>
      </c>
      <c r="F21">
        <v>135</v>
      </c>
      <c r="H21" s="5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>135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46060.79201921296</v>
      </c>
      <c r="C22">
        <f t="shared" si="0"/>
        <v>18</v>
      </c>
      <c r="D22" t="s">
        <v>72</v>
      </c>
      <c r="E22">
        <v>1</v>
      </c>
      <c r="F22">
        <v>185</v>
      </c>
      <c r="H22" s="5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>185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46060.79201921296</v>
      </c>
      <c r="C23" t="str">
        <f t="shared" si="0"/>
        <v/>
      </c>
      <c r="H23" s="5" t="str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46060.79201921296</v>
      </c>
      <c r="C24" t="str">
        <f t="shared" si="0"/>
        <v/>
      </c>
      <c r="H24" s="5" t="str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>
        <f ca="1">IF(Tabla1[[#This Row],['#]]&lt;&gt;"", NOW(), "")</f>
        <v>46060.79201921296</v>
      </c>
      <c r="C25" t="str">
        <f t="shared" si="0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E39" s="18" t="str">
        <f ca="1">IF(Tabla1[[#This Row],['#]]&lt;&gt;"", NOW(), "")</f>
        <v/>
      </c>
      <c r="H39" s="5"/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9 B21:B103">
    <cfRule type="expression" dxfId="10" priority="1">
      <formula>C5&gt;0&amp;ISBLANK(B5)</formula>
    </cfRule>
  </conditionalFormatting>
  <conditionalFormatting sqref="D5:D6">
    <cfRule type="expression" dxfId="9" priority="2">
      <formula>E5&gt;0&amp;ISBLANK(D5)</formula>
    </cfRule>
  </conditionalFormatting>
  <conditionalFormatting sqref="E39">
    <cfRule type="expression" dxfId="8" priority="4">
      <formula>C20&gt;0&amp;ISBLANK(E39)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D25" sqref="D25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73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SUM(Tabla112[Importa])</f>
        <v>3463.5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20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IF(Tabla112[[#This Row],['#]]&lt;&gt;"", NOW(), "")</f>
        <v>46060.79201921296</v>
      </c>
      <c r="C5">
        <f t="shared" ref="C5:C68" si="0">IF(ISNUMBER(E5), IF(ISNUMBER(C4), C4+1, 1), "")</f>
        <v>1</v>
      </c>
      <c r="D5" t="s">
        <v>33</v>
      </c>
      <c r="E5">
        <v>2</v>
      </c>
      <c r="F5">
        <v>3</v>
      </c>
      <c r="G5" t="s">
        <v>28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5.5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46060.79201921296</v>
      </c>
      <c r="C6">
        <f t="shared" si="0"/>
        <v>2</v>
      </c>
      <c r="D6" t="s">
        <v>74</v>
      </c>
      <c r="E6">
        <v>1</v>
      </c>
      <c r="F6">
        <v>12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12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46060.79201921296</v>
      </c>
      <c r="C7">
        <f t="shared" si="0"/>
        <v>3</v>
      </c>
      <c r="D7" t="s">
        <v>75</v>
      </c>
      <c r="E7">
        <v>1</v>
      </c>
      <c r="F7">
        <v>104</v>
      </c>
      <c r="G7" t="s">
        <v>28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94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46060.79201921296</v>
      </c>
      <c r="C8">
        <f t="shared" si="0"/>
        <v>4</v>
      </c>
      <c r="D8" t="s">
        <v>76</v>
      </c>
      <c r="E8">
        <v>1</v>
      </c>
      <c r="F8">
        <v>101</v>
      </c>
      <c r="G8" t="s">
        <v>28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91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46060.79201921296</v>
      </c>
      <c r="C9">
        <f t="shared" si="0"/>
        <v>5</v>
      </c>
      <c r="D9" t="s">
        <v>78</v>
      </c>
      <c r="E9">
        <v>1</v>
      </c>
      <c r="F9">
        <v>265</v>
      </c>
      <c r="G9" t="s">
        <v>28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238.5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46060.79201921296</v>
      </c>
      <c r="C10">
        <f t="shared" si="0"/>
        <v>6</v>
      </c>
      <c r="D10" t="s">
        <v>77</v>
      </c>
      <c r="E10">
        <v>1</v>
      </c>
      <c r="F10">
        <v>580</v>
      </c>
      <c r="G10" t="s">
        <v>28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522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46060.79201921296</v>
      </c>
      <c r="C11">
        <f t="shared" si="0"/>
        <v>7</v>
      </c>
      <c r="D11" t="s">
        <v>79</v>
      </c>
      <c r="E11">
        <v>1</v>
      </c>
      <c r="F11">
        <v>478</v>
      </c>
      <c r="G11" t="s">
        <v>28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430.5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46060.79201921296</v>
      </c>
      <c r="C12">
        <f t="shared" si="0"/>
        <v>8</v>
      </c>
      <c r="D12" t="s">
        <v>60</v>
      </c>
      <c r="E12">
        <v>1</v>
      </c>
      <c r="F12">
        <v>45</v>
      </c>
      <c r="G12" t="s">
        <v>28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40.5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46060.79201921296</v>
      </c>
      <c r="C13">
        <f t="shared" si="0"/>
        <v>9</v>
      </c>
      <c r="D13" t="s">
        <v>80</v>
      </c>
      <c r="E13">
        <v>1</v>
      </c>
      <c r="F13">
        <v>142</v>
      </c>
      <c r="G13" t="s">
        <v>28</v>
      </c>
      <c r="H13" s="5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>128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46060.79201921296</v>
      </c>
      <c r="C14">
        <f t="shared" si="0"/>
        <v>10</v>
      </c>
      <c r="D14" t="s">
        <v>81</v>
      </c>
      <c r="E14">
        <v>1</v>
      </c>
      <c r="F14">
        <v>75</v>
      </c>
      <c r="G14" t="s">
        <v>28</v>
      </c>
      <c r="H14" s="5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>67.5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46060.79201921296</v>
      </c>
      <c r="C15">
        <f t="shared" si="0"/>
        <v>11</v>
      </c>
      <c r="D15" t="s">
        <v>82</v>
      </c>
      <c r="E15">
        <v>2</v>
      </c>
      <c r="F15">
        <v>80</v>
      </c>
      <c r="H15" s="5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>160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46060.79201921296</v>
      </c>
      <c r="C16">
        <f t="shared" si="0"/>
        <v>12</v>
      </c>
      <c r="D16" t="s">
        <v>83</v>
      </c>
      <c r="E16">
        <v>1</v>
      </c>
      <c r="F16">
        <v>110</v>
      </c>
      <c r="G16" t="s">
        <v>28</v>
      </c>
      <c r="H16" s="5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>99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46060.79201921296</v>
      </c>
      <c r="C17">
        <f t="shared" si="0"/>
        <v>13</v>
      </c>
      <c r="D17" t="s">
        <v>84</v>
      </c>
      <c r="E17">
        <v>1</v>
      </c>
      <c r="F17">
        <v>60</v>
      </c>
      <c r="H17" s="5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>60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46060.79201921296</v>
      </c>
      <c r="C18">
        <f t="shared" si="0"/>
        <v>14</v>
      </c>
      <c r="D18" t="s">
        <v>85</v>
      </c>
      <c r="E18">
        <v>1</v>
      </c>
      <c r="F18">
        <v>10</v>
      </c>
      <c r="H18" s="5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>10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46060.79201921296</v>
      </c>
      <c r="C19">
        <f t="shared" si="0"/>
        <v>15</v>
      </c>
      <c r="D19" t="s">
        <v>86</v>
      </c>
      <c r="E19">
        <v>1</v>
      </c>
      <c r="F19">
        <v>185</v>
      </c>
      <c r="H19" s="5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>185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46060.79201921296</v>
      </c>
      <c r="C20">
        <f t="shared" si="0"/>
        <v>16</v>
      </c>
      <c r="D20" t="s">
        <v>87</v>
      </c>
      <c r="E20">
        <v>1</v>
      </c>
      <c r="F20">
        <v>150</v>
      </c>
      <c r="G20" t="s">
        <v>28</v>
      </c>
      <c r="H20" s="5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>135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46060.79201921296</v>
      </c>
      <c r="C21">
        <f t="shared" si="0"/>
        <v>17</v>
      </c>
      <c r="D21" t="s">
        <v>88</v>
      </c>
      <c r="E21">
        <v>1</v>
      </c>
      <c r="F21">
        <v>580</v>
      </c>
      <c r="H21" s="5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>580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46060.79201921296</v>
      </c>
      <c r="C22">
        <f t="shared" si="0"/>
        <v>18</v>
      </c>
      <c r="D22" t="s">
        <v>89</v>
      </c>
      <c r="E22">
        <v>1</v>
      </c>
      <c r="F22">
        <v>350</v>
      </c>
      <c r="G22" t="s">
        <v>28</v>
      </c>
      <c r="H22" s="5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>315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46060.79201921296</v>
      </c>
      <c r="C23">
        <f t="shared" si="0"/>
        <v>19</v>
      </c>
      <c r="D23" t="s">
        <v>90</v>
      </c>
      <c r="E23">
        <v>2</v>
      </c>
      <c r="F23">
        <v>40</v>
      </c>
      <c r="G23" t="s">
        <v>28</v>
      </c>
      <c r="H23" s="5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>72</v>
      </c>
    </row>
    <row r="24" spans="2:18" ht="15" customHeight="1" x14ac:dyDescent="0.25">
      <c r="B24" s="18">
        <f ca="1">IF(Tabla1[[#This Row],['#]]&lt;&gt;"", NOW(), "")</f>
        <v>46060.79201921296</v>
      </c>
      <c r="C24">
        <f t="shared" si="0"/>
        <v>20</v>
      </c>
      <c r="D24" t="s">
        <v>91</v>
      </c>
      <c r="E24">
        <v>1</v>
      </c>
      <c r="F24">
        <v>218</v>
      </c>
      <c r="H24" s="5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>218</v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46060.79201921296</v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D30" sqref="D30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1" bestFit="1" customWidth="1"/>
  </cols>
  <sheetData>
    <row r="2" spans="2:18" ht="28.5" x14ac:dyDescent="0.45">
      <c r="C2" s="21" t="s">
        <v>92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SUM(Tabla113[Importa])</f>
        <v>3184.5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25</v>
      </c>
      <c r="M4" s="23" t="s">
        <v>123</v>
      </c>
      <c r="N4" s="23"/>
      <c r="O4" s="23"/>
      <c r="P4" s="23"/>
      <c r="Q4" s="23"/>
      <c r="R4" s="23"/>
    </row>
    <row r="5" spans="2:18" x14ac:dyDescent="0.25">
      <c r="B5" s="18">
        <f ca="1">IF(Tabla113[[#This Row],['#]]&lt;&gt;"", NOW(), "")</f>
        <v>46060.79201921296</v>
      </c>
      <c r="C5">
        <f t="shared" ref="C5:C68" si="0">IF(ISNUMBER(E5), IF(ISNUMBER(C4), C4+1, 1), "")</f>
        <v>1</v>
      </c>
      <c r="D5" t="s">
        <v>99</v>
      </c>
      <c r="E5">
        <v>2</v>
      </c>
      <c r="F5">
        <v>15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30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46060.79201921296</v>
      </c>
      <c r="C6">
        <f t="shared" si="0"/>
        <v>2</v>
      </c>
      <c r="D6" t="s">
        <v>100</v>
      </c>
      <c r="E6">
        <v>1</v>
      </c>
      <c r="F6">
        <v>185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185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46060.79201921296</v>
      </c>
      <c r="C7">
        <f t="shared" si="0"/>
        <v>3</v>
      </c>
      <c r="D7" t="s">
        <v>101</v>
      </c>
      <c r="E7">
        <v>1</v>
      </c>
      <c r="F7">
        <v>35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35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46060.79201921296</v>
      </c>
      <c r="C8">
        <f t="shared" si="0"/>
        <v>4</v>
      </c>
      <c r="D8" t="s">
        <v>102</v>
      </c>
      <c r="E8">
        <v>1</v>
      </c>
      <c r="F8">
        <v>30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30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46060.79201921296</v>
      </c>
      <c r="C9">
        <f t="shared" si="0"/>
        <v>5</v>
      </c>
      <c r="D9" t="s">
        <v>31</v>
      </c>
      <c r="E9">
        <v>1</v>
      </c>
      <c r="F9">
        <v>36</v>
      </c>
      <c r="G9" t="s">
        <v>28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32.5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46060.79201921296</v>
      </c>
      <c r="C10">
        <f t="shared" si="0"/>
        <v>6</v>
      </c>
      <c r="D10" t="s">
        <v>104</v>
      </c>
      <c r="E10">
        <v>1</v>
      </c>
      <c r="F10">
        <v>71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71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46060.79201921296</v>
      </c>
      <c r="C11">
        <f t="shared" si="0"/>
        <v>7</v>
      </c>
      <c r="D11" t="s">
        <v>47</v>
      </c>
      <c r="E11">
        <v>2</v>
      </c>
      <c r="F11">
        <v>142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284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46060.79201921296</v>
      </c>
      <c r="C12">
        <f t="shared" si="0"/>
        <v>8</v>
      </c>
      <c r="D12" t="s">
        <v>35</v>
      </c>
      <c r="E12">
        <v>1</v>
      </c>
      <c r="F12">
        <v>57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57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46060.79201921296</v>
      </c>
      <c r="C13">
        <f t="shared" si="0"/>
        <v>9</v>
      </c>
      <c r="D13" t="s">
        <v>105</v>
      </c>
      <c r="E13">
        <v>1</v>
      </c>
      <c r="F13">
        <v>78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78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46060.79201921296</v>
      </c>
      <c r="C14">
        <f t="shared" si="0"/>
        <v>10</v>
      </c>
      <c r="D14" t="s">
        <v>106</v>
      </c>
      <c r="E14">
        <v>1</v>
      </c>
      <c r="F14">
        <v>90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90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46060.79201921296</v>
      </c>
      <c r="C15">
        <f t="shared" si="0"/>
        <v>11</v>
      </c>
      <c r="D15" t="s">
        <v>107</v>
      </c>
      <c r="E15">
        <v>1</v>
      </c>
      <c r="F15">
        <v>68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68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46060.79201921296</v>
      </c>
      <c r="C16">
        <f t="shared" si="0"/>
        <v>12</v>
      </c>
      <c r="D16" t="s">
        <v>108</v>
      </c>
      <c r="E16">
        <v>1</v>
      </c>
      <c r="F16">
        <v>72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72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46060.79201921296</v>
      </c>
      <c r="C17">
        <f t="shared" si="0"/>
        <v>13</v>
      </c>
      <c r="D17" t="s">
        <v>109</v>
      </c>
      <c r="E17">
        <v>1</v>
      </c>
      <c r="F17">
        <v>52</v>
      </c>
      <c r="H17" s="5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>52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46060.79201921296</v>
      </c>
      <c r="C18">
        <f t="shared" si="0"/>
        <v>14</v>
      </c>
      <c r="D18" t="s">
        <v>110</v>
      </c>
      <c r="E18">
        <v>1</v>
      </c>
      <c r="F18">
        <v>15</v>
      </c>
      <c r="H18" s="5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>15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46060.79201921296</v>
      </c>
      <c r="C19">
        <f t="shared" si="0"/>
        <v>15</v>
      </c>
      <c r="D19" t="s">
        <v>111</v>
      </c>
      <c r="E19">
        <v>1</v>
      </c>
      <c r="F19">
        <v>30</v>
      </c>
      <c r="H19" s="5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>30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46060.79201921296</v>
      </c>
      <c r="C20">
        <f t="shared" si="0"/>
        <v>16</v>
      </c>
      <c r="D20" t="s">
        <v>32</v>
      </c>
      <c r="E20">
        <v>1</v>
      </c>
      <c r="F20">
        <v>90</v>
      </c>
      <c r="G20" t="s">
        <v>28</v>
      </c>
      <c r="H20" s="5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>85.5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46060.79201921296</v>
      </c>
      <c r="C21">
        <f t="shared" si="0"/>
        <v>17</v>
      </c>
      <c r="D21" t="s">
        <v>113</v>
      </c>
      <c r="E21">
        <v>1</v>
      </c>
      <c r="F21">
        <v>800</v>
      </c>
      <c r="H21" s="5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>800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46060.79201921296</v>
      </c>
      <c r="C22">
        <f t="shared" si="0"/>
        <v>18</v>
      </c>
      <c r="D22" t="s">
        <v>114</v>
      </c>
      <c r="E22">
        <v>1</v>
      </c>
      <c r="F22">
        <v>691</v>
      </c>
      <c r="G22" t="s">
        <v>28</v>
      </c>
      <c r="H22" s="5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>622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46060.79201921296</v>
      </c>
      <c r="C23">
        <f t="shared" si="0"/>
        <v>19</v>
      </c>
      <c r="D23" t="s">
        <v>115</v>
      </c>
      <c r="E23">
        <v>1</v>
      </c>
      <c r="F23">
        <v>85</v>
      </c>
      <c r="G23" t="s">
        <v>28</v>
      </c>
      <c r="H23" s="5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>76.5</v>
      </c>
    </row>
    <row r="24" spans="2:18" ht="15" customHeight="1" x14ac:dyDescent="0.25">
      <c r="B24" s="18">
        <f ca="1">IF(Tabla1[[#This Row],['#]]&lt;&gt;"", NOW(), "")</f>
        <v>46060.79201921296</v>
      </c>
      <c r="C24">
        <f t="shared" si="0"/>
        <v>20</v>
      </c>
      <c r="D24" t="s">
        <v>116</v>
      </c>
      <c r="E24">
        <v>2</v>
      </c>
      <c r="F24">
        <v>5</v>
      </c>
      <c r="H24" s="5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>10</v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46060.79201921296</v>
      </c>
      <c r="C25">
        <f t="shared" si="0"/>
        <v>21</v>
      </c>
      <c r="D25" t="s">
        <v>117</v>
      </c>
      <c r="E25">
        <v>1</v>
      </c>
      <c r="F25">
        <v>30</v>
      </c>
      <c r="G25" t="s">
        <v>28</v>
      </c>
      <c r="H25" s="5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>27</v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>
        <f t="shared" si="0"/>
        <v>22</v>
      </c>
      <c r="D26" t="s">
        <v>118</v>
      </c>
      <c r="E26">
        <v>1</v>
      </c>
      <c r="F26">
        <v>60</v>
      </c>
      <c r="G26" t="s">
        <v>28</v>
      </c>
      <c r="H26" s="5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>54</v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>
        <f t="shared" si="0"/>
        <v>23</v>
      </c>
      <c r="D27" t="s">
        <v>119</v>
      </c>
      <c r="E27">
        <v>2</v>
      </c>
      <c r="F27">
        <v>5</v>
      </c>
      <c r="G27" t="s">
        <v>28</v>
      </c>
      <c r="H27" s="5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>9</v>
      </c>
      <c r="M27" s="13" t="s">
        <v>93</v>
      </c>
      <c r="N27" s="15">
        <v>2330</v>
      </c>
      <c r="O27" s="40" t="s">
        <v>94</v>
      </c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>
        <f t="shared" si="0"/>
        <v>24</v>
      </c>
      <c r="D28" t="s">
        <v>120</v>
      </c>
      <c r="E28">
        <v>1</v>
      </c>
      <c r="F28">
        <v>350</v>
      </c>
      <c r="G28" t="s">
        <v>28</v>
      </c>
      <c r="H28" s="5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>315</v>
      </c>
      <c r="M28" s="13" t="s">
        <v>95</v>
      </c>
      <c r="N28" s="15">
        <v>3045</v>
      </c>
      <c r="O28" s="40" t="s">
        <v>94</v>
      </c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>
        <f t="shared" si="0"/>
        <v>25</v>
      </c>
      <c r="D29" t="s">
        <v>121</v>
      </c>
      <c r="E29">
        <v>1</v>
      </c>
      <c r="F29">
        <v>62</v>
      </c>
      <c r="G29" t="s">
        <v>28</v>
      </c>
      <c r="H29" s="5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>56</v>
      </c>
      <c r="M29" s="13" t="s">
        <v>103</v>
      </c>
      <c r="N29" s="15">
        <v>9515</v>
      </c>
      <c r="O29" s="40" t="s">
        <v>96</v>
      </c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 t="s">
        <v>122</v>
      </c>
      <c r="N30" s="15">
        <v>28</v>
      </c>
      <c r="O30" s="40" t="s">
        <v>96</v>
      </c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 t="s">
        <v>97</v>
      </c>
      <c r="N31" s="15">
        <v>1500</v>
      </c>
      <c r="O31" s="40" t="s">
        <v>96</v>
      </c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 t="s">
        <v>98</v>
      </c>
      <c r="N32" s="15">
        <v>16418</v>
      </c>
      <c r="O32" s="40" t="s">
        <v>112</v>
      </c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D28" sqref="D28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124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SUM(Tabla114[Importa])</f>
        <v>2940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23</v>
      </c>
      <c r="M4" s="23" t="s">
        <v>148</v>
      </c>
      <c r="N4" s="23"/>
      <c r="O4" s="23"/>
      <c r="P4" s="23"/>
      <c r="Q4" s="23"/>
      <c r="R4" s="23"/>
    </row>
    <row r="5" spans="2:18" x14ac:dyDescent="0.25">
      <c r="B5" s="18">
        <f ca="1">IF(Tabla114[[#This Row],['#]]&lt;&gt;"", NOW(), "")</f>
        <v>46060.79201921296</v>
      </c>
      <c r="C5">
        <f t="shared" ref="C5:C68" si="0">IF(ISNUMBER(E5), IF(ISNUMBER(C4), C4+1, 1), "")</f>
        <v>1</v>
      </c>
      <c r="D5" t="s">
        <v>126</v>
      </c>
      <c r="E5">
        <v>1</v>
      </c>
      <c r="F5">
        <v>11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11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46060.79201921296</v>
      </c>
      <c r="C6">
        <f t="shared" si="0"/>
        <v>2</v>
      </c>
      <c r="D6" t="s">
        <v>127</v>
      </c>
      <c r="E6">
        <v>2</v>
      </c>
      <c r="F6">
        <v>123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246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46060.79201921296</v>
      </c>
      <c r="C7">
        <f t="shared" si="0"/>
        <v>3</v>
      </c>
      <c r="D7" t="s">
        <v>128</v>
      </c>
      <c r="E7">
        <v>1</v>
      </c>
      <c r="F7">
        <v>20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20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46060.79201921296</v>
      </c>
      <c r="C8">
        <f t="shared" si="0"/>
        <v>4</v>
      </c>
      <c r="D8" t="s">
        <v>129</v>
      </c>
      <c r="E8">
        <v>1</v>
      </c>
      <c r="F8">
        <v>380</v>
      </c>
      <c r="G8" t="s">
        <v>28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342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46060.79201921296</v>
      </c>
      <c r="C9">
        <f t="shared" si="0"/>
        <v>5</v>
      </c>
      <c r="D9" t="s">
        <v>130</v>
      </c>
      <c r="E9">
        <v>1</v>
      </c>
      <c r="F9">
        <v>72</v>
      </c>
      <c r="G9" t="s">
        <v>28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65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46060.79201921296</v>
      </c>
      <c r="C10">
        <f t="shared" si="0"/>
        <v>6</v>
      </c>
      <c r="D10" t="s">
        <v>131</v>
      </c>
      <c r="E10">
        <v>1</v>
      </c>
      <c r="F10">
        <v>185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185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46060.79201921296</v>
      </c>
      <c r="C11">
        <f t="shared" si="0"/>
        <v>7</v>
      </c>
      <c r="D11" t="s">
        <v>132</v>
      </c>
      <c r="E11">
        <v>1</v>
      </c>
      <c r="F11">
        <v>799</v>
      </c>
      <c r="G11" t="s">
        <v>28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719.5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46060.79201921296</v>
      </c>
      <c r="C12">
        <f t="shared" si="0"/>
        <v>8</v>
      </c>
      <c r="D12" t="s">
        <v>133</v>
      </c>
      <c r="E12">
        <v>1</v>
      </c>
      <c r="F12">
        <v>65</v>
      </c>
      <c r="G12" t="s">
        <v>28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58.5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46060.79201921296</v>
      </c>
      <c r="C13">
        <f t="shared" si="0"/>
        <v>9</v>
      </c>
      <c r="D13" t="s">
        <v>39</v>
      </c>
      <c r="E13">
        <v>1</v>
      </c>
      <c r="F13">
        <v>50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50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46060.79201921296</v>
      </c>
      <c r="C14">
        <f t="shared" si="0"/>
        <v>10</v>
      </c>
      <c r="D14" t="s">
        <v>135</v>
      </c>
      <c r="E14">
        <v>1</v>
      </c>
      <c r="F14">
        <v>25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25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46060.79201921296</v>
      </c>
      <c r="C15">
        <f t="shared" si="0"/>
        <v>11</v>
      </c>
      <c r="D15" t="s">
        <v>136</v>
      </c>
      <c r="E15">
        <v>1</v>
      </c>
      <c r="F15">
        <v>15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15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46060.79201921296</v>
      </c>
      <c r="C16">
        <f t="shared" si="0"/>
        <v>12</v>
      </c>
      <c r="D16" t="s">
        <v>137</v>
      </c>
      <c r="E16">
        <v>1</v>
      </c>
      <c r="F16">
        <v>75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75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46060.79201921296</v>
      </c>
      <c r="C17">
        <f t="shared" si="0"/>
        <v>13</v>
      </c>
      <c r="D17" t="s">
        <v>138</v>
      </c>
      <c r="E17">
        <v>1</v>
      </c>
      <c r="F17">
        <v>15</v>
      </c>
      <c r="G17" t="s">
        <v>28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13.5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46060.79201921296</v>
      </c>
      <c r="C18">
        <f t="shared" si="0"/>
        <v>14</v>
      </c>
      <c r="D18" t="s">
        <v>139</v>
      </c>
      <c r="E18">
        <v>1</v>
      </c>
      <c r="F18">
        <v>239</v>
      </c>
      <c r="G18" t="s">
        <v>28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215.5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46060.79201921296</v>
      </c>
      <c r="C19">
        <f t="shared" si="0"/>
        <v>15</v>
      </c>
      <c r="D19" t="s">
        <v>127</v>
      </c>
      <c r="E19">
        <v>1</v>
      </c>
      <c r="F19">
        <v>123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123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46060.79201921296</v>
      </c>
      <c r="C20">
        <f t="shared" si="0"/>
        <v>16</v>
      </c>
      <c r="D20" t="s">
        <v>140</v>
      </c>
      <c r="E20">
        <v>1</v>
      </c>
      <c r="F20">
        <v>28</v>
      </c>
      <c r="H20" s="5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>28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46060.79201921296</v>
      </c>
      <c r="C21">
        <f t="shared" si="0"/>
        <v>17</v>
      </c>
      <c r="D21" t="s">
        <v>141</v>
      </c>
      <c r="E21">
        <v>1</v>
      </c>
      <c r="F21">
        <v>35</v>
      </c>
      <c r="H21" s="5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>35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46060.79201921296</v>
      </c>
      <c r="C22">
        <f t="shared" si="0"/>
        <v>18</v>
      </c>
      <c r="D22" t="s">
        <v>142</v>
      </c>
      <c r="E22">
        <v>1</v>
      </c>
      <c r="F22">
        <v>20</v>
      </c>
      <c r="H22" s="5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>20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46060.79201921296</v>
      </c>
      <c r="C23">
        <f t="shared" si="0"/>
        <v>19</v>
      </c>
      <c r="D23" t="s">
        <v>143</v>
      </c>
      <c r="E23">
        <v>1</v>
      </c>
      <c r="F23">
        <v>85</v>
      </c>
      <c r="H23" s="5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>85</v>
      </c>
    </row>
    <row r="24" spans="2:18" ht="15" customHeight="1" x14ac:dyDescent="0.25">
      <c r="B24" s="18">
        <f ca="1">IF(Tabla1[[#This Row],['#]]&lt;&gt;"", NOW(), "")</f>
        <v>46060.79201921296</v>
      </c>
      <c r="C24">
        <f t="shared" si="0"/>
        <v>20</v>
      </c>
      <c r="D24" t="s">
        <v>144</v>
      </c>
      <c r="E24">
        <v>1</v>
      </c>
      <c r="F24">
        <v>320</v>
      </c>
      <c r="H24" s="5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>320</v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46060.79201921296</v>
      </c>
      <c r="C25">
        <f t="shared" si="0"/>
        <v>21</v>
      </c>
      <c r="D25" t="s">
        <v>145</v>
      </c>
      <c r="E25">
        <v>1</v>
      </c>
      <c r="F25">
        <v>120</v>
      </c>
      <c r="H25" s="5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>120</v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>
        <f t="shared" si="0"/>
        <v>22</v>
      </c>
      <c r="D26" t="s">
        <v>146</v>
      </c>
      <c r="E26">
        <v>1</v>
      </c>
      <c r="F26">
        <v>68</v>
      </c>
      <c r="H26" s="5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>68</v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>
        <f t="shared" si="0"/>
        <v>23</v>
      </c>
      <c r="D27" t="s">
        <v>147</v>
      </c>
      <c r="E27">
        <v>2</v>
      </c>
      <c r="F27">
        <v>50</v>
      </c>
      <c r="H27" s="5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>100</v>
      </c>
      <c r="M27" s="13" t="s">
        <v>125</v>
      </c>
      <c r="N27" s="15">
        <v>50</v>
      </c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 t="s">
        <v>134</v>
      </c>
      <c r="N28" s="15">
        <v>4856</v>
      </c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14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46060.79201921296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46060.79201921296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46060.79201921296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46060.79201921296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46060.79201921296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46060.79201921296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46060.79201921296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46060.79201921296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46060.79201921296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46060.79201921296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46060.79201921296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46060.79201921296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46060.79201921296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46060.79201921296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46060.79201921296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46060.79201921296</v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46060.79201921296</v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46060.79201921296</v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46060.79201921296</v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46060.79201921296</v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Gráficos</vt:lpstr>
      </vt:variant>
      <vt:variant>
        <vt:i4>1</vt:i4>
      </vt:variant>
    </vt:vector>
  </HeadingPairs>
  <TitlesOfParts>
    <vt:vector size="9" baseType="lpstr">
      <vt:lpstr>Lunes 02-02-26</vt:lpstr>
      <vt:lpstr>Martes 03-02-26</vt:lpstr>
      <vt:lpstr>Miercoles 04-02-26</vt:lpstr>
      <vt:lpstr>Jueves 05-02-26</vt:lpstr>
      <vt:lpstr>VIERNES 06-02-26</vt:lpstr>
      <vt:lpstr>Sabado 07-02-26</vt:lpstr>
      <vt:lpstr>Domingo</vt:lpstr>
      <vt:lpstr>Cambios</vt:lpstr>
      <vt:lpstr>Gráfico1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2026-02-08T01:00:32Z</dcterms:modified>
</cp:coreProperties>
</file>