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A371529-FBD2-40BC-A6E3-DA756E09C44D}" xr6:coauthVersionLast="47" xr6:coauthVersionMax="47" xr10:uidLastSave="{00000000-0000-0000-0000-000000000000}"/>
  <bookViews>
    <workbookView xWindow="-120" yWindow="-120" windowWidth="29040" windowHeight="17640" firstSheet="1" activeTab="6" xr2:uid="{00000000-000D-0000-FFFF-FFFF00000000}"/>
  </bookViews>
  <sheets>
    <sheet name="Lunes 02-02-26" sheetId="1" r:id="rId1"/>
    <sheet name="Martes 03-02-26" sheetId="2" r:id="rId2"/>
    <sheet name="Miercoles 04-02-26" sheetId="3" r:id="rId3"/>
    <sheet name="Jueves 05-02-26" sheetId="4" r:id="rId4"/>
    <sheet name="Gráfico1" sheetId="9" r:id="rId5"/>
    <sheet name="VIERNES 06-02-26" sheetId="5" r:id="rId6"/>
    <sheet name="Sabado 07-02-26" sheetId="6" r:id="rId7"/>
    <sheet name="Domingo" sheetId="8" r:id="rId8"/>
    <sheet name="Cambios" sheetId="7" r:id="rId9"/>
  </sheets>
  <definedNames>
    <definedName name="_xlnm._FilterDatabase" localSheetId="0" hidden="1">'Lunes 02-02-26'!$B$4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9" i="3"/>
  <c r="C10" i="3" s="1"/>
  <c r="C11" i="3" s="1"/>
  <c r="C12" i="3" s="1"/>
  <c r="C13" i="3" s="1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E39" i="3"/>
  <c r="K3" i="3" s="1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<sst xmlns="http://schemas.openxmlformats.org/spreadsheetml/2006/main" count="324" uniqueCount="149">
  <si>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</si>
  <si>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</si>
  <si>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</si>
  <si>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</si>
  <si>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</si>
  <si>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</si>
  <si>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</si>
  <si>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</si>
  <si>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</si>
  <si>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</si>
  <si>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</si>
  <si>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</si>
  <si>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</si>
  <si>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</si>
  <si>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</si>
  <si>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</si>
  <si>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</si>
  <si>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</si>
  <si>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</si>
  <si>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</si>
  <si>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</si>
  <si>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</si>
  <si>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</si>
  <si>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</si>
  <si>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</si>
  <si>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02 DE FEBRERO-26</t>
  </si>
  <si>
    <t xml:space="preserve">FOCO DIRECCIONAL </t>
  </si>
  <si>
    <t>CHICOTE DE CLUTH DM200</t>
  </si>
  <si>
    <t>X</t>
  </si>
  <si>
    <t>PILA 12N5 3-B</t>
  </si>
  <si>
    <t>PASTAS DE CLUTH 250Z</t>
  </si>
  <si>
    <t>BALATA DE DISCO DS150</t>
  </si>
  <si>
    <t>ACEITE LUBER</t>
  </si>
  <si>
    <t xml:space="preserve">FUSIBLES </t>
  </si>
  <si>
    <t xml:space="preserve">BALATA TAMBOR CHICO </t>
  </si>
  <si>
    <t>BUJIA D8</t>
  </si>
  <si>
    <t>FOCO H4 HALOGENO</t>
  </si>
  <si>
    <t>JUNTA DE CABEZA DS150</t>
  </si>
  <si>
    <t>DIRECCIONAL DE PULSAR 200NS</t>
  </si>
  <si>
    <t>RETEN DE MOTOR FT150</t>
  </si>
  <si>
    <t>BALATA DE TAMBOR  DS150 WAPEMEX</t>
  </si>
  <si>
    <t>FILTRO DE GASOLINA CARTON</t>
  </si>
  <si>
    <t xml:space="preserve">CAMARA 90-90-21  CAMARA DE OSCAR </t>
  </si>
  <si>
    <t>ACEITE MOTUL 3000</t>
  </si>
  <si>
    <t>Martes 03 DE FEBRERO-26</t>
  </si>
  <si>
    <t>CHICOTE DE VELOCIMETRO DM200</t>
  </si>
  <si>
    <t>SUWITH UNIVERSAL 4 PUNTAS</t>
  </si>
  <si>
    <t>ACEITE REPSOL</t>
  </si>
  <si>
    <t>PILA 12N7 3B QLINK</t>
  </si>
  <si>
    <t>BUJIA C7</t>
  </si>
  <si>
    <t xml:space="preserve">FILTRO DE GASOLINA CARTON </t>
  </si>
  <si>
    <t>BALATA DE TAMBOR DS150 WAPEMEX</t>
  </si>
  <si>
    <t xml:space="preserve">FOCO H6 LED </t>
  </si>
  <si>
    <t>PEDIDO MERCADO</t>
  </si>
  <si>
    <t xml:space="preserve">PEDIDO ACEITE </t>
  </si>
  <si>
    <t>CADENA 428 X 136 ITALIKA</t>
  </si>
  <si>
    <t xml:space="preserve">CUENTA DE LA SEMANA PASADA $ 16501.5  MENOS $ 2330 QUEDA $14171.5 MENOS PEDIDO AKRON $ 3045 QUEDA $ 11126.5 </t>
  </si>
  <si>
    <t>Miercoles 04 DE FEBRERO-26</t>
  </si>
  <si>
    <t xml:space="preserve">MANGUERA DE GASOLINA </t>
  </si>
  <si>
    <t>CAMARA 2.75.18</t>
  </si>
  <si>
    <t>GOMAS DE IMPACTO FT150</t>
  </si>
  <si>
    <t>LUBRICANTE DE CADENA</t>
  </si>
  <si>
    <t>PILLA 6.5 QLINK</t>
  </si>
  <si>
    <t>MANIJA DE ATV</t>
  </si>
  <si>
    <t xml:space="preserve">FOCO H4 HALOGENO ITALIKA </t>
  </si>
  <si>
    <t>POSAPIES TRASEROS DM200</t>
  </si>
  <si>
    <t>FARO DE FT150</t>
  </si>
  <si>
    <t>CALAVERA DE DM200</t>
  </si>
  <si>
    <t>SALPICADERA TRASERA DE DM200</t>
  </si>
  <si>
    <t>CAPUCHON DE BUJIA DS150</t>
  </si>
  <si>
    <t>CLAXON DS150</t>
  </si>
  <si>
    <t xml:space="preserve">FOCO LED H4 </t>
  </si>
  <si>
    <t xml:space="preserve">GUANTES </t>
  </si>
  <si>
    <t>Jueves 05 DE FEBRERO -26</t>
  </si>
  <si>
    <t>CINTA DE AISLAR PEQUEÑA</t>
  </si>
  <si>
    <t>AHOGADOR WS150</t>
  </si>
  <si>
    <t>MANDO DERECHO WS150</t>
  </si>
  <si>
    <t>PILA 12N7 3B WAPEMEX</t>
  </si>
  <si>
    <t>KIND DE SPROKET FT125</t>
  </si>
  <si>
    <t xml:space="preserve">PILA 6.5 WAPEMEX </t>
  </si>
  <si>
    <t>SALPICADERA TRASERA DM200</t>
  </si>
  <si>
    <t>LIMPIADOR DE CARBURADOR AXPRO</t>
  </si>
  <si>
    <t>ACEITE LUBER FUERON PARA MOTO DE D</t>
  </si>
  <si>
    <t>CALAVERA TRASERA DM200</t>
  </si>
  <si>
    <t xml:space="preserve">FILTRO DE ACEITE </t>
  </si>
  <si>
    <t>TORNILLO M10</t>
  </si>
  <si>
    <t xml:space="preserve">GOGLEES </t>
  </si>
  <si>
    <t>FILTRO DE AIRE DOMINAR 400</t>
  </si>
  <si>
    <t>PILA 12N7 3-B WAPEMEX</t>
  </si>
  <si>
    <t>BANDA POWER LINK 743-20-30</t>
  </si>
  <si>
    <t xml:space="preserve">FOCOS H4 HALOGENOS </t>
  </si>
  <si>
    <t>ESPEJOS COFE RANCING</t>
  </si>
  <si>
    <t>Viernes 06 DE FEBRERO-26</t>
  </si>
  <si>
    <t>P.MERCADO</t>
  </si>
  <si>
    <t>MARTES 03 DE FEBRERO-26</t>
  </si>
  <si>
    <t>P.ACEITE</t>
  </si>
  <si>
    <t>VIERNES 06 DE FEBRERO-26</t>
  </si>
  <si>
    <t>PAGOYAS</t>
  </si>
  <si>
    <t>TOTAL</t>
  </si>
  <si>
    <t>TIRAS LED</t>
  </si>
  <si>
    <t>GOGLEES</t>
  </si>
  <si>
    <t>INTERRUPOR DE FRENO FT150</t>
  </si>
  <si>
    <t>MANGUERA DE GASOLINA 1</t>
  </si>
  <si>
    <t>P.WAPEMEX</t>
  </si>
  <si>
    <t>FILTRO DE AIRE DM200</t>
  </si>
  <si>
    <t>AJUSTADOR DE CADENA DM200</t>
  </si>
  <si>
    <t>LUBRICANTE PARA CADENA LUBER</t>
  </si>
  <si>
    <t xml:space="preserve">FILTRO DE GASOLINA LAVABLE </t>
  </si>
  <si>
    <t>CHICOTE DE CLUTH 150Z</t>
  </si>
  <si>
    <t>BUJE DE DM200</t>
  </si>
  <si>
    <t xml:space="preserve">SEGURO DE PIÑON </t>
  </si>
  <si>
    <t>MANIJA IZQUIERDA 150Z</t>
  </si>
  <si>
    <t xml:space="preserve">TOTAL DE EGRESOS </t>
  </si>
  <si>
    <t>TANQUE DE GASOLINA FT125 ROJA</t>
  </si>
  <si>
    <t>ACIENTO FT125</t>
  </si>
  <si>
    <t>BALATA DE TAMBOR FT150</t>
  </si>
  <si>
    <t>STIKER</t>
  </si>
  <si>
    <t>BALERO 6201</t>
  </si>
  <si>
    <t>TAZAS DE DIRECCION FT150</t>
  </si>
  <si>
    <t xml:space="preserve">TERMINAL DE BACTERIA </t>
  </si>
  <si>
    <t>SALPICADERA DELANTERA 150Z</t>
  </si>
  <si>
    <t xml:space="preserve">CHICOTED E AHOGADOR ITALIKA </t>
  </si>
  <si>
    <t>P.ITALIKA</t>
  </si>
  <si>
    <r>
      <rPr>
        <b/>
        <sz val="14"/>
        <color theme="1"/>
        <rFont val="Calibri"/>
        <family val="2"/>
        <scheme val="minor"/>
      </rPr>
      <t>CORTES DE LA SEMANA   CUENTA SEMANA PAS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02 DE FEBRERO-26                $16501.5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$ 2084               MENOS $16418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03 DE FEBRERO-26     QUEDA $83.5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$ 1585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04 DE FEBRERO-26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$ 2544.5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05 DE FEBRERO-26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$ 3463.5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06 DE FEBRERO-26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$3184.5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TOTAL$ 12861.5 
TOTAL EN CAJA $ 12945 </t>
    </r>
  </si>
  <si>
    <t>Sabado 07 DE FEBRERO-26</t>
  </si>
  <si>
    <t>COMIDA</t>
  </si>
  <si>
    <t xml:space="preserve">SEGURO DE CADENA 520 </t>
  </si>
  <si>
    <t>ACEITE AKRON</t>
  </si>
  <si>
    <t xml:space="preserve">FOCO DE STOP </t>
  </si>
  <si>
    <t>DISCO DELANTERO DM200</t>
  </si>
  <si>
    <t>EJE DE RUEDA TRASERA DM200</t>
  </si>
  <si>
    <t>GUANTES VERDES</t>
  </si>
  <si>
    <t xml:space="preserve">CADENA 520 CON ORING </t>
  </si>
  <si>
    <t>PUÑOS FT150 YOG</t>
  </si>
  <si>
    <t>P.0SCAR</t>
  </si>
  <si>
    <t xml:space="preserve">PEGAMENTO WURT </t>
  </si>
  <si>
    <t>TUBO MOVIL DS150</t>
  </si>
  <si>
    <t>ACEITE TOP RANCIN</t>
  </si>
  <si>
    <t>JUNTA DE ESTATOR FT150</t>
  </si>
  <si>
    <t>ESTATOR FT150 WINMEX</t>
  </si>
  <si>
    <t>SEGURO DE CADENA 428</t>
  </si>
  <si>
    <t xml:space="preserve">ANTICONGELANTE </t>
  </si>
  <si>
    <t>CHICOTE DE CLUTH UNIVERSAL</t>
  </si>
  <si>
    <t>POPOTE PARA RIND ROSA</t>
  </si>
  <si>
    <t xml:space="preserve">BALATA DELANTERA MT03 </t>
  </si>
  <si>
    <t xml:space="preserve">DIRECCIONALES UNIVERSALES </t>
  </si>
  <si>
    <t>DESENGRASANTE PARA CADENA WURT</t>
  </si>
  <si>
    <t>CLAXON</t>
  </si>
  <si>
    <r>
      <t xml:space="preserve">CUENTA EN CAJA TOTAL $ 12945 MENOS $ 50 COMIDA QUEDA $ 12895 MENOS PEDIDO DE OSCAR $ 4856 QUEDA $8039 
CUENTA DE HOY SABADO $ 2940 MENOS $ 300 PAGO DE YAS QUEDA $ 2640 MAS LO QUE QUEDA EN CAJA $ 8039 
</t>
    </r>
    <r>
      <rPr>
        <b/>
        <sz val="24"/>
        <color rgb="FFFF0000"/>
        <rFont val="Calibri"/>
        <family val="2"/>
        <scheme val="minor"/>
      </rPr>
      <t xml:space="preserve">TOTAL EN CAJA $ 10679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</si>
</sst>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'VIERNES 06-02-26'!$M$26:$O$32</c:f>
              <c:multiLvlStrCache>
                <c:ptCount val="7"/>
                <c:lvl>
                  <c:pt idx="0">
                    <c:v>Comentarios</c:v>
                  </c:pt>
                  <c:pt idx="1">
                    <c:v>MARTES 03 DE FEBRERO-26</c:v>
                  </c:pt>
                  <c:pt idx="2">
                    <c:v>MARTES 03 DE FEBRERO-26</c:v>
                  </c:pt>
                  <c:pt idx="3">
                    <c:v>VIERNES 06 DE FEBRERO-26</c:v>
                  </c:pt>
                  <c:pt idx="4">
                    <c:v>VIERNES 06 DE FEBRERO-26</c:v>
                  </c:pt>
                  <c:pt idx="5">
                    <c:v>VIERNES 06 DE FEBRERO-26</c:v>
                  </c:pt>
                  <c:pt idx="6">
                    <c:v>TOTAL DE EGRESOS </c:v>
                  </c:pt>
                </c:lvl>
                <c:lvl>
                  <c:pt idx="0">
                    <c:v>Costo</c:v>
                  </c:pt>
                  <c:pt idx="1">
                    <c:v> $2,330.00 </c:v>
                  </c:pt>
                  <c:pt idx="2">
                    <c:v> $3,045.00 </c:v>
                  </c:pt>
                  <c:pt idx="3">
                    <c:v> $9,515.00 </c:v>
                  </c:pt>
                  <c:pt idx="4">
                    <c:v> $28.00 </c:v>
                  </c:pt>
                  <c:pt idx="5">
                    <c:v> $1,500.00 </c:v>
                  </c:pt>
                  <c:pt idx="6">
                    <c:v> $16,418.00 </c:v>
                  </c:pt>
                </c:lvl>
                <c:lvl>
                  <c:pt idx="0">
                    <c:v>Egreso</c:v>
                  </c:pt>
                  <c:pt idx="1">
                    <c:v>P.MERCADO</c:v>
                  </c:pt>
                  <c:pt idx="2">
                    <c:v>P.ACEITE</c:v>
                  </c:pt>
                  <c:pt idx="3">
                    <c:v>P.WAPEMEX</c:v>
                  </c:pt>
                  <c:pt idx="4">
                    <c:v>P.ITALIKA</c:v>
                  </c:pt>
                  <c:pt idx="5">
                    <c:v>PAGOYAS</c:v>
                  </c:pt>
                  <c:pt idx="6">
                    <c:v>TOTAL</c:v>
                  </c:pt>
                </c:lvl>
              </c:multiLvlStrCache>
            </c:multiLvlStrRef>
          </c:cat>
          <c:val>
            <c:numRef>
              <c:f>'VIERNES 06-02-26'!$P$26:$P$32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0-6AA7-4C3D-A006-1FE90BC4480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'VIERNES 06-02-26'!$M$26:$O$32</c:f>
              <c:multiLvlStrCache>
                <c:ptCount val="7"/>
                <c:lvl>
                  <c:pt idx="0">
                    <c:v>Comentarios</c:v>
                  </c:pt>
                  <c:pt idx="1">
                    <c:v>MARTES 03 DE FEBRERO-26</c:v>
                  </c:pt>
                  <c:pt idx="2">
                    <c:v>MARTES 03 DE FEBRERO-26</c:v>
                  </c:pt>
                  <c:pt idx="3">
                    <c:v>VIERNES 06 DE FEBRERO-26</c:v>
                  </c:pt>
                  <c:pt idx="4">
                    <c:v>VIERNES 06 DE FEBRERO-26</c:v>
                  </c:pt>
                  <c:pt idx="5">
                    <c:v>VIERNES 06 DE FEBRERO-26</c:v>
                  </c:pt>
                  <c:pt idx="6">
                    <c:v>TOTAL DE EGRESOS </c:v>
                  </c:pt>
                </c:lvl>
                <c:lvl>
                  <c:pt idx="0">
                    <c:v>Costo</c:v>
                  </c:pt>
                  <c:pt idx="1">
                    <c:v> $2,330.00 </c:v>
                  </c:pt>
                  <c:pt idx="2">
                    <c:v> $3,045.00 </c:v>
                  </c:pt>
                  <c:pt idx="3">
                    <c:v> $9,515.00 </c:v>
                  </c:pt>
                  <c:pt idx="4">
                    <c:v> $28.00 </c:v>
                  </c:pt>
                  <c:pt idx="5">
                    <c:v> $1,500.00 </c:v>
                  </c:pt>
                  <c:pt idx="6">
                    <c:v> $16,418.00 </c:v>
                  </c:pt>
                </c:lvl>
                <c:lvl>
                  <c:pt idx="0">
                    <c:v>Egreso</c:v>
                  </c:pt>
                  <c:pt idx="1">
                    <c:v>P.MERCADO</c:v>
                  </c:pt>
                  <c:pt idx="2">
                    <c:v>P.ACEITE</c:v>
                  </c:pt>
                  <c:pt idx="3">
                    <c:v>P.WAPEMEX</c:v>
                  </c:pt>
                  <c:pt idx="4">
                    <c:v>P.ITALIKA</c:v>
                  </c:pt>
                  <c:pt idx="5">
                    <c:v>PAGOYAS</c:v>
                  </c:pt>
                  <c:pt idx="6">
                    <c:v>TOTAL</c:v>
                  </c:pt>
                </c:lvl>
              </c:multiLvlStrCache>
            </c:multiLvlStrRef>
          </c:cat>
          <c:val>
            <c:numRef>
              <c:f>'VIERNES 06-02-26'!$Q$26:$Q$32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6AA7-4C3D-A006-1FE90BC4480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'VIERNES 06-02-26'!$M$26:$O$32</c:f>
              <c:multiLvlStrCache>
                <c:ptCount val="7"/>
                <c:lvl>
                  <c:pt idx="0">
                    <c:v>Comentarios</c:v>
                  </c:pt>
                  <c:pt idx="1">
                    <c:v>MARTES 03 DE FEBRERO-26</c:v>
                  </c:pt>
                  <c:pt idx="2">
                    <c:v>MARTES 03 DE FEBRERO-26</c:v>
                  </c:pt>
                  <c:pt idx="3">
                    <c:v>VIERNES 06 DE FEBRERO-26</c:v>
                  </c:pt>
                  <c:pt idx="4">
                    <c:v>VIERNES 06 DE FEBRERO-26</c:v>
                  </c:pt>
                  <c:pt idx="5">
                    <c:v>VIERNES 06 DE FEBRERO-26</c:v>
                  </c:pt>
                  <c:pt idx="6">
                    <c:v>TOTAL DE EGRESOS </c:v>
                  </c:pt>
                </c:lvl>
                <c:lvl>
                  <c:pt idx="0">
                    <c:v>Costo</c:v>
                  </c:pt>
                  <c:pt idx="1">
                    <c:v> $2,330.00 </c:v>
                  </c:pt>
                  <c:pt idx="2">
                    <c:v> $3,045.00 </c:v>
                  </c:pt>
                  <c:pt idx="3">
                    <c:v> $9,515.00 </c:v>
                  </c:pt>
                  <c:pt idx="4">
                    <c:v> $28.00 </c:v>
                  </c:pt>
                  <c:pt idx="5">
                    <c:v> $1,500.00 </c:v>
                  </c:pt>
                  <c:pt idx="6">
                    <c:v> $16,418.00 </c:v>
                  </c:pt>
                </c:lvl>
                <c:lvl>
                  <c:pt idx="0">
                    <c:v>Egreso</c:v>
                  </c:pt>
                  <c:pt idx="1">
                    <c:v>P.MERCADO</c:v>
                  </c:pt>
                  <c:pt idx="2">
                    <c:v>P.ACEITE</c:v>
                  </c:pt>
                  <c:pt idx="3">
                    <c:v>P.WAPEMEX</c:v>
                  </c:pt>
                  <c:pt idx="4">
                    <c:v>P.ITALIKA</c:v>
                  </c:pt>
                  <c:pt idx="5">
                    <c:v>PAGOYAS</c:v>
                  </c:pt>
                  <c:pt idx="6">
                    <c:v>TOTAL</c:v>
                  </c:pt>
                </c:lvl>
              </c:multiLvlStrCache>
            </c:multiLvlStrRef>
          </c:cat>
          <c:val>
            <c:numRef>
              <c:f>'VIERNES 06-02-26'!$R$26:$R$32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6AA7-4C3D-A006-1FE90BC44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866479"/>
        <c:axId val="1245852079"/>
      </c:barChart>
      <c:catAx>
        <c:axId val="12458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5852079"/>
        <c:crosses val="autoZero"/>
        <c:auto val="1"/>
        <c:lblAlgn val="ctr"/>
        <c:lblOffset val="100"/>
        <c:noMultiLvlLbl val="0"/>
      </c:catAx>
      <c:valAx>
        <c:axId val="124585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58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DCA696-29CF-4ED0-9622-9EAE06D2C163}">
  <sheetPr/>
  <sheetViews>
    <sheetView zoomScale="13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222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6934DB-14F0-3D22-E40D-1B34939B201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8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7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6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5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4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3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2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1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20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9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8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7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6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5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42" sqref="D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2084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21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46062.641601157404</v>
      </c>
      <c r="C5">
        <f>IF(ISNUMBER(E5), IF(ISNUMBER(C4), C4+1, 1), "")</f>
        <v>1</v>
      </c>
      <c r="D5" t="s">
        <v>26</v>
      </c>
      <c r="E5">
        <v>1</v>
      </c>
      <c r="F5">
        <v>12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12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46062.641601157404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45</v>
      </c>
      <c r="G6" t="s">
        <v>28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40.5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46062.641601157404</v>
      </c>
      <c r="C7">
        <f t="shared" si="0"/>
        <v>3</v>
      </c>
      <c r="D7" t="s">
        <v>29</v>
      </c>
      <c r="E7">
        <v>1</v>
      </c>
      <c r="F7">
        <v>510</v>
      </c>
      <c r="G7" t="s">
        <v>28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459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46062.641601157404</v>
      </c>
      <c r="C8">
        <f t="shared" si="0"/>
        <v>4</v>
      </c>
      <c r="D8" t="s">
        <v>30</v>
      </c>
      <c r="E8">
        <v>1</v>
      </c>
      <c r="F8">
        <v>89</v>
      </c>
      <c r="G8" t="s">
        <v>28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80.5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46062.641601157404</v>
      </c>
      <c r="C9">
        <f t="shared" si="0"/>
        <v>5</v>
      </c>
      <c r="D9" t="s">
        <v>31</v>
      </c>
      <c r="E9">
        <v>1</v>
      </c>
      <c r="F9">
        <v>36</v>
      </c>
      <c r="G9" t="s">
        <v>28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32.5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46062.641601157404</v>
      </c>
      <c r="C10">
        <f t="shared" si="0"/>
        <v>6</v>
      </c>
      <c r="D10" t="s">
        <v>32</v>
      </c>
      <c r="E10">
        <v>1</v>
      </c>
      <c r="F10">
        <v>90</v>
      </c>
      <c r="G10" t="s">
        <v>28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85.5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46062.641601157404</v>
      </c>
      <c r="C11">
        <f t="shared" si="0"/>
        <v>7</v>
      </c>
      <c r="D11" t="s">
        <v>33</v>
      </c>
      <c r="E11">
        <v>5</v>
      </c>
      <c r="F11">
        <v>3</v>
      </c>
      <c r="G11" t="s">
        <v>28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46062.641601157404</v>
      </c>
      <c r="C12">
        <f t="shared" si="0"/>
        <v>8</v>
      </c>
      <c r="D12" t="s">
        <v>32</v>
      </c>
      <c r="E12">
        <v>1</v>
      </c>
      <c r="F12">
        <v>90</v>
      </c>
      <c r="G12" t="s">
        <v>28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85.5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46062.641601157404</v>
      </c>
      <c r="C13">
        <f t="shared" si="0"/>
        <v>9</v>
      </c>
      <c r="D13" t="s">
        <v>34</v>
      </c>
      <c r="E13">
        <v>2</v>
      </c>
      <c r="F13">
        <v>78</v>
      </c>
      <c r="G13" t="s">
        <v>28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140.5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46062.641601157404</v>
      </c>
      <c r="C14">
        <f t="shared" si="0"/>
        <v>10</v>
      </c>
      <c r="D14" t="s">
        <v>35</v>
      </c>
      <c r="E14">
        <v>1</v>
      </c>
      <c r="F14">
        <v>57</v>
      </c>
      <c r="G14" t="s">
        <v>28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51.5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46062.641601157404</v>
      </c>
      <c r="C15">
        <f t="shared" si="0"/>
        <v>11</v>
      </c>
      <c r="D15" t="s">
        <v>36</v>
      </c>
      <c r="E15">
        <v>1</v>
      </c>
      <c r="F15">
        <v>45</v>
      </c>
      <c r="G15" t="s">
        <v>28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40.5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46062.641601157404</v>
      </c>
      <c r="C16">
        <f t="shared" si="0"/>
        <v>12</v>
      </c>
      <c r="D16" t="s">
        <v>37</v>
      </c>
      <c r="E16">
        <v>1</v>
      </c>
      <c r="F16">
        <v>22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22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46062.641601157404</v>
      </c>
      <c r="C17">
        <f t="shared" si="0"/>
        <v>13</v>
      </c>
      <c r="D17" t="s">
        <v>38</v>
      </c>
      <c r="E17">
        <v>1</v>
      </c>
      <c r="F17">
        <v>140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140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46062.641601157404</v>
      </c>
      <c r="C18">
        <f t="shared" si="0"/>
        <v>14</v>
      </c>
      <c r="D18" t="s">
        <v>38</v>
      </c>
      <c r="E18">
        <v>1</v>
      </c>
      <c r="F18">
        <v>140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140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46062.641601157404</v>
      </c>
      <c r="C19">
        <f t="shared" si="0"/>
        <v>15</v>
      </c>
      <c r="D19" t="s">
        <v>39</v>
      </c>
      <c r="E19">
        <v>1</v>
      </c>
      <c r="F19">
        <v>50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50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46062.641601157404</v>
      </c>
      <c r="C20">
        <f t="shared" si="0"/>
        <v>16</v>
      </c>
      <c r="D20" t="s">
        <v>40</v>
      </c>
      <c r="E20">
        <v>1</v>
      </c>
      <c r="F20">
        <v>70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70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46062.641601157404</v>
      </c>
      <c r="C21">
        <f t="shared" si="0"/>
        <v>17</v>
      </c>
      <c r="D21" t="s">
        <v>31</v>
      </c>
      <c r="E21">
        <v>1</v>
      </c>
      <c r="F21">
        <v>36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36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46062.641601157404</v>
      </c>
      <c r="C22">
        <f t="shared" si="0"/>
        <v>18</v>
      </c>
      <c r="D22" t="s">
        <v>32</v>
      </c>
      <c r="E22">
        <v>1</v>
      </c>
      <c r="F22">
        <v>90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90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46062.641601157404</v>
      </c>
      <c r="C23">
        <f t="shared" si="0"/>
        <v>19</v>
      </c>
      <c r="D23" t="s">
        <v>41</v>
      </c>
      <c r="E23">
        <v>1</v>
      </c>
      <c r="F23">
        <v>15</v>
      </c>
      <c r="G23" t="s">
        <v>28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13.5</v>
      </c>
    </row>
    <row r="24" spans="2:18" ht="15" customHeight="1" x14ac:dyDescent="0.25">
      <c r="B24" s="18">
        <f ca="1">IF(Tabla1[[#This Row],['#]]&lt;&gt;"", NOW(), "")</f>
        <v>46062.641601157404</v>
      </c>
      <c r="C24">
        <f t="shared" si="0"/>
        <v>20</v>
      </c>
      <c r="D24" t="s">
        <v>42</v>
      </c>
      <c r="E24">
        <v>1</v>
      </c>
      <c r="F24">
        <v>90</v>
      </c>
      <c r="G24" t="s">
        <v>28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81</v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>
        <f ca="1">IF(Tabla1[[#This Row],['#]]&lt;&gt;"", NOW(), "")</f>
        <v>46062.641601157404</v>
      </c>
      <c r="C25">
        <f t="shared" si="0"/>
        <v>21</v>
      </c>
      <c r="D25" t="s">
        <v>43</v>
      </c>
      <c r="E25">
        <v>2</v>
      </c>
      <c r="F25">
        <v>200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400</v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/>
      <c r="N27" s="20"/>
      <c r="O27" s="23"/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4" priority="1">
      <formula>C5&gt;0&amp;ISBLANK(B5)</formula>
    </cfRule>
  </conditionalFormatting>
  <conditionalFormatting sqref="D5:D6">
    <cfRule type="expression" dxfId="13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J27" sqref="J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44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1585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11</v>
      </c>
      <c r="M4" s="36" t="s">
        <v>56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46062.641601157404</v>
      </c>
      <c r="C5">
        <f t="shared" ref="C5:C68" si="0">IF(ISNUMBER(E5), IF(ISNUMBER(C4), C4+1, 1), "")</f>
        <v>1</v>
      </c>
      <c r="D5" t="s">
        <v>45</v>
      </c>
      <c r="E5">
        <v>1</v>
      </c>
      <c r="F5">
        <v>50</v>
      </c>
      <c r="G5" t="s">
        <v>28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46062.641601157404</v>
      </c>
      <c r="C6">
        <f t="shared" si="0"/>
        <v>2</v>
      </c>
      <c r="D6" t="s">
        <v>48</v>
      </c>
      <c r="E6">
        <v>1</v>
      </c>
      <c r="F6">
        <v>700</v>
      </c>
      <c r="G6" t="s">
        <v>28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630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46062.641601157404</v>
      </c>
      <c r="C7">
        <f t="shared" si="0"/>
        <v>3</v>
      </c>
      <c r="D7" t="s">
        <v>46</v>
      </c>
      <c r="E7">
        <v>1</v>
      </c>
      <c r="F7">
        <v>63</v>
      </c>
      <c r="G7" t="s">
        <v>28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57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46062.641601157404</v>
      </c>
      <c r="C8">
        <f t="shared" si="0"/>
        <v>4</v>
      </c>
      <c r="D8" t="s">
        <v>47</v>
      </c>
      <c r="E8">
        <v>1</v>
      </c>
      <c r="F8">
        <v>142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142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46062.641601157404</v>
      </c>
      <c r="C9">
        <f t="shared" si="0"/>
        <v>5</v>
      </c>
      <c r="D9" t="s">
        <v>32</v>
      </c>
      <c r="E9">
        <v>1</v>
      </c>
      <c r="F9">
        <v>90</v>
      </c>
      <c r="G9" t="s">
        <v>28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85.5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46062.641601157404</v>
      </c>
      <c r="C10">
        <f t="shared" si="0"/>
        <v>6</v>
      </c>
      <c r="D10" t="s">
        <v>49</v>
      </c>
      <c r="E10">
        <v>1</v>
      </c>
      <c r="F10">
        <v>57</v>
      </c>
      <c r="G10" t="s">
        <v>28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51.5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46062.641601157404</v>
      </c>
      <c r="C11">
        <f t="shared" si="0"/>
        <v>7</v>
      </c>
      <c r="D11" t="s">
        <v>50</v>
      </c>
      <c r="E11">
        <v>2</v>
      </c>
      <c r="F11">
        <v>15</v>
      </c>
      <c r="G11" t="s">
        <v>28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27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46062.641601157404</v>
      </c>
      <c r="C12">
        <f t="shared" si="0"/>
        <v>8</v>
      </c>
      <c r="D12" t="s">
        <v>51</v>
      </c>
      <c r="E12">
        <v>1</v>
      </c>
      <c r="F12">
        <v>70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70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46062.641601157404</v>
      </c>
      <c r="C13">
        <f t="shared" si="0"/>
        <v>9</v>
      </c>
      <c r="D13" t="s">
        <v>31</v>
      </c>
      <c r="E13">
        <v>1</v>
      </c>
      <c r="F13">
        <v>36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36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46062.641601157404</v>
      </c>
      <c r="C14">
        <f t="shared" si="0"/>
        <v>10</v>
      </c>
      <c r="D14" t="s">
        <v>52</v>
      </c>
      <c r="E14">
        <v>2</v>
      </c>
      <c r="F14">
        <v>135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270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46062.641601157404</v>
      </c>
      <c r="C15">
        <f t="shared" si="0"/>
        <v>11</v>
      </c>
      <c r="D15" t="s">
        <v>55</v>
      </c>
      <c r="E15">
        <v>1</v>
      </c>
      <c r="F15">
        <v>190</v>
      </c>
      <c r="G15" t="s">
        <v>28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171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46062.641601157404</v>
      </c>
      <c r="C16" t="str">
        <f t="shared" si="0"/>
        <v/>
      </c>
      <c r="H16" s="5" t="str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46062.641601157404</v>
      </c>
      <c r="C17" t="str">
        <f t="shared" si="0"/>
        <v/>
      </c>
      <c r="H17" s="5" t="str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46062.641601157404</v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46062.641601157404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46062.641601157404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46062.641601157404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46062.641601157404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46062.641601157404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46062.641601157404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46062.641601157404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45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53</v>
      </c>
      <c r="N27" s="15">
        <v>2330</v>
      </c>
      <c r="O27" s="39"/>
      <c r="P27" s="40"/>
      <c r="Q27" s="40"/>
      <c r="R27" s="41"/>
    </row>
    <row r="28" spans="2:18" ht="30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54</v>
      </c>
      <c r="N28" s="15">
        <v>3045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2" priority="1">
      <formula>C5&gt;0&amp;ISBLANK(B5)</formula>
    </cfRule>
  </conditionalFormatting>
  <conditionalFormatting sqref="D5:D6">
    <cfRule type="expression" dxfId="11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57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2544.5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46062.641601157404</v>
      </c>
      <c r="C5">
        <f>IF(ISNUMBER(E5), IF(ISNUMBER(C4), C4+1, 1), "")</f>
        <v>1</v>
      </c>
      <c r="D5" t="s">
        <v>58</v>
      </c>
      <c r="E5">
        <v>1</v>
      </c>
      <c r="F5">
        <v>30</v>
      </c>
      <c r="G5" t="s">
        <v>28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27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46062.641601157404</v>
      </c>
      <c r="C6">
        <f>IF(ISNUMBER(E6), IF(ISNUMBER(C5), C5+1, 1), "")</f>
        <v>2</v>
      </c>
      <c r="D6" t="s">
        <v>59</v>
      </c>
      <c r="E6">
        <v>1</v>
      </c>
      <c r="F6">
        <v>62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62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46062.641601157404</v>
      </c>
      <c r="C7">
        <f>IF(ISNUMBER(E7), IF(ISNUMBER(C6), C6+1, 1), "")</f>
        <v>3</v>
      </c>
      <c r="D7" t="s">
        <v>60</v>
      </c>
      <c r="E7">
        <v>1</v>
      </c>
      <c r="F7">
        <v>45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45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46062.641601157404</v>
      </c>
      <c r="C8">
        <f t="shared" ref="C8:C68" si="0">IF(ISNUMBER(E8), IF(ISNUMBER(C7), C7+1, 1), "")</f>
        <v>4</v>
      </c>
      <c r="D8" t="s">
        <v>61</v>
      </c>
      <c r="E8">
        <v>1</v>
      </c>
      <c r="F8">
        <v>90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90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46062.641601157404</v>
      </c>
      <c r="C9">
        <f t="shared" si="0"/>
        <v>5</v>
      </c>
      <c r="D9" t="s">
        <v>62</v>
      </c>
      <c r="E9">
        <v>1</v>
      </c>
      <c r="F9">
        <v>645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645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46062.641601157404</v>
      </c>
      <c r="C10">
        <f t="shared" si="0"/>
        <v>6</v>
      </c>
      <c r="D10" t="s">
        <v>63</v>
      </c>
      <c r="E10">
        <v>1</v>
      </c>
      <c r="F10">
        <v>220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220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46062.641601157404</v>
      </c>
      <c r="C11">
        <f t="shared" si="0"/>
        <v>7</v>
      </c>
      <c r="D11" t="s">
        <v>64</v>
      </c>
      <c r="E11">
        <v>1</v>
      </c>
      <c r="F11">
        <v>45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45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46062.641601157404</v>
      </c>
      <c r="C12">
        <f t="shared" si="0"/>
        <v>8</v>
      </c>
      <c r="D12" t="s">
        <v>65</v>
      </c>
      <c r="E12">
        <v>1</v>
      </c>
      <c r="F12">
        <v>285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285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46062.641601157404</v>
      </c>
      <c r="C13">
        <f t="shared" si="0"/>
        <v>9</v>
      </c>
      <c r="D13" t="s">
        <v>31</v>
      </c>
      <c r="E13">
        <v>1</v>
      </c>
      <c r="F13">
        <v>36</v>
      </c>
      <c r="G13" t="s">
        <v>28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32.5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46062.641601157404</v>
      </c>
      <c r="C14">
        <f t="shared" si="0"/>
        <v>10</v>
      </c>
      <c r="D14" t="s">
        <v>66</v>
      </c>
      <c r="E14">
        <v>1</v>
      </c>
      <c r="F14">
        <v>380</v>
      </c>
      <c r="G14" t="s">
        <v>28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342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46062.641601157404</v>
      </c>
      <c r="C15">
        <f t="shared" si="0"/>
        <v>11</v>
      </c>
      <c r="D15" t="s">
        <v>67</v>
      </c>
      <c r="E15">
        <v>1</v>
      </c>
      <c r="F15">
        <v>110</v>
      </c>
      <c r="G15" t="s">
        <v>28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99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46062.641601157404</v>
      </c>
      <c r="C16">
        <f t="shared" si="0"/>
        <v>12</v>
      </c>
      <c r="D16" t="s">
        <v>68</v>
      </c>
      <c r="E16">
        <v>1</v>
      </c>
      <c r="F16">
        <v>142</v>
      </c>
      <c r="G16" t="s">
        <v>28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128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46062.641601157404</v>
      </c>
      <c r="C17">
        <f t="shared" si="0"/>
        <v>13</v>
      </c>
      <c r="D17" t="s">
        <v>69</v>
      </c>
      <c r="E17">
        <v>2</v>
      </c>
      <c r="F17">
        <v>20</v>
      </c>
      <c r="G17" t="s">
        <v>28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36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46062.641601157404</v>
      </c>
      <c r="C18">
        <f t="shared" si="0"/>
        <v>14</v>
      </c>
      <c r="D18" t="s">
        <v>41</v>
      </c>
      <c r="E18">
        <v>1</v>
      </c>
      <c r="F18">
        <v>15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15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46062.641601157404</v>
      </c>
      <c r="C19">
        <f t="shared" si="0"/>
        <v>15</v>
      </c>
      <c r="D19" t="s">
        <v>35</v>
      </c>
      <c r="E19">
        <v>2</v>
      </c>
      <c r="F19">
        <v>57</v>
      </c>
      <c r="G19" t="s">
        <v>28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103</v>
      </c>
      <c r="M19" s="36"/>
      <c r="N19" s="36"/>
      <c r="O19" s="36"/>
      <c r="P19" s="36"/>
      <c r="Q19" s="36"/>
      <c r="R19" s="36"/>
    </row>
    <row r="20" spans="2:18" x14ac:dyDescent="0.25">
      <c r="C20">
        <f t="shared" si="0"/>
        <v>16</v>
      </c>
      <c r="D20" t="s">
        <v>70</v>
      </c>
      <c r="E20">
        <v>1</v>
      </c>
      <c r="F20">
        <v>50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50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46062.641601157404</v>
      </c>
      <c r="C21">
        <f t="shared" si="0"/>
        <v>17</v>
      </c>
      <c r="D21" t="s">
        <v>71</v>
      </c>
      <c r="E21">
        <v>1</v>
      </c>
      <c r="F21">
        <v>135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135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46062.641601157404</v>
      </c>
      <c r="C22">
        <f t="shared" si="0"/>
        <v>18</v>
      </c>
      <c r="D22" t="s">
        <v>72</v>
      </c>
      <c r="E22">
        <v>1</v>
      </c>
      <c r="F22">
        <v>185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185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46062.641601157404</v>
      </c>
      <c r="C23" t="str">
        <f t="shared" si="0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46062.641601157404</v>
      </c>
      <c r="C24" t="str">
        <f t="shared" si="0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>
        <f ca="1">IF(Tabla1[[#This Row],['#]]&lt;&gt;"", NOW(), "")</f>
        <v>46062.641601157404</v>
      </c>
      <c r="C25" t="str">
        <f t="shared" si="0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E39" s="18" t="str">
        <f ca="1">IF(Tabla1[[#This Row],['#]]&lt;&gt;"", NOW(), "")</f>
        <v/>
      </c>
      <c r="H39" s="5"/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9 B21:B103">
    <cfRule type="expression" dxfId="10" priority="1">
      <formula>C5&gt;0&amp;ISBLANK(B5)</formula>
    </cfRule>
  </conditionalFormatting>
  <conditionalFormatting sqref="D5:D6">
    <cfRule type="expression" dxfId="9" priority="2">
      <formula>E5&gt;0&amp;ISBLANK(D5)</formula>
    </cfRule>
  </conditionalFormatting>
  <conditionalFormatting sqref="E39">
    <cfRule type="expression" dxfId="8" priority="4">
      <formula>C20&gt;0&amp;ISBLANK(E39)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73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3463.5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46062.641601157404</v>
      </c>
      <c r="C5">
        <f t="shared" ref="C5:C68" si="0">IF(ISNUMBER(E5), IF(ISNUMBER(C4), C4+1, 1), "")</f>
        <v>1</v>
      </c>
      <c r="D5" t="s">
        <v>33</v>
      </c>
      <c r="E5">
        <v>2</v>
      </c>
      <c r="F5">
        <v>3</v>
      </c>
      <c r="G5" t="s">
        <v>28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5.5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46062.641601157404</v>
      </c>
      <c r="C6">
        <f t="shared" si="0"/>
        <v>2</v>
      </c>
      <c r="D6" t="s">
        <v>74</v>
      </c>
      <c r="E6">
        <v>1</v>
      </c>
      <c r="F6">
        <v>12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46062.641601157404</v>
      </c>
      <c r="C7">
        <f t="shared" si="0"/>
        <v>3</v>
      </c>
      <c r="D7" t="s">
        <v>75</v>
      </c>
      <c r="E7">
        <v>1</v>
      </c>
      <c r="F7">
        <v>104</v>
      </c>
      <c r="G7" t="s">
        <v>28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94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46062.641601157404</v>
      </c>
      <c r="C8">
        <f t="shared" si="0"/>
        <v>4</v>
      </c>
      <c r="D8" t="s">
        <v>76</v>
      </c>
      <c r="E8">
        <v>1</v>
      </c>
      <c r="F8">
        <v>101</v>
      </c>
      <c r="G8" t="s">
        <v>28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91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46062.641601157404</v>
      </c>
      <c r="C9">
        <f t="shared" si="0"/>
        <v>5</v>
      </c>
      <c r="D9" t="s">
        <v>78</v>
      </c>
      <c r="E9">
        <v>1</v>
      </c>
      <c r="F9">
        <v>265</v>
      </c>
      <c r="G9" t="s">
        <v>28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238.5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46062.641601157404</v>
      </c>
      <c r="C10">
        <f t="shared" si="0"/>
        <v>6</v>
      </c>
      <c r="D10" t="s">
        <v>77</v>
      </c>
      <c r="E10">
        <v>1</v>
      </c>
      <c r="F10">
        <v>580</v>
      </c>
      <c r="G10" t="s">
        <v>28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522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46062.641601157404</v>
      </c>
      <c r="C11">
        <f t="shared" si="0"/>
        <v>7</v>
      </c>
      <c r="D11" t="s">
        <v>79</v>
      </c>
      <c r="E11">
        <v>1</v>
      </c>
      <c r="F11">
        <v>478</v>
      </c>
      <c r="G11" t="s">
        <v>28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430.5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46062.641601157404</v>
      </c>
      <c r="C12">
        <f t="shared" si="0"/>
        <v>8</v>
      </c>
      <c r="D12" t="s">
        <v>60</v>
      </c>
      <c r="E12">
        <v>1</v>
      </c>
      <c r="F12">
        <v>45</v>
      </c>
      <c r="G12" t="s">
        <v>28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40.5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46062.641601157404</v>
      </c>
      <c r="C13">
        <f t="shared" si="0"/>
        <v>9</v>
      </c>
      <c r="D13" t="s">
        <v>80</v>
      </c>
      <c r="E13">
        <v>1</v>
      </c>
      <c r="F13">
        <v>142</v>
      </c>
      <c r="G13" t="s">
        <v>28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128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46062.641601157404</v>
      </c>
      <c r="C14">
        <f t="shared" si="0"/>
        <v>10</v>
      </c>
      <c r="D14" t="s">
        <v>81</v>
      </c>
      <c r="E14">
        <v>1</v>
      </c>
      <c r="F14">
        <v>75</v>
      </c>
      <c r="G14" t="s">
        <v>28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67.5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46062.641601157404</v>
      </c>
      <c r="C15">
        <f t="shared" si="0"/>
        <v>11</v>
      </c>
      <c r="D15" t="s">
        <v>82</v>
      </c>
      <c r="E15">
        <v>2</v>
      </c>
      <c r="F15">
        <v>80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160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46062.641601157404</v>
      </c>
      <c r="C16">
        <f t="shared" si="0"/>
        <v>12</v>
      </c>
      <c r="D16" t="s">
        <v>83</v>
      </c>
      <c r="E16">
        <v>1</v>
      </c>
      <c r="F16">
        <v>110</v>
      </c>
      <c r="G16" t="s">
        <v>28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99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46062.641601157404</v>
      </c>
      <c r="C17">
        <f t="shared" si="0"/>
        <v>13</v>
      </c>
      <c r="D17" t="s">
        <v>84</v>
      </c>
      <c r="E17">
        <v>1</v>
      </c>
      <c r="F17">
        <v>60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60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46062.641601157404</v>
      </c>
      <c r="C18">
        <f t="shared" si="0"/>
        <v>14</v>
      </c>
      <c r="D18" t="s">
        <v>85</v>
      </c>
      <c r="E18">
        <v>1</v>
      </c>
      <c r="F18">
        <v>10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10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46062.641601157404</v>
      </c>
      <c r="C19">
        <f t="shared" si="0"/>
        <v>15</v>
      </c>
      <c r="D19" t="s">
        <v>86</v>
      </c>
      <c r="E19">
        <v>1</v>
      </c>
      <c r="F19">
        <v>185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185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46062.641601157404</v>
      </c>
      <c r="C20">
        <f t="shared" si="0"/>
        <v>16</v>
      </c>
      <c r="D20" t="s">
        <v>87</v>
      </c>
      <c r="E20">
        <v>1</v>
      </c>
      <c r="F20">
        <v>150</v>
      </c>
      <c r="G20" t="s">
        <v>28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135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46062.641601157404</v>
      </c>
      <c r="C21">
        <f t="shared" si="0"/>
        <v>17</v>
      </c>
      <c r="D21" t="s">
        <v>88</v>
      </c>
      <c r="E21">
        <v>1</v>
      </c>
      <c r="F21">
        <v>580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580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46062.641601157404</v>
      </c>
      <c r="C22">
        <f t="shared" si="0"/>
        <v>18</v>
      </c>
      <c r="D22" t="s">
        <v>89</v>
      </c>
      <c r="E22">
        <v>1</v>
      </c>
      <c r="F22">
        <v>350</v>
      </c>
      <c r="G22" t="s">
        <v>28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315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46062.641601157404</v>
      </c>
      <c r="C23">
        <f t="shared" si="0"/>
        <v>19</v>
      </c>
      <c r="D23" t="s">
        <v>90</v>
      </c>
      <c r="E23">
        <v>2</v>
      </c>
      <c r="F23">
        <v>40</v>
      </c>
      <c r="G23" t="s">
        <v>28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72</v>
      </c>
    </row>
    <row r="24" spans="2:18" ht="15" customHeight="1" x14ac:dyDescent="0.25">
      <c r="B24" s="18">
        <f ca="1">IF(Tabla1[[#This Row],['#]]&lt;&gt;"", NOW(), "")</f>
        <v>46062.641601157404</v>
      </c>
      <c r="C24">
        <f t="shared" si="0"/>
        <v>20</v>
      </c>
      <c r="D24" t="s">
        <v>91</v>
      </c>
      <c r="E24">
        <v>1</v>
      </c>
      <c r="F24">
        <v>218</v>
      </c>
      <c r="H24" s="5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>218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46062.641601157404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30" sqref="D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92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3184.5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25</v>
      </c>
      <c r="M4" s="36" t="s">
        <v>123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46062.641601157404</v>
      </c>
      <c r="C5">
        <f t="shared" ref="C5:C68" si="0">IF(ISNUMBER(E5), IF(ISNUMBER(C4), C4+1, 1), "")</f>
        <v>1</v>
      </c>
      <c r="D5" t="s">
        <v>99</v>
      </c>
      <c r="E5">
        <v>2</v>
      </c>
      <c r="F5">
        <v>15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30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46062.641601157404</v>
      </c>
      <c r="C6">
        <f t="shared" si="0"/>
        <v>2</v>
      </c>
      <c r="D6" t="s">
        <v>100</v>
      </c>
      <c r="E6">
        <v>1</v>
      </c>
      <c r="F6">
        <v>185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185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46062.641601157404</v>
      </c>
      <c r="C7">
        <f t="shared" si="0"/>
        <v>3</v>
      </c>
      <c r="D7" t="s">
        <v>101</v>
      </c>
      <c r="E7">
        <v>1</v>
      </c>
      <c r="F7">
        <v>35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35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46062.641601157404</v>
      </c>
      <c r="C8">
        <f t="shared" si="0"/>
        <v>4</v>
      </c>
      <c r="D8" t="s">
        <v>102</v>
      </c>
      <c r="E8">
        <v>1</v>
      </c>
      <c r="F8">
        <v>30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46062.641601157404</v>
      </c>
      <c r="C9">
        <f t="shared" si="0"/>
        <v>5</v>
      </c>
      <c r="D9" t="s">
        <v>31</v>
      </c>
      <c r="E9">
        <v>1</v>
      </c>
      <c r="F9">
        <v>36</v>
      </c>
      <c r="G9" t="s">
        <v>28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32.5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46062.641601157404</v>
      </c>
      <c r="C10">
        <f t="shared" si="0"/>
        <v>6</v>
      </c>
      <c r="D10" t="s">
        <v>104</v>
      </c>
      <c r="E10">
        <v>1</v>
      </c>
      <c r="F10">
        <v>71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71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46062.641601157404</v>
      </c>
      <c r="C11">
        <f t="shared" si="0"/>
        <v>7</v>
      </c>
      <c r="D11" t="s">
        <v>47</v>
      </c>
      <c r="E11">
        <v>2</v>
      </c>
      <c r="F11">
        <v>142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284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46062.641601157404</v>
      </c>
      <c r="C12">
        <f t="shared" si="0"/>
        <v>8</v>
      </c>
      <c r="D12" t="s">
        <v>35</v>
      </c>
      <c r="E12">
        <v>1</v>
      </c>
      <c r="F12">
        <v>57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57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46062.641601157404</v>
      </c>
      <c r="C13">
        <f t="shared" si="0"/>
        <v>9</v>
      </c>
      <c r="D13" t="s">
        <v>105</v>
      </c>
      <c r="E13">
        <v>1</v>
      </c>
      <c r="F13">
        <v>78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78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46062.641601157404</v>
      </c>
      <c r="C14">
        <f t="shared" si="0"/>
        <v>10</v>
      </c>
      <c r="D14" t="s">
        <v>106</v>
      </c>
      <c r="E14">
        <v>1</v>
      </c>
      <c r="F14">
        <v>90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90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46062.641601157404</v>
      </c>
      <c r="C15">
        <f t="shared" si="0"/>
        <v>11</v>
      </c>
      <c r="D15" t="s">
        <v>107</v>
      </c>
      <c r="E15">
        <v>1</v>
      </c>
      <c r="F15">
        <v>68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68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46062.641601157404</v>
      </c>
      <c r="C16">
        <f t="shared" si="0"/>
        <v>12</v>
      </c>
      <c r="D16" t="s">
        <v>108</v>
      </c>
      <c r="E16">
        <v>1</v>
      </c>
      <c r="F16">
        <v>72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72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46062.641601157404</v>
      </c>
      <c r="C17">
        <f t="shared" si="0"/>
        <v>13</v>
      </c>
      <c r="D17" t="s">
        <v>109</v>
      </c>
      <c r="E17">
        <v>1</v>
      </c>
      <c r="F17">
        <v>52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52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46062.641601157404</v>
      </c>
      <c r="C18">
        <f t="shared" si="0"/>
        <v>14</v>
      </c>
      <c r="D18" t="s">
        <v>110</v>
      </c>
      <c r="E18">
        <v>1</v>
      </c>
      <c r="F18">
        <v>15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46062.641601157404</v>
      </c>
      <c r="C19">
        <f t="shared" si="0"/>
        <v>15</v>
      </c>
      <c r="D19" t="s">
        <v>111</v>
      </c>
      <c r="E19">
        <v>1</v>
      </c>
      <c r="F19">
        <v>30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30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46062.641601157404</v>
      </c>
      <c r="C20">
        <f t="shared" si="0"/>
        <v>16</v>
      </c>
      <c r="D20" t="s">
        <v>32</v>
      </c>
      <c r="E20">
        <v>1</v>
      </c>
      <c r="F20">
        <v>90</v>
      </c>
      <c r="G20" t="s">
        <v>28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85.5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46062.641601157404</v>
      </c>
      <c r="C21">
        <f t="shared" si="0"/>
        <v>17</v>
      </c>
      <c r="D21" t="s">
        <v>113</v>
      </c>
      <c r="E21">
        <v>1</v>
      </c>
      <c r="F21">
        <v>800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800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46062.641601157404</v>
      </c>
      <c r="C22">
        <f t="shared" si="0"/>
        <v>18</v>
      </c>
      <c r="D22" t="s">
        <v>114</v>
      </c>
      <c r="E22">
        <v>1</v>
      </c>
      <c r="F22">
        <v>691</v>
      </c>
      <c r="G22" t="s">
        <v>28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622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46062.641601157404</v>
      </c>
      <c r="C23">
        <f t="shared" si="0"/>
        <v>19</v>
      </c>
      <c r="D23" t="s">
        <v>115</v>
      </c>
      <c r="E23">
        <v>1</v>
      </c>
      <c r="F23">
        <v>85</v>
      </c>
      <c r="G23" t="s">
        <v>28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76.5</v>
      </c>
    </row>
    <row r="24" spans="2:18" ht="15" customHeight="1" x14ac:dyDescent="0.25">
      <c r="B24" s="18">
        <f ca="1">IF(Tabla1[[#This Row],['#]]&lt;&gt;"", NOW(), "")</f>
        <v>46062.641601157404</v>
      </c>
      <c r="C24">
        <f t="shared" si="0"/>
        <v>20</v>
      </c>
      <c r="D24" t="s">
        <v>116</v>
      </c>
      <c r="E24">
        <v>2</v>
      </c>
      <c r="F24">
        <v>5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10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46062.641601157404</v>
      </c>
      <c r="C25">
        <f t="shared" si="0"/>
        <v>21</v>
      </c>
      <c r="D25" t="s">
        <v>117</v>
      </c>
      <c r="E25">
        <v>1</v>
      </c>
      <c r="F25">
        <v>30</v>
      </c>
      <c r="G25" t="s">
        <v>28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27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118</v>
      </c>
      <c r="E26">
        <v>1</v>
      </c>
      <c r="F26">
        <v>60</v>
      </c>
      <c r="G26" t="s">
        <v>28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54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119</v>
      </c>
      <c r="E27">
        <v>2</v>
      </c>
      <c r="F27">
        <v>5</v>
      </c>
      <c r="G27" t="s">
        <v>28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9</v>
      </c>
      <c r="M27" s="13" t="s">
        <v>93</v>
      </c>
      <c r="N27" s="15">
        <v>2330</v>
      </c>
      <c r="O27" s="39" t="s">
        <v>94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120</v>
      </c>
      <c r="E28">
        <v>1</v>
      </c>
      <c r="F28">
        <v>350</v>
      </c>
      <c r="G28" t="s">
        <v>28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315</v>
      </c>
      <c r="M28" s="13" t="s">
        <v>95</v>
      </c>
      <c r="N28" s="15">
        <v>3045</v>
      </c>
      <c r="O28" s="39" t="s">
        <v>94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121</v>
      </c>
      <c r="E29">
        <v>1</v>
      </c>
      <c r="F29">
        <v>62</v>
      </c>
      <c r="G29" t="s">
        <v>28</v>
      </c>
      <c r="H29" s="5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>56</v>
      </c>
      <c r="M29" s="13" t="s">
        <v>103</v>
      </c>
      <c r="N29" s="15">
        <v>9515</v>
      </c>
      <c r="O29" s="39" t="s">
        <v>96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122</v>
      </c>
      <c r="N30" s="15">
        <v>28</v>
      </c>
      <c r="O30" s="39" t="s">
        <v>96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97</v>
      </c>
      <c r="N31" s="15">
        <v>1500</v>
      </c>
      <c r="O31" s="39" t="s">
        <v>96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98</v>
      </c>
      <c r="N32" s="15">
        <v>16418</v>
      </c>
      <c r="O32" s="39" t="s">
        <v>112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124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2940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36" t="s">
        <v>148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46062.641601157404</v>
      </c>
      <c r="C5">
        <f t="shared" ref="C5:C68" si="0">IF(ISNUMBER(E5), IF(ISNUMBER(C4), C4+1, 1), "")</f>
        <v>1</v>
      </c>
      <c r="D5" t="s">
        <v>126</v>
      </c>
      <c r="E5">
        <v>1</v>
      </c>
      <c r="F5">
        <v>11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11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46062.641601157404</v>
      </c>
      <c r="C6">
        <f t="shared" si="0"/>
        <v>2</v>
      </c>
      <c r="D6" t="s">
        <v>127</v>
      </c>
      <c r="E6">
        <v>2</v>
      </c>
      <c r="F6">
        <v>123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246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46062.641601157404</v>
      </c>
      <c r="C7">
        <f t="shared" si="0"/>
        <v>3</v>
      </c>
      <c r="D7" t="s">
        <v>128</v>
      </c>
      <c r="E7">
        <v>1</v>
      </c>
      <c r="F7">
        <v>20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20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46062.641601157404</v>
      </c>
      <c r="C8">
        <f t="shared" si="0"/>
        <v>4</v>
      </c>
      <c r="D8" t="s">
        <v>129</v>
      </c>
      <c r="E8">
        <v>1</v>
      </c>
      <c r="F8">
        <v>380</v>
      </c>
      <c r="G8" t="s">
        <v>28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342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46062.641601157404</v>
      </c>
      <c r="C9">
        <f t="shared" si="0"/>
        <v>5</v>
      </c>
      <c r="D9" t="s">
        <v>130</v>
      </c>
      <c r="E9">
        <v>1</v>
      </c>
      <c r="F9">
        <v>72</v>
      </c>
      <c r="G9" t="s">
        <v>28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65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46062.641601157404</v>
      </c>
      <c r="C10">
        <f t="shared" si="0"/>
        <v>6</v>
      </c>
      <c r="D10" t="s">
        <v>131</v>
      </c>
      <c r="E10">
        <v>1</v>
      </c>
      <c r="F10">
        <v>185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185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46062.641601157404</v>
      </c>
      <c r="C11">
        <f t="shared" si="0"/>
        <v>7</v>
      </c>
      <c r="D11" t="s">
        <v>132</v>
      </c>
      <c r="E11">
        <v>1</v>
      </c>
      <c r="F11">
        <v>799</v>
      </c>
      <c r="G11" t="s">
        <v>28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719.5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46062.641601157404</v>
      </c>
      <c r="C12">
        <f t="shared" si="0"/>
        <v>8</v>
      </c>
      <c r="D12" t="s">
        <v>133</v>
      </c>
      <c r="E12">
        <v>1</v>
      </c>
      <c r="F12">
        <v>65</v>
      </c>
      <c r="G12" t="s">
        <v>28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58.5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46062.641601157404</v>
      </c>
      <c r="C13">
        <f t="shared" si="0"/>
        <v>9</v>
      </c>
      <c r="D13" t="s">
        <v>39</v>
      </c>
      <c r="E13">
        <v>1</v>
      </c>
      <c r="F13">
        <v>50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50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46062.641601157404</v>
      </c>
      <c r="C14">
        <f t="shared" si="0"/>
        <v>10</v>
      </c>
      <c r="D14" t="s">
        <v>135</v>
      </c>
      <c r="E14">
        <v>1</v>
      </c>
      <c r="F14">
        <v>25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25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46062.641601157404</v>
      </c>
      <c r="C15">
        <f t="shared" si="0"/>
        <v>11</v>
      </c>
      <c r="D15" t="s">
        <v>136</v>
      </c>
      <c r="E15">
        <v>1</v>
      </c>
      <c r="F15">
        <v>15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46062.641601157404</v>
      </c>
      <c r="C16">
        <f t="shared" si="0"/>
        <v>12</v>
      </c>
      <c r="D16" t="s">
        <v>137</v>
      </c>
      <c r="E16">
        <v>1</v>
      </c>
      <c r="F16">
        <v>75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75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46062.641601157404</v>
      </c>
      <c r="C17">
        <f t="shared" si="0"/>
        <v>13</v>
      </c>
      <c r="D17" t="s">
        <v>138</v>
      </c>
      <c r="E17">
        <v>1</v>
      </c>
      <c r="F17">
        <v>15</v>
      </c>
      <c r="G17" t="s">
        <v>28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13.5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46062.641601157404</v>
      </c>
      <c r="C18">
        <f t="shared" si="0"/>
        <v>14</v>
      </c>
      <c r="D18" t="s">
        <v>139</v>
      </c>
      <c r="E18">
        <v>1</v>
      </c>
      <c r="F18">
        <v>239</v>
      </c>
      <c r="G18" t="s">
        <v>28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215.5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46062.641601157404</v>
      </c>
      <c r="C19">
        <f t="shared" si="0"/>
        <v>15</v>
      </c>
      <c r="D19" t="s">
        <v>127</v>
      </c>
      <c r="E19">
        <v>1</v>
      </c>
      <c r="F19">
        <v>123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123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46062.641601157404</v>
      </c>
      <c r="C20">
        <f t="shared" si="0"/>
        <v>16</v>
      </c>
      <c r="D20" t="s">
        <v>140</v>
      </c>
      <c r="E20">
        <v>1</v>
      </c>
      <c r="F20">
        <v>28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28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46062.641601157404</v>
      </c>
      <c r="C21">
        <f t="shared" si="0"/>
        <v>17</v>
      </c>
      <c r="D21" t="s">
        <v>141</v>
      </c>
      <c r="E21">
        <v>1</v>
      </c>
      <c r="F21">
        <v>35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35</v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46062.641601157404</v>
      </c>
      <c r="C22">
        <f t="shared" si="0"/>
        <v>18</v>
      </c>
      <c r="D22" t="s">
        <v>142</v>
      </c>
      <c r="E22">
        <v>1</v>
      </c>
      <c r="F22">
        <v>20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20</v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46062.641601157404</v>
      </c>
      <c r="C23">
        <f t="shared" si="0"/>
        <v>19</v>
      </c>
      <c r="D23" t="s">
        <v>143</v>
      </c>
      <c r="E23">
        <v>1</v>
      </c>
      <c r="F23">
        <v>85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85</v>
      </c>
    </row>
    <row r="24" spans="2:18" ht="15" customHeight="1" x14ac:dyDescent="0.25">
      <c r="B24" s="18">
        <f ca="1">IF(Tabla1[[#This Row],['#]]&lt;&gt;"", NOW(), "")</f>
        <v>46062.641601157404</v>
      </c>
      <c r="C24">
        <f t="shared" si="0"/>
        <v>20</v>
      </c>
      <c r="D24" t="s">
        <v>144</v>
      </c>
      <c r="E24">
        <v>1</v>
      </c>
      <c r="F24">
        <v>320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320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46062.641601157404</v>
      </c>
      <c r="C25">
        <f t="shared" si="0"/>
        <v>21</v>
      </c>
      <c r="D25" t="s">
        <v>145</v>
      </c>
      <c r="E25">
        <v>1</v>
      </c>
      <c r="F25">
        <v>120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120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146</v>
      </c>
      <c r="E26">
        <v>1</v>
      </c>
      <c r="F26">
        <v>68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68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147</v>
      </c>
      <c r="E27">
        <v>2</v>
      </c>
      <c r="F27">
        <v>50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100</v>
      </c>
      <c r="M27" s="13" t="s">
        <v>125</v>
      </c>
      <c r="N27" s="15">
        <v>50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 t="s">
        <v>134</v>
      </c>
      <c r="N28" s="15">
        <v>4856</v>
      </c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46062.641601157404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46062.641601157404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46062.641601157404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46062.641601157404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46062.641601157404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46062.641601157404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46062.641601157404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46062.641601157404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46062.641601157404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46062.641601157404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46062.641601157404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46062.641601157404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46062.641601157404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46062.641601157404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46062.641601157404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46062.641601157404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>
        <f ca="1">IF(Tabla1[[#This Row],['#]]&lt;&gt;"", NOW(), "")</f>
        <v>46062.641601157404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>
        <f ca="1">IF(Tabla1[[#This Row],['#]]&lt;&gt;"", NOW(), "")</f>
        <v>46062.641601157404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46062.641601157404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>
        <f ca="1">IF(Tabla1[[#This Row],['#]]&lt;&gt;"", NOW(), "")</f>
        <v>46062.641601157404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1</vt:i4>
      </vt:variant>
    </vt:vector>
  </HeadingPairs>
  <TitlesOfParts>
    <vt:vector size="9" baseType="lpstr">
      <vt:lpstr>Lunes 02-02-26</vt:lpstr>
      <vt:lpstr>Martes 03-02-26</vt:lpstr>
      <vt:lpstr>Miercoles 04-02-26</vt:lpstr>
      <vt:lpstr>Jueves 05-02-26</vt:lpstr>
      <vt:lpstr>VIERNES 06-02-26</vt:lpstr>
      <vt:lpstr>Sabado 07-02-26</vt:lpstr>
      <vt:lpstr>Domingo</vt:lpstr>
      <vt:lpstr>Cambios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2026-02-10T03:06:39Z</dcterms:modified>
</cp:coreProperties>
</file>