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43813C3-80EF-4B73-A059-36EE90428983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3-02-25" sheetId="1" r:id="rId1"/>
    <sheet name="Martes 24-02-26" sheetId="2" r:id="rId2"/>
    <sheet name="Miercoles 25-02-26" sheetId="3" r:id="rId3"/>
    <sheet name="Jueves 26-02-26" sheetId="4" r:id="rId4"/>
    <sheet name="Viernes 27-02-26" sheetId="5" r:id="rId5"/>
    <sheet name=" SABADO 28-02-26" sheetId="6" r:id="rId6"/>
    <sheet name="Domingo" sheetId="8" r:id="rId7"/>
    <sheet name="Cambios" sheetId="7" r:id="rId8"/>
  </sheets>
  <definedNames>
    <definedName name="_xlnm._FilterDatabase" localSheetId="0" hidden="1">'Lunes 23-02-25'!$B$4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2" l="1"/>
  <c r="H22" i="2"/>
  <c r="H21" i="2"/>
  <c r="H20" i="2"/>
  <c r="H26" i="2"/>
  <c r="H24" i="2"/>
  <c r="H25" i="2"/>
  <c r="H19" i="2"/>
  <c r="C5" i="3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7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3" i="2"/>
  <c r="C24" i="2" s="1"/>
  <c r="C22" i="2"/>
  <c r="C20" i="2"/>
  <c r="C21" i="2" s="1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<sst xmlns="http://schemas.openxmlformats.org/spreadsheetml/2006/main" count="337" uniqueCount="166">
  <si>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</si>
  <si>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</si>
  <si>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</si>
  <si>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</si>
  <si>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</si>
  <si>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</si>
  <si>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</si>
  <si>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</si>
  <si>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</si>
  <si>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</si>
  <si>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</si>
  <si>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</si>
  <si>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</si>
  <si>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</si>
  <si>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</si>
  <si>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</si>
  <si>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</si>
  <si>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</si>
  <si>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</si>
  <si>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</si>
  <si>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</si>
  <si>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</si>
  <si>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</si>
  <si>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</si>
  <si>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</si>
  <si>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23 DE FEBRERO-25</t>
  </si>
  <si>
    <t>POPOTE PARA RIND</t>
  </si>
  <si>
    <t>CHICOTE DE ACELERADOR WS150</t>
  </si>
  <si>
    <t>X</t>
  </si>
  <si>
    <t xml:space="preserve">MARCADOR PARA LLANTA </t>
  </si>
  <si>
    <t>RETEN DE BARRAS 27-10-</t>
  </si>
  <si>
    <t>KOD DE CILINDRO PULSAR 200MS</t>
  </si>
  <si>
    <t xml:space="preserve">PORTACELULAR </t>
  </si>
  <si>
    <t>SPROKET FT125</t>
  </si>
  <si>
    <t>BIRLOS DE SPROKET F125</t>
  </si>
  <si>
    <t xml:space="preserve">ACEITE REPSOL </t>
  </si>
  <si>
    <t>CDI AT110</t>
  </si>
  <si>
    <t>CAMARA 3.00.17</t>
  </si>
  <si>
    <t>CAMARA 3.50.18</t>
  </si>
  <si>
    <t>PILA YTX -7 NASAKI</t>
  </si>
  <si>
    <t xml:space="preserve">FILTRO DE AIRE WS175 ITALIKA </t>
  </si>
  <si>
    <t>BONBA DE ACEIT FT125</t>
  </si>
  <si>
    <t>JUNTA DE CARTEL FT125</t>
  </si>
  <si>
    <t xml:space="preserve">ACEITE AKRON </t>
  </si>
  <si>
    <t>BUJIA C7</t>
  </si>
  <si>
    <t xml:space="preserve">NOTAS </t>
  </si>
  <si>
    <t xml:space="preserve">CUENTA SEMANA PASADA $ 15038.5 MENOS $ 400 DE LA NOTAS QUEDA $ 14638.5 </t>
  </si>
  <si>
    <t>Martes 24 DE FEBRERO-26</t>
  </si>
  <si>
    <t>FILTRO DE GASOLINA CARTON</t>
  </si>
  <si>
    <t>CABEZA DE CILINDRO DM200 WAPEMEX</t>
  </si>
  <si>
    <t>BIRLOS DE ESCAPE DS150</t>
  </si>
  <si>
    <t>SELLOS DE ESCAPE FT150</t>
  </si>
  <si>
    <t xml:space="preserve">CARBURADOR DE FT150 </t>
  </si>
  <si>
    <t>FOCO H4 LED</t>
  </si>
  <si>
    <t xml:space="preserve">PILA QLINK YTX 7 MOTONETA </t>
  </si>
  <si>
    <t xml:space="preserve">FILTROS DE GASOLINA CARTON </t>
  </si>
  <si>
    <t xml:space="preserve">MANGUERA DE GASOLINA </t>
  </si>
  <si>
    <t>FILTRO DE AIRE D150 NASAKI</t>
  </si>
  <si>
    <t>BALATA DE TAMBOR CHICO NASAKI</t>
  </si>
  <si>
    <t>FILTRO DE AIRE CS125 NASAKI</t>
  </si>
  <si>
    <t>PEDIDO NASAKI</t>
  </si>
  <si>
    <t xml:space="preserve">CUENTA DE AYER $ 14638.5 MENOS $ 2880 PEDIDO DE NASAKI QUEDA $ 11758.5 </t>
  </si>
  <si>
    <t>FOCO DE DIRECIONAL</t>
  </si>
  <si>
    <t xml:space="preserve">CORTADOR DE CADENA </t>
  </si>
  <si>
    <t>ACEITE YAMALUBE</t>
  </si>
  <si>
    <t>BAYONETA FT150</t>
  </si>
  <si>
    <t>CARBURADOR DS150 WAPEMEX</t>
  </si>
  <si>
    <t>BOTON DE CLAXON</t>
  </si>
  <si>
    <t xml:space="preserve">BUJIA C7 </t>
  </si>
  <si>
    <t>BOTON DE ECENDIDO ITALIKA</t>
  </si>
  <si>
    <t>SI(Tabla110[@Cantidad] &gt; 0,MULTIPLO.SUPERIOR(( Tabla110[@Cantidad]*Tabla110[@Precio]) - SI(ESNUMERO(ENCONTRAR("x", MINUSC(G22))), ( Tabla110[@Cantidad]* Tabla110[@Precio] * SI(ESNUMERO(ENCONTRAR("aceite", MINUSC(Tabla110[@Producto]))), 0.05, 0.1)), 0), 0.5), "")</t>
  </si>
  <si>
    <t>Miercoles 25 DE FEBRERO-26</t>
  </si>
  <si>
    <t>ACEITE AKRON</t>
  </si>
  <si>
    <t>PUÑOS DE FT150 YOG</t>
  </si>
  <si>
    <t>GUIAS DE CADENA 250Z</t>
  </si>
  <si>
    <t xml:space="preserve">VALVULAS DS150 </t>
  </si>
  <si>
    <t>BARILLA DE FRENO DM200</t>
  </si>
  <si>
    <t>ESTATOR GTS175 ITALIKA</t>
  </si>
  <si>
    <t>BOMBA FRENO ATV150</t>
  </si>
  <si>
    <t>FILTRO DE GASOLINA CQARTON</t>
  </si>
  <si>
    <t>BUJIA C7 NGK</t>
  </si>
  <si>
    <t>FILTRO DE ESPONJA FT150</t>
  </si>
  <si>
    <t>PILA 12N9-3B WINMEX</t>
  </si>
  <si>
    <t>PILA QLINK YTX 7</t>
  </si>
  <si>
    <t xml:space="preserve">PILAS </t>
  </si>
  <si>
    <t>GASOLINA DE DANIEL</t>
  </si>
  <si>
    <t>MANUBRIO DE FZ16</t>
  </si>
  <si>
    <t xml:space="preserve">BALATA DE DISCO DS150 </t>
  </si>
  <si>
    <t>CASCO NEGRO</t>
  </si>
  <si>
    <t xml:space="preserve">AUXILIARES DE BUHOS </t>
  </si>
  <si>
    <t xml:space="preserve">PIJAS Y GRAPAS </t>
  </si>
  <si>
    <t xml:space="preserve">SEGURO DE PIÑON </t>
  </si>
  <si>
    <t>BALERO 6202</t>
  </si>
  <si>
    <t>GOMAS DE IMPACTO RT200 ITALIKA</t>
  </si>
  <si>
    <t>CUENTA DE AYER $ 11758 MENOS $ 4783 QUEDA $6975.5 MENOS 120 DE GASOLINA DE DANIEL QUEDA $ 6855.5</t>
  </si>
  <si>
    <t xml:space="preserve">BALATA DE ATV </t>
  </si>
  <si>
    <t>BARILLA DE FRENO TRASERO DM200</t>
  </si>
  <si>
    <t>Jueves 26 DE FEBRERO-26</t>
  </si>
  <si>
    <t xml:space="preserve">PILA YTX 6.5 </t>
  </si>
  <si>
    <t xml:space="preserve">TERMINAL DE BACTERIA </t>
  </si>
  <si>
    <t>PORTA FUSIBLE</t>
  </si>
  <si>
    <t>CABLE SUELTO</t>
  </si>
  <si>
    <t>BUJES DE FT150</t>
  </si>
  <si>
    <t>PEGAMENTO WURTH</t>
  </si>
  <si>
    <t>SEGURO DE PIÑON</t>
  </si>
  <si>
    <t>FILTRO DE AIRE WS175 ITALIKA</t>
  </si>
  <si>
    <t xml:space="preserve">DEJARON ANTICIPO DEL CASCO </t>
  </si>
  <si>
    <t xml:space="preserve">SEGURO MEGA </t>
  </si>
  <si>
    <t>ARBOLDE LEVAS DS150</t>
  </si>
  <si>
    <t>BALANCIN SUPERIOR DS150</t>
  </si>
  <si>
    <t>FILTRO DE AIRE WS150</t>
  </si>
  <si>
    <t>MANDO DERECHO FT150</t>
  </si>
  <si>
    <t>PEDAL DE CAMBIO AT110</t>
  </si>
  <si>
    <t xml:space="preserve">AUXILIAR BUHOS </t>
  </si>
  <si>
    <t>FILTRO DE ACEI R15</t>
  </si>
  <si>
    <t>FLASER FT150</t>
  </si>
  <si>
    <t>Viernes 27 DE FEBRERO-26</t>
  </si>
  <si>
    <t>CANDADO PARA MOTO</t>
  </si>
  <si>
    <t>NOTAS</t>
  </si>
  <si>
    <t>LUNES 23 DE FEBRERO-26</t>
  </si>
  <si>
    <t>P.NASAKI</t>
  </si>
  <si>
    <t>MARTES 24 DE FEBRERO-26</t>
  </si>
  <si>
    <t>P.QLINK</t>
  </si>
  <si>
    <t xml:space="preserve">GASOIINA </t>
  </si>
  <si>
    <t>MIERCOLES 25 DE FEBRERO-26</t>
  </si>
  <si>
    <t>PAGOYAS</t>
  </si>
  <si>
    <t>VIERNES 27 DE FEBRERO-26</t>
  </si>
  <si>
    <t xml:space="preserve">GUANTES ROJOS </t>
  </si>
  <si>
    <t xml:space="preserve">TOTAL </t>
  </si>
  <si>
    <t>TOTL DE EGRESOS</t>
  </si>
  <si>
    <t>PIPETA DE CARBURADOR FT150</t>
  </si>
  <si>
    <t>ACEITE REPSOL</t>
  </si>
  <si>
    <t>ACEITE TOP RANCIN WAPEMEX</t>
  </si>
  <si>
    <t>LIMPIADOR DE CARBURADOR AXPRO</t>
  </si>
  <si>
    <t>LUBRICANTE DE CADENA AXPRO</t>
  </si>
  <si>
    <t>FOCO DE STOP</t>
  </si>
  <si>
    <t>BUJIA D8</t>
  </si>
  <si>
    <t xml:space="preserve">DESENGRASANTE PARA CADENA </t>
  </si>
  <si>
    <t>CARURADOR DS150 WAPEMEX</t>
  </si>
  <si>
    <t xml:space="preserve">CADENA 428 X 126 ITALIKA </t>
  </si>
  <si>
    <t xml:space="preserve">FOCO H4 LED </t>
  </si>
  <si>
    <t>STIKER</t>
  </si>
  <si>
    <t xml:space="preserve">ESPEJOS DE ALERON </t>
  </si>
  <si>
    <r>
      <rPr>
        <b/>
        <sz val="14"/>
        <color theme="1"/>
        <rFont val="Calibri"/>
        <family val="2"/>
        <scheme val="minor"/>
      </rPr>
      <t>CORTES DE LA SEMANA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23 DE FEBRERO-26           $15038.5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$ 3243.5        MENOS$ 9638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24 DE FEBRERO-26       $ 5400.5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$ 3452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25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$ 4721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26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$ 2203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27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$2300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$ 15919.5 
TOTAL EN CAJA $21320 </t>
    </r>
    <r>
      <rPr>
        <sz val="11"/>
        <color theme="1"/>
        <rFont val="Calibri"/>
        <family val="2"/>
        <scheme val="minor"/>
      </rPr>
      <t xml:space="preserve">
</t>
    </r>
  </si>
  <si>
    <t>Sabado 28  DE FEBRERO-26</t>
  </si>
  <si>
    <t xml:space="preserve">PEDAL DE CAMBIOS </t>
  </si>
  <si>
    <t>REPUESTO DE CARBURADOR WAPEMEX</t>
  </si>
  <si>
    <t>LLANTA 110-90-17</t>
  </si>
  <si>
    <t>FOCO DE ESTOP DM200</t>
  </si>
  <si>
    <t>GOMAS DE POSAPIE FT150</t>
  </si>
  <si>
    <t xml:space="preserve">RESORTE DE PATA </t>
  </si>
  <si>
    <t>PEDAL DE CAMBIOS FT150</t>
  </si>
  <si>
    <t>FOCO OJO DE ANGUEL</t>
  </si>
  <si>
    <t>CUBRE POLVO DM200</t>
  </si>
  <si>
    <t>ACEITE MOTUL 5100</t>
  </si>
  <si>
    <t>FILTRO DE AIRE R3</t>
  </si>
  <si>
    <t>BUJIA C9</t>
  </si>
  <si>
    <t>FILTRO DE ACEI R3</t>
  </si>
  <si>
    <t xml:space="preserve">ANTICONGELANTE </t>
  </si>
  <si>
    <t>ACEITE RANCIN TOP</t>
  </si>
  <si>
    <t xml:space="preserve">DIRECCIONALES UNIVERSALES </t>
  </si>
  <si>
    <t xml:space="preserve">PROTECTOR DE VELOCIDADES </t>
  </si>
  <si>
    <t>BUJE DE DS150</t>
  </si>
  <si>
    <t>FILTRO DE ACEITE FZ16</t>
  </si>
  <si>
    <t>PILA 6.5 YOG</t>
  </si>
  <si>
    <t xml:space="preserve">CUENTA DE HOY SABADO $ 3725 MENOS $ 300 PAGO DE YAS QUEDA$ 3425 MAS LA CUENTA DE AYER $ 21320 
TOTAL EN CAJA $ 24745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</si>
</sst>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3243.5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18</v>
      </c>
      <c r="M4" s="36" t="s">
        <v>46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46081.803907638889</v>
      </c>
      <c r="C5">
        <f>IF(ISNUMBER(E5), IF(ISNUMBER(C4), C4+1, 1), "")</f>
        <v>1</v>
      </c>
      <c r="D5" t="s">
        <v>26</v>
      </c>
      <c r="E5">
        <v>1</v>
      </c>
      <c r="F5">
        <v>70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70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51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46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>
        <f t="shared" si="0"/>
        <v>3</v>
      </c>
      <c r="D7" t="s">
        <v>29</v>
      </c>
      <c r="E7">
        <v>1</v>
      </c>
      <c r="F7">
        <v>70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70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>
        <f t="shared" si="0"/>
        <v>4</v>
      </c>
      <c r="D8" t="s">
        <v>30</v>
      </c>
      <c r="E8">
        <v>1</v>
      </c>
      <c r="F8">
        <v>35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>
        <f t="shared" si="0"/>
        <v>5</v>
      </c>
      <c r="D9" t="s">
        <v>31</v>
      </c>
      <c r="E9">
        <v>1</v>
      </c>
      <c r="F9">
        <v>1100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1100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>
        <f t="shared" si="0"/>
        <v>6</v>
      </c>
      <c r="D10" t="s">
        <v>32</v>
      </c>
      <c r="E10">
        <v>1</v>
      </c>
      <c r="F10">
        <v>250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250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>
        <f t="shared" si="0"/>
        <v>7</v>
      </c>
      <c r="D11" t="s">
        <v>33</v>
      </c>
      <c r="E11">
        <v>1</v>
      </c>
      <c r="F11">
        <v>250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250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>
        <f t="shared" si="0"/>
        <v>8</v>
      </c>
      <c r="D12" t="s">
        <v>34</v>
      </c>
      <c r="E12">
        <v>1</v>
      </c>
      <c r="F12">
        <v>37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>
        <f t="shared" si="0"/>
        <v>9</v>
      </c>
      <c r="D13" t="s">
        <v>35</v>
      </c>
      <c r="E13">
        <v>1</v>
      </c>
      <c r="F13">
        <v>142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142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>
        <f t="shared" si="0"/>
        <v>10</v>
      </c>
      <c r="D14" t="s">
        <v>36</v>
      </c>
      <c r="E14">
        <v>1</v>
      </c>
      <c r="F14">
        <v>136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136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>
        <f t="shared" si="0"/>
        <v>11</v>
      </c>
      <c r="D15" t="s">
        <v>37</v>
      </c>
      <c r="E15">
        <v>1</v>
      </c>
      <c r="F15">
        <v>70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70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>
        <f t="shared" si="0"/>
        <v>12</v>
      </c>
      <c r="D16" t="s">
        <v>38</v>
      </c>
      <c r="E16">
        <v>1</v>
      </c>
      <c r="F16">
        <v>85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85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>
        <f t="shared" si="0"/>
        <v>13</v>
      </c>
      <c r="D17" t="s">
        <v>39</v>
      </c>
      <c r="E17">
        <v>1</v>
      </c>
      <c r="F17">
        <v>550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>
        <f t="shared" si="0"/>
        <v>14</v>
      </c>
      <c r="D18" t="s">
        <v>40</v>
      </c>
      <c r="E18">
        <v>1</v>
      </c>
      <c r="F18">
        <v>70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70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>
        <f t="shared" si="0"/>
        <v>15</v>
      </c>
      <c r="D19" t="s">
        <v>41</v>
      </c>
      <c r="E19">
        <v>1</v>
      </c>
      <c r="F19">
        <v>116</v>
      </c>
      <c r="G19" t="s">
        <v>28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104.5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>
        <f t="shared" si="0"/>
        <v>16</v>
      </c>
      <c r="D20" t="s">
        <v>42</v>
      </c>
      <c r="E20">
        <v>1</v>
      </c>
      <c r="F20">
        <v>15</v>
      </c>
      <c r="G20" t="s">
        <v>28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13.5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>
        <f t="shared" si="0"/>
        <v>17</v>
      </c>
      <c r="D21" t="s">
        <v>43</v>
      </c>
      <c r="E21">
        <v>1</v>
      </c>
      <c r="F21">
        <v>117</v>
      </c>
      <c r="G21" t="s">
        <v>28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111.5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>
        <f t="shared" si="0"/>
        <v>18</v>
      </c>
      <c r="D22" t="s">
        <v>44</v>
      </c>
      <c r="E22">
        <v>2</v>
      </c>
      <c r="F22">
        <v>57</v>
      </c>
      <c r="G22" t="s">
        <v>28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103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45</v>
      </c>
      <c r="N27" s="20"/>
      <c r="O27" s="23">
        <v>400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J23" sqref="J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3452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61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46081.803907638889</v>
      </c>
      <c r="C5">
        <f t="shared" ref="C5:C68" si="0">IF(ISNUMBER(E5), IF(ISNUMBER(C4), C4+1, 1), "")</f>
        <v>1</v>
      </c>
      <c r="D5" t="s">
        <v>48</v>
      </c>
      <c r="E5">
        <v>1</v>
      </c>
      <c r="F5">
        <v>15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>
        <f t="shared" si="0"/>
        <v>2</v>
      </c>
      <c r="D6" t="s">
        <v>49</v>
      </c>
      <c r="E6">
        <v>1</v>
      </c>
      <c r="F6">
        <v>900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900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>
        <f t="shared" si="0"/>
        <v>3</v>
      </c>
      <c r="D7" t="s">
        <v>50</v>
      </c>
      <c r="E7">
        <v>4</v>
      </c>
      <c r="F7">
        <v>5</v>
      </c>
      <c r="G7" t="s">
        <v>28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18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>
        <f t="shared" si="0"/>
        <v>4</v>
      </c>
      <c r="D8" t="s">
        <v>51</v>
      </c>
      <c r="E8">
        <v>2</v>
      </c>
      <c r="F8">
        <v>10</v>
      </c>
      <c r="G8" t="s">
        <v>28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>
        <f t="shared" si="0"/>
        <v>5</v>
      </c>
      <c r="D9" t="s">
        <v>52</v>
      </c>
      <c r="E9">
        <v>1</v>
      </c>
      <c r="F9">
        <v>370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333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>
        <f t="shared" si="0"/>
        <v>6</v>
      </c>
      <c r="D10" t="s">
        <v>53</v>
      </c>
      <c r="E10">
        <v>2</v>
      </c>
      <c r="F10">
        <v>135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>
        <f t="shared" si="0"/>
        <v>7</v>
      </c>
      <c r="D11" t="s">
        <v>54</v>
      </c>
      <c r="E11">
        <v>1</v>
      </c>
      <c r="F11">
        <v>690</v>
      </c>
      <c r="G11" t="s">
        <v>28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621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>
        <f t="shared" si="0"/>
        <v>8</v>
      </c>
      <c r="D12" t="s">
        <v>43</v>
      </c>
      <c r="E12">
        <v>1</v>
      </c>
      <c r="F12">
        <v>117</v>
      </c>
      <c r="G12" t="s">
        <v>28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111.5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>
        <f t="shared" si="0"/>
        <v>9</v>
      </c>
      <c r="D13" t="s">
        <v>55</v>
      </c>
      <c r="E13">
        <v>2</v>
      </c>
      <c r="F13">
        <v>15</v>
      </c>
      <c r="G13" t="s">
        <v>28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>
        <f t="shared" si="0"/>
        <v>10</v>
      </c>
      <c r="D14" t="s">
        <v>56</v>
      </c>
      <c r="E14">
        <v>2</v>
      </c>
      <c r="F14">
        <v>30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54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>
        <f t="shared" si="0"/>
        <v>11</v>
      </c>
      <c r="D15" t="s">
        <v>58</v>
      </c>
      <c r="E15">
        <v>1</v>
      </c>
      <c r="F15">
        <v>78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70.5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>
        <f t="shared" si="0"/>
        <v>12</v>
      </c>
      <c r="D16" t="s">
        <v>57</v>
      </c>
      <c r="E16">
        <v>1</v>
      </c>
      <c r="F16">
        <v>60</v>
      </c>
      <c r="G16" t="s">
        <v>28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54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>
        <f t="shared" si="0"/>
        <v>13</v>
      </c>
      <c r="D17" t="s">
        <v>59</v>
      </c>
      <c r="E17">
        <v>1</v>
      </c>
      <c r="F17">
        <v>60</v>
      </c>
      <c r="G17" t="s">
        <v>28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54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>
        <f t="shared" si="0"/>
        <v>14</v>
      </c>
      <c r="D18" t="s">
        <v>62</v>
      </c>
      <c r="E18">
        <v>1</v>
      </c>
      <c r="F18">
        <v>12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12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>
        <f t="shared" si="0"/>
        <v>15</v>
      </c>
      <c r="D19" t="s">
        <v>63</v>
      </c>
      <c r="E19">
        <v>1</v>
      </c>
      <c r="F19">
        <v>200</v>
      </c>
      <c r="G19" t="s">
        <v>28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180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>
        <f t="shared" si="0"/>
        <v>16</v>
      </c>
      <c r="D20" t="s">
        <v>64</v>
      </c>
      <c r="E20">
        <v>1</v>
      </c>
      <c r="F20">
        <v>150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150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>
        <f t="shared" si="0"/>
        <v>17</v>
      </c>
      <c r="D21" t="s">
        <v>65</v>
      </c>
      <c r="E21">
        <v>1</v>
      </c>
      <c r="F21">
        <v>20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>
        <f t="shared" si="0"/>
        <v>18</v>
      </c>
      <c r="D22" t="s">
        <v>66</v>
      </c>
      <c r="E22">
        <v>1</v>
      </c>
      <c r="F22">
        <v>490</v>
      </c>
      <c r="G22" t="s">
        <v>28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441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67</v>
      </c>
      <c r="E23">
        <v>1</v>
      </c>
      <c r="F23">
        <v>15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15</v>
      </c>
      <c r="I23" s="5" t="s">
        <v>70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68</v>
      </c>
      <c r="E24">
        <v>1</v>
      </c>
      <c r="F24">
        <v>57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57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69</v>
      </c>
      <c r="E25">
        <v>1</v>
      </c>
      <c r="F25">
        <v>31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31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60</v>
      </c>
      <c r="N27" s="15">
        <v>2880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/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N28" sqref="N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71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4721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24</v>
      </c>
      <c r="M4" s="36" t="s">
        <v>94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46081.803907638889</v>
      </c>
      <c r="C5">
        <f>IF(ISNUMBER(E5), IF(ISNUMBER(C4), C4+1, 1), "")</f>
        <v>1</v>
      </c>
      <c r="D5" t="s">
        <v>72</v>
      </c>
      <c r="E5">
        <v>1</v>
      </c>
      <c r="F5">
        <v>117</v>
      </c>
      <c r="G5" t="s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111.5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>
        <f>IF(ISNUMBER(E6), IF(ISNUMBER(C5), C5+1, 1), "")</f>
        <v>2</v>
      </c>
      <c r="D6" t="s">
        <v>73</v>
      </c>
      <c r="E6">
        <v>1</v>
      </c>
      <c r="F6">
        <v>65</v>
      </c>
      <c r="G6" t="s">
        <v>28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58.5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>
        <f>IF(ISNUMBER(E7), IF(ISNUMBER(C6), C6+1, 1), "")</f>
        <v>3</v>
      </c>
      <c r="D7" t="s">
        <v>74</v>
      </c>
      <c r="E7">
        <v>1</v>
      </c>
      <c r="F7">
        <v>60</v>
      </c>
      <c r="G7" t="s">
        <v>28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54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>
        <f t="shared" ref="C8:C68" si="0">IF(ISNUMBER(E8), IF(ISNUMBER(C7), C7+1, 1), "")</f>
        <v>4</v>
      </c>
      <c r="D8" t="s">
        <v>75</v>
      </c>
      <c r="E8">
        <v>1</v>
      </c>
      <c r="F8">
        <v>100</v>
      </c>
      <c r="G8" t="s">
        <v>28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90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>
        <f t="shared" si="0"/>
        <v>5</v>
      </c>
      <c r="D9" t="s">
        <v>76</v>
      </c>
      <c r="E9">
        <v>1</v>
      </c>
      <c r="F9">
        <v>30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>
        <f t="shared" si="0"/>
        <v>6</v>
      </c>
      <c r="D10" t="s">
        <v>77</v>
      </c>
      <c r="E10">
        <v>1</v>
      </c>
      <c r="F10">
        <v>520</v>
      </c>
      <c r="G10" t="s">
        <v>28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468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>
        <f t="shared" si="0"/>
        <v>7</v>
      </c>
      <c r="D11" t="s">
        <v>78</v>
      </c>
      <c r="E11">
        <v>1</v>
      </c>
      <c r="F11">
        <v>400</v>
      </c>
      <c r="G11" t="s">
        <v>28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360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>
        <f t="shared" si="0"/>
        <v>8</v>
      </c>
      <c r="D12" t="s">
        <v>38</v>
      </c>
      <c r="E12">
        <v>1</v>
      </c>
      <c r="F12">
        <v>85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85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>
        <f t="shared" si="0"/>
        <v>9</v>
      </c>
      <c r="D13" t="s">
        <v>72</v>
      </c>
      <c r="E13">
        <v>1</v>
      </c>
      <c r="F13">
        <v>117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111.5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>
        <f t="shared" si="0"/>
        <v>10</v>
      </c>
      <c r="D14" t="s">
        <v>79</v>
      </c>
      <c r="E14">
        <v>1</v>
      </c>
      <c r="F14">
        <v>15</v>
      </c>
      <c r="G14" t="s">
        <v>28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>
        <f t="shared" si="0"/>
        <v>11</v>
      </c>
      <c r="D15" t="s">
        <v>80</v>
      </c>
      <c r="E15">
        <v>1</v>
      </c>
      <c r="F15">
        <v>50</v>
      </c>
      <c r="G15" t="s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>
        <f t="shared" si="0"/>
        <v>12</v>
      </c>
      <c r="D16" t="s">
        <v>81</v>
      </c>
      <c r="E16">
        <v>1</v>
      </c>
      <c r="F16">
        <v>28</v>
      </c>
      <c r="G16" t="s">
        <v>28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25.5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>
        <f t="shared" si="0"/>
        <v>13</v>
      </c>
      <c r="D17" t="s">
        <v>82</v>
      </c>
      <c r="E17">
        <v>1</v>
      </c>
      <c r="F17">
        <v>584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584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>
        <f t="shared" si="0"/>
        <v>14</v>
      </c>
      <c r="D18" t="s">
        <v>83</v>
      </c>
      <c r="E18">
        <v>1</v>
      </c>
      <c r="F18">
        <v>690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690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>
        <f t="shared" si="0"/>
        <v>15</v>
      </c>
      <c r="D19" t="s">
        <v>86</v>
      </c>
      <c r="E19">
        <v>1</v>
      </c>
      <c r="F19">
        <v>230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>
        <f t="shared" si="0"/>
        <v>16</v>
      </c>
      <c r="D20" t="s">
        <v>87</v>
      </c>
      <c r="E20">
        <v>1</v>
      </c>
      <c r="F20">
        <v>36</v>
      </c>
      <c r="G20" t="s">
        <v>28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32.5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>
        <f t="shared" si="0"/>
        <v>17</v>
      </c>
      <c r="D21" t="s">
        <v>88</v>
      </c>
      <c r="E21">
        <v>1</v>
      </c>
      <c r="F21">
        <v>1300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1300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>
        <f t="shared" si="0"/>
        <v>18</v>
      </c>
      <c r="D22" t="s">
        <v>89</v>
      </c>
      <c r="E22">
        <v>1</v>
      </c>
      <c r="F22">
        <v>190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190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90</v>
      </c>
      <c r="E23">
        <v>1</v>
      </c>
      <c r="F23">
        <v>20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20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91</v>
      </c>
      <c r="E24">
        <v>1</v>
      </c>
      <c r="F24">
        <v>15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92</v>
      </c>
      <c r="E25">
        <v>2</v>
      </c>
      <c r="F25">
        <v>30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60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93</v>
      </c>
      <c r="E26">
        <v>1</v>
      </c>
      <c r="F26">
        <v>75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75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>
        <f t="shared" si="0"/>
        <v>23</v>
      </c>
      <c r="D27" t="s">
        <v>95</v>
      </c>
      <c r="E27">
        <v>1</v>
      </c>
      <c r="F27">
        <v>42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42</v>
      </c>
      <c r="M27" s="13" t="s">
        <v>84</v>
      </c>
      <c r="N27" s="15">
        <v>4783</v>
      </c>
      <c r="O27" s="39"/>
      <c r="P27" s="40"/>
      <c r="Q27" s="40"/>
      <c r="R27" s="41"/>
    </row>
    <row r="28" spans="2:18" ht="45" x14ac:dyDescent="0.25">
      <c r="B28" s="18" t="str">
        <f ca="1">IF(Tabla1[[#This Row],['#]]&lt;&gt;"", NOW(), "")</f>
        <v/>
      </c>
      <c r="C28">
        <f t="shared" si="0"/>
        <v>24</v>
      </c>
      <c r="D28" t="s">
        <v>96</v>
      </c>
      <c r="E28">
        <v>1</v>
      </c>
      <c r="F28">
        <v>30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30</v>
      </c>
      <c r="M28" s="13" t="s">
        <v>85</v>
      </c>
      <c r="N28" s="15">
        <v>120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2203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46081.803907638889</v>
      </c>
      <c r="C5">
        <f t="shared" ref="C5:C68" si="0">IF(ISNUMBER(E5), IF(ISNUMBER(C4), C4+1, 1), "")</f>
        <v>1</v>
      </c>
      <c r="D5" t="s">
        <v>98</v>
      </c>
      <c r="E5">
        <v>1</v>
      </c>
      <c r="F5">
        <v>490</v>
      </c>
      <c r="G5" t="s">
        <v>28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441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>
        <f t="shared" si="0"/>
        <v>2</v>
      </c>
      <c r="D6" t="s">
        <v>99</v>
      </c>
      <c r="E6">
        <v>3</v>
      </c>
      <c r="F6">
        <v>4</v>
      </c>
      <c r="G6" t="s">
        <v>28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11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>
        <f t="shared" si="0"/>
        <v>3</v>
      </c>
      <c r="D7" t="s">
        <v>100</v>
      </c>
      <c r="E7">
        <v>1</v>
      </c>
      <c r="F7">
        <v>15</v>
      </c>
      <c r="G7" t="s">
        <v>28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>
        <f t="shared" si="0"/>
        <v>4</v>
      </c>
      <c r="D8" t="s">
        <v>101</v>
      </c>
      <c r="E8">
        <v>2</v>
      </c>
      <c r="F8">
        <v>8</v>
      </c>
      <c r="G8" t="s">
        <v>28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14.5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>
        <f t="shared" si="0"/>
        <v>5</v>
      </c>
      <c r="D9" t="s">
        <v>102</v>
      </c>
      <c r="E9">
        <v>1</v>
      </c>
      <c r="F9">
        <v>42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42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>
        <f t="shared" si="0"/>
        <v>6</v>
      </c>
      <c r="D10" t="s">
        <v>103</v>
      </c>
      <c r="E10">
        <v>1</v>
      </c>
      <c r="F10">
        <v>25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>
        <f t="shared" si="0"/>
        <v>7</v>
      </c>
      <c r="D11" t="s">
        <v>107</v>
      </c>
      <c r="E11">
        <v>1</v>
      </c>
      <c r="F11">
        <v>10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>
        <f t="shared" si="0"/>
        <v>8</v>
      </c>
      <c r="D12" t="s">
        <v>104</v>
      </c>
      <c r="E12">
        <v>1</v>
      </c>
      <c r="F12">
        <v>15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>
        <f t="shared" si="0"/>
        <v>9</v>
      </c>
      <c r="D13" t="s">
        <v>105</v>
      </c>
      <c r="E13">
        <v>1</v>
      </c>
      <c r="F13">
        <v>70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70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>
        <f t="shared" si="0"/>
        <v>10</v>
      </c>
      <c r="D14" t="s">
        <v>106</v>
      </c>
      <c r="E14">
        <v>1</v>
      </c>
      <c r="F14">
        <v>500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500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>
        <f t="shared" si="0"/>
        <v>11</v>
      </c>
      <c r="D15" t="s">
        <v>72</v>
      </c>
      <c r="E15">
        <v>1</v>
      </c>
      <c r="F15">
        <v>117</v>
      </c>
      <c r="G15" t="s">
        <v>28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111.5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>
        <f t="shared" si="0"/>
        <v>12</v>
      </c>
      <c r="D16" t="s">
        <v>44</v>
      </c>
      <c r="E16">
        <v>1</v>
      </c>
      <c r="F16">
        <v>50</v>
      </c>
      <c r="G16" t="s">
        <v>28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45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>
        <f t="shared" si="0"/>
        <v>13</v>
      </c>
      <c r="D17" t="s">
        <v>108</v>
      </c>
      <c r="E17">
        <v>1</v>
      </c>
      <c r="F17">
        <v>200</v>
      </c>
      <c r="G17" t="s">
        <v>28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180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>
        <f t="shared" si="0"/>
        <v>14</v>
      </c>
      <c r="D18" t="s">
        <v>109</v>
      </c>
      <c r="E18">
        <v>1</v>
      </c>
      <c r="F18">
        <v>183</v>
      </c>
      <c r="G18" t="s">
        <v>28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165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>
        <f t="shared" si="0"/>
        <v>15</v>
      </c>
      <c r="D19" t="s">
        <v>110</v>
      </c>
      <c r="E19">
        <v>1</v>
      </c>
      <c r="F19">
        <v>56</v>
      </c>
      <c r="G19" t="s">
        <v>28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50.5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>
        <f t="shared" si="0"/>
        <v>16</v>
      </c>
      <c r="D20" t="s">
        <v>111</v>
      </c>
      <c r="E20">
        <v>1</v>
      </c>
      <c r="F20">
        <v>120</v>
      </c>
      <c r="G20" t="s">
        <v>28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108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>
        <f t="shared" si="0"/>
        <v>17</v>
      </c>
      <c r="D21" t="s">
        <v>112</v>
      </c>
      <c r="E21">
        <v>1</v>
      </c>
      <c r="F21">
        <v>129</v>
      </c>
      <c r="G21" t="s">
        <v>28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116.5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>
        <f t="shared" si="0"/>
        <v>18</v>
      </c>
      <c r="D22" t="s">
        <v>113</v>
      </c>
      <c r="E22">
        <v>1</v>
      </c>
      <c r="F22">
        <v>190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190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114</v>
      </c>
      <c r="E23">
        <v>1</v>
      </c>
      <c r="F23">
        <v>80</v>
      </c>
      <c r="G23" t="s">
        <v>28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72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115</v>
      </c>
      <c r="E24">
        <v>1</v>
      </c>
      <c r="F24">
        <v>25</v>
      </c>
      <c r="G24" t="s">
        <v>28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22.5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116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2300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143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46081.803907638889</v>
      </c>
      <c r="C5">
        <f t="shared" ref="C5:C68" si="0">IF(ISNUMBER(E5), IF(ISNUMBER(C4), C4+1, 1), "")</f>
        <v>1</v>
      </c>
      <c r="D5" t="s">
        <v>117</v>
      </c>
      <c r="E5">
        <v>1</v>
      </c>
      <c r="F5">
        <v>100</v>
      </c>
      <c r="G5" t="s">
        <v>28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>
        <f t="shared" si="0"/>
        <v>2</v>
      </c>
      <c r="D6" t="s">
        <v>127</v>
      </c>
      <c r="E6">
        <v>1</v>
      </c>
      <c r="F6">
        <v>225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225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>
        <f t="shared" si="0"/>
        <v>3</v>
      </c>
      <c r="D7" t="s">
        <v>130</v>
      </c>
      <c r="E7">
        <v>1</v>
      </c>
      <c r="F7">
        <v>107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107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>
        <f t="shared" si="0"/>
        <v>4</v>
      </c>
      <c r="D8" t="s">
        <v>131</v>
      </c>
      <c r="E8">
        <v>1</v>
      </c>
      <c r="F8">
        <v>142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>
        <f t="shared" si="0"/>
        <v>5</v>
      </c>
      <c r="D9" t="s">
        <v>132</v>
      </c>
      <c r="E9">
        <v>1</v>
      </c>
      <c r="F9">
        <v>75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75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>
        <f t="shared" si="0"/>
        <v>6</v>
      </c>
      <c r="D10" t="s">
        <v>131</v>
      </c>
      <c r="E10">
        <v>1</v>
      </c>
      <c r="F10">
        <v>142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142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>
        <f t="shared" si="0"/>
        <v>7</v>
      </c>
      <c r="D11" t="s">
        <v>133</v>
      </c>
      <c r="E11">
        <v>1</v>
      </c>
      <c r="F11">
        <v>75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>
        <f t="shared" si="0"/>
        <v>8</v>
      </c>
      <c r="D12" t="s">
        <v>134</v>
      </c>
      <c r="E12">
        <v>1</v>
      </c>
      <c r="F12">
        <v>125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>
        <f t="shared" si="0"/>
        <v>9</v>
      </c>
      <c r="D13" t="s">
        <v>135</v>
      </c>
      <c r="E13">
        <v>2</v>
      </c>
      <c r="F13">
        <v>20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>
        <f t="shared" si="0"/>
        <v>10</v>
      </c>
      <c r="D14" t="s">
        <v>72</v>
      </c>
      <c r="E14">
        <v>1</v>
      </c>
      <c r="F14">
        <v>117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117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>
        <f t="shared" si="0"/>
        <v>11</v>
      </c>
      <c r="D15" t="s">
        <v>136</v>
      </c>
      <c r="E15">
        <v>1</v>
      </c>
      <c r="F15">
        <v>50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>
        <f t="shared" si="0"/>
        <v>12</v>
      </c>
      <c r="D16" t="s">
        <v>137</v>
      </c>
      <c r="E16">
        <v>1</v>
      </c>
      <c r="F16">
        <v>68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68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>
        <f t="shared" si="0"/>
        <v>13</v>
      </c>
      <c r="D17" t="s">
        <v>138</v>
      </c>
      <c r="E17">
        <v>1</v>
      </c>
      <c r="F17">
        <v>490</v>
      </c>
      <c r="G17" t="s">
        <v>28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441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>
        <f t="shared" si="0"/>
        <v>14</v>
      </c>
      <c r="D18" t="s">
        <v>139</v>
      </c>
      <c r="E18">
        <v>1</v>
      </c>
      <c r="F18">
        <v>197</v>
      </c>
      <c r="G18" t="s">
        <v>28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177.5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>
        <f t="shared" si="0"/>
        <v>15</v>
      </c>
      <c r="D19" t="s">
        <v>140</v>
      </c>
      <c r="E19">
        <v>1</v>
      </c>
      <c r="F19">
        <v>135</v>
      </c>
      <c r="G19" t="s">
        <v>28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121.5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>
        <f t="shared" si="0"/>
        <v>16</v>
      </c>
      <c r="D20" t="s">
        <v>141</v>
      </c>
      <c r="E20">
        <v>1</v>
      </c>
      <c r="F20">
        <v>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>
        <f t="shared" si="0"/>
        <v>17</v>
      </c>
      <c r="D21" t="s">
        <v>142</v>
      </c>
      <c r="E21">
        <v>1</v>
      </c>
      <c r="F21">
        <v>299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299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118</v>
      </c>
      <c r="N27" s="15">
        <v>400</v>
      </c>
      <c r="O27" s="39" t="s">
        <v>119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120</v>
      </c>
      <c r="N28" s="15">
        <v>2880</v>
      </c>
      <c r="O28" s="39" t="s">
        <v>121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122</v>
      </c>
      <c r="N29" s="15">
        <v>4783</v>
      </c>
      <c r="O29" s="39" t="s">
        <v>124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123</v>
      </c>
      <c r="N30" s="15">
        <v>120</v>
      </c>
      <c r="O30" s="39" t="s">
        <v>124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125</v>
      </c>
      <c r="N31" s="15">
        <v>1500</v>
      </c>
      <c r="O31" s="39" t="s">
        <v>126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128</v>
      </c>
      <c r="N32" s="15">
        <v>9638</v>
      </c>
      <c r="O32" s="39" t="s">
        <v>129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0" sqref="D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3725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25</v>
      </c>
      <c r="M4" s="36" t="s">
        <v>165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46081.803907638889</v>
      </c>
      <c r="C5">
        <f t="shared" ref="C5:C68" si="0">IF(ISNUMBER(E5), IF(ISNUMBER(C4), C4+1, 1), "")</f>
        <v>1</v>
      </c>
      <c r="D5" t="s">
        <v>72</v>
      </c>
      <c r="E5">
        <v>1</v>
      </c>
      <c r="F5">
        <v>117</v>
      </c>
      <c r="G5" t="s">
        <v>28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111.5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>
        <f t="shared" si="0"/>
        <v>2</v>
      </c>
      <c r="D6" t="s">
        <v>136</v>
      </c>
      <c r="E6">
        <v>1</v>
      </c>
      <c r="F6">
        <v>50</v>
      </c>
      <c r="G6" t="s">
        <v>28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45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>
        <f t="shared" si="0"/>
        <v>3</v>
      </c>
      <c r="D7" t="s">
        <v>48</v>
      </c>
      <c r="E7">
        <v>1</v>
      </c>
      <c r="F7">
        <v>15</v>
      </c>
      <c r="G7" t="s">
        <v>28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>
        <f t="shared" si="0"/>
        <v>4</v>
      </c>
      <c r="D8" t="s">
        <v>145</v>
      </c>
      <c r="E8">
        <v>1</v>
      </c>
      <c r="F8">
        <v>35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35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>
        <f t="shared" si="0"/>
        <v>5</v>
      </c>
      <c r="D9" t="s">
        <v>146</v>
      </c>
      <c r="E9">
        <v>1</v>
      </c>
      <c r="F9">
        <v>110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99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>
        <f t="shared" si="0"/>
        <v>6</v>
      </c>
      <c r="D10" t="s">
        <v>147</v>
      </c>
      <c r="E10">
        <v>1</v>
      </c>
      <c r="F10">
        <v>850</v>
      </c>
      <c r="G10" t="s">
        <v>28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765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>
        <f t="shared" si="0"/>
        <v>7</v>
      </c>
      <c r="D11" t="s">
        <v>148</v>
      </c>
      <c r="E11">
        <v>1</v>
      </c>
      <c r="F11">
        <v>48</v>
      </c>
      <c r="G11" t="s">
        <v>28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43.5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>
        <f t="shared" si="0"/>
        <v>8</v>
      </c>
      <c r="D12" t="s">
        <v>149</v>
      </c>
      <c r="E12">
        <v>1</v>
      </c>
      <c r="F12">
        <v>30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30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>
        <f t="shared" si="0"/>
        <v>9</v>
      </c>
      <c r="D13" t="s">
        <v>150</v>
      </c>
      <c r="E13">
        <v>1</v>
      </c>
      <c r="F13">
        <v>20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>
        <f t="shared" si="0"/>
        <v>10</v>
      </c>
      <c r="D14" t="s">
        <v>151</v>
      </c>
      <c r="E14">
        <v>1</v>
      </c>
      <c r="F14">
        <v>87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87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>
        <f t="shared" si="0"/>
        <v>11</v>
      </c>
      <c r="D15" t="s">
        <v>53</v>
      </c>
      <c r="E15">
        <v>1</v>
      </c>
      <c r="F15">
        <v>135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135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>
        <f t="shared" si="0"/>
        <v>12</v>
      </c>
      <c r="D16" t="s">
        <v>153</v>
      </c>
      <c r="E16">
        <v>1</v>
      </c>
      <c r="F16">
        <v>85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85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>
        <f t="shared" si="0"/>
        <v>13</v>
      </c>
      <c r="D17" t="s">
        <v>152</v>
      </c>
      <c r="E17">
        <v>1</v>
      </c>
      <c r="F17">
        <v>210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210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>
        <f t="shared" si="0"/>
        <v>14</v>
      </c>
      <c r="D18" t="s">
        <v>64</v>
      </c>
      <c r="E18">
        <v>1</v>
      </c>
      <c r="F18">
        <v>150</v>
      </c>
      <c r="G18" t="s">
        <v>28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142.5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>
        <f t="shared" si="0"/>
        <v>15</v>
      </c>
      <c r="D19" t="s">
        <v>154</v>
      </c>
      <c r="E19">
        <v>2</v>
      </c>
      <c r="F19">
        <v>250</v>
      </c>
      <c r="G19" t="s">
        <v>28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475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>
        <f t="shared" si="0"/>
        <v>16</v>
      </c>
      <c r="D20" t="s">
        <v>155</v>
      </c>
      <c r="E20">
        <v>1</v>
      </c>
      <c r="F20">
        <v>190</v>
      </c>
      <c r="G20" t="s">
        <v>28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171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>
        <f t="shared" si="0"/>
        <v>17</v>
      </c>
      <c r="D21" t="s">
        <v>156</v>
      </c>
      <c r="E21">
        <v>2</v>
      </c>
      <c r="F21">
        <v>50</v>
      </c>
      <c r="G21" t="s">
        <v>28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90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>
        <f t="shared" si="0"/>
        <v>18</v>
      </c>
      <c r="D22" t="s">
        <v>157</v>
      </c>
      <c r="E22">
        <v>1</v>
      </c>
      <c r="F22">
        <v>280</v>
      </c>
      <c r="G22" t="s">
        <v>28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252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158</v>
      </c>
      <c r="E23">
        <v>2</v>
      </c>
      <c r="F23">
        <v>35</v>
      </c>
      <c r="G23" t="s">
        <v>28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63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159</v>
      </c>
      <c r="E24">
        <v>1</v>
      </c>
      <c r="F24">
        <v>75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75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160</v>
      </c>
      <c r="E25">
        <v>1</v>
      </c>
      <c r="F25">
        <v>120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120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161</v>
      </c>
      <c r="E26">
        <v>1</v>
      </c>
      <c r="F26">
        <v>25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162</v>
      </c>
      <c r="E27">
        <v>2</v>
      </c>
      <c r="F27">
        <v>25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50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163</v>
      </c>
      <c r="E28">
        <v>1</v>
      </c>
      <c r="F28">
        <v>32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32</v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164</v>
      </c>
      <c r="E29">
        <v>1</v>
      </c>
      <c r="F29">
        <v>550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550</v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46081.803907638889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46081.803907638889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46081.803907638889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46081.803907638889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46081.803907638889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46081.803907638889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46081.803907638889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46081.803907638889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46081.803907638889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46081.803907638889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46081.803907638889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46081.803907638889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46081.803907638889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46081.803907638889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46081.803907638889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46081.803907638889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46081.803907638889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23-02-25</vt:lpstr>
      <vt:lpstr>Martes 24-02-26</vt:lpstr>
      <vt:lpstr>Miercoles 25-02-26</vt:lpstr>
      <vt:lpstr>Jueves 26-02-26</vt:lpstr>
      <vt:lpstr>Viernes 27-02-26</vt:lpstr>
      <vt:lpstr> SABADO 28-02-26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2026-03-01T01:21:01Z</dcterms:modified>
</cp:coreProperties>
</file>