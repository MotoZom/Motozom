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AC2D4370-101D-4F24-91E2-7A26B3E98D71}" xr6:coauthVersionLast="47" xr6:coauthVersionMax="47" xr10:uidLastSave="{00000000-0000-0000-0000-000000000000}"/>
  <bookViews>
    <workbookView xWindow="-120" yWindow="-120" windowWidth="29040" windowHeight="17640" activeTab="3" xr2:uid="{00000000-000D-0000-FFFF-FFFF00000000}"/>
  </bookViews>
  <sheets>
    <sheet name="Lunes 30-03-26" sheetId="1" r:id="rId1"/>
    <sheet name="Martes 31-03-26" sheetId="2" r:id="rId2"/>
    <sheet name="Miercoles 01-04-26" sheetId="3" r:id="rId3"/>
    <sheet name="Jueves 02-04-26" sheetId="4" r:id="rId4"/>
    <sheet name="Viernes" sheetId="5" r:id="rId5"/>
    <sheet name="Sabado" sheetId="6" r:id="rId6"/>
    <sheet name="Domingo" sheetId="8" r:id="rId7"/>
    <sheet name="Cambios" sheetId="7" r:id="rId8"/>
  </sheets>
  <definedNames>
    <definedName name="_xlnm._FilterDatabase" localSheetId="0" hidden="1">'Lunes 30-03-26'!$B$4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<sst xmlns="http://schemas.openxmlformats.org/spreadsheetml/2006/main" count="290" uniqueCount="127">
  <si>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</si>
  <si>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</si>
  <si>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</si>
  <si>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</si>
  <si>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</si>
  <si>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</si>
  <si>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</si>
  <si>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</si>
  <si>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Viernes 01-02-03</t>
  </si>
  <si>
    <t>Sabado 01-02-03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</si>
  <si>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</si>
  <si>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</si>
  <si>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</si>
  <si>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</si>
  <si>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</si>
  <si>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</si>
  <si>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</si>
  <si>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</si>
  <si>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</si>
  <si>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</si>
  <si>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</si>
  <si>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</si>
  <si>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</si>
  <si>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</si>
  <si>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</si>
  <si>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</si>
  <si>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</si>
  <si>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30 MARZO-26</t>
  </si>
  <si>
    <t xml:space="preserve">FOFO FE DIRECCIONAL </t>
  </si>
  <si>
    <t>BIRLOS DE MASA FT150</t>
  </si>
  <si>
    <t>BUJE NILAMY FT150</t>
  </si>
  <si>
    <t xml:space="preserve">SEGURO DE CADENA 428 </t>
  </si>
  <si>
    <t>STIKER</t>
  </si>
  <si>
    <t>JUNTA DE CLUTH DM200</t>
  </si>
  <si>
    <t>X</t>
  </si>
  <si>
    <t>LUZ</t>
  </si>
  <si>
    <t xml:space="preserve">PILA QLINK YTX 7 </t>
  </si>
  <si>
    <t>BOMBA DE FRENO TRASERA PULSAR 200NS</t>
  </si>
  <si>
    <t xml:space="preserve">ACEITE AKRON </t>
  </si>
  <si>
    <t xml:space="preserve">ARNES DE 6 PINES </t>
  </si>
  <si>
    <t>ARNES H4</t>
  </si>
  <si>
    <t>FOCO LED H4</t>
  </si>
  <si>
    <t>SWUITH DE WS150</t>
  </si>
  <si>
    <t xml:space="preserve">FILTRO DE GASOLINA CARTON </t>
  </si>
  <si>
    <t xml:space="preserve">MANGUERA DE GASOLINA </t>
  </si>
  <si>
    <t xml:space="preserve">BUJIAS C7 </t>
  </si>
  <si>
    <t>BUJE DE DS150</t>
  </si>
  <si>
    <t xml:space="preserve">LUBRICANTE DE CADENA LUBER </t>
  </si>
  <si>
    <t>SELLO DE ESCAPE DS150</t>
  </si>
  <si>
    <t>BIRLOS DE DS150</t>
  </si>
  <si>
    <t>FILTRO DE AIRE WS175</t>
  </si>
  <si>
    <t>CHICOTE DE CLUTH 125Z</t>
  </si>
  <si>
    <t>PIÑON 150Z</t>
  </si>
  <si>
    <t xml:space="preserve">SEGURO DE PIÑON </t>
  </si>
  <si>
    <t>SEGURO DE PIÑON CON TORNILLOS</t>
  </si>
  <si>
    <t xml:space="preserve">RED DE ACIENTO </t>
  </si>
  <si>
    <t>PEDAL DE ARRANQUE FT150</t>
  </si>
  <si>
    <t xml:space="preserve">LIQUIDO DE FRENO </t>
  </si>
  <si>
    <t>TAPON DE FILTRO DE ACEITE FT150</t>
  </si>
  <si>
    <t xml:space="preserve">FUNDA PARA MOTO </t>
  </si>
  <si>
    <t xml:space="preserve">CUENTA DE SEMANA PASADA $ 15115 MENOS PAGO DE LUZ $ 452 QUEDA 4 14663 </t>
  </si>
  <si>
    <t xml:space="preserve">Martes 31 DE MARZO-26 </t>
  </si>
  <si>
    <t>PAPEL Y FABULOSO</t>
  </si>
  <si>
    <t>FOCO DE STOP</t>
  </si>
  <si>
    <t>BUJIA D8</t>
  </si>
  <si>
    <t>PEDIDO AXPRO</t>
  </si>
  <si>
    <t xml:space="preserve">FOCO DE PELLIZCO </t>
  </si>
  <si>
    <t>FOCOD E SROP</t>
  </si>
  <si>
    <t xml:space="preserve">LLAVERO </t>
  </si>
  <si>
    <t>RED DE TANQUE</t>
  </si>
  <si>
    <t xml:space="preserve">PEDIDO NASAKI </t>
  </si>
  <si>
    <t xml:space="preserve">PUÑOS </t>
  </si>
  <si>
    <t>LIMPIADOR DE CARBURADOR AXPRO</t>
  </si>
  <si>
    <t>VALVULAS DE MOTOR DE FT150</t>
  </si>
  <si>
    <t>SILICON AXPRO</t>
  </si>
  <si>
    <t>PEGAMENTO DE WURT</t>
  </si>
  <si>
    <t>CARBURADOR DE 250Z</t>
  </si>
  <si>
    <t>ACEITE YAMALUBE</t>
  </si>
  <si>
    <t xml:space="preserve">CUENTA DE AYER $ 14663 MENOS $ 66 DE FABULOSO Y ROLLO QUEDA $ 14597 MENOS $ 534 PEDIDO DE LUBER QUEDA $ 14063 MENOS $ 1753 DE PEDIDO DE NASAKI QUEDA $ 12310  </t>
  </si>
  <si>
    <t>Miercoles 01 DE ABRIL-26</t>
  </si>
  <si>
    <t xml:space="preserve">PUÑOS ROJOS </t>
  </si>
  <si>
    <t>DIRECCIONALES PULSAR 200NS WAPEMEX</t>
  </si>
  <si>
    <t>SWITH UNIVERSAL TORNILLO</t>
  </si>
  <si>
    <t>ARBOL DE LEVAS DS150</t>
  </si>
  <si>
    <t>PEDAL DE ARRANQUE DS150</t>
  </si>
  <si>
    <t>PUÑOS NEGROS</t>
  </si>
  <si>
    <t>ESPEJOS DE HONDA</t>
  </si>
  <si>
    <t>DIRECCIONAL UNIVERSAL NASAKI</t>
  </si>
  <si>
    <t>FOCO H4 HALOGENO</t>
  </si>
  <si>
    <t>CHICOTE DE FRENO TRASERO WS150</t>
  </si>
  <si>
    <t>GUANTES PROMOTO</t>
  </si>
  <si>
    <t>PIPETA DE SPIRIT 250</t>
  </si>
  <si>
    <t>SELLOS DE ESCAPE FT150</t>
  </si>
  <si>
    <t>ACEITE REPSOL</t>
  </si>
  <si>
    <t>BUJIA C7</t>
  </si>
  <si>
    <t>LUNES 30 DE MARZO-26</t>
  </si>
  <si>
    <t>ROLLO</t>
  </si>
  <si>
    <t>MARTES 31 DE MARZO-26</t>
  </si>
  <si>
    <t>AXPRO</t>
  </si>
  <si>
    <t>P.NASAKI</t>
  </si>
  <si>
    <t>PAGOYAS</t>
  </si>
  <si>
    <t>JUEVES 02 DE ABRIL-26</t>
  </si>
  <si>
    <t>Jueves 02 DE ABRIL-26</t>
  </si>
  <si>
    <t xml:space="preserve">TOTAL </t>
  </si>
  <si>
    <t xml:space="preserve">TOTAL DE EGRESOS </t>
  </si>
  <si>
    <t>BALATA DE DISCO WS150</t>
  </si>
  <si>
    <t>PIÑON FT150</t>
  </si>
  <si>
    <t xml:space="preserve">SEGURO DE PIÑON CON TORNILLOS </t>
  </si>
  <si>
    <t>KID DE ARRASTRE FT125</t>
  </si>
  <si>
    <t>TUBO MOVIL DS150</t>
  </si>
  <si>
    <t>DANIEL</t>
  </si>
  <si>
    <t>RID TRASERO DM200</t>
  </si>
  <si>
    <t xml:space="preserve">MIRILLA DE FRENO </t>
  </si>
  <si>
    <t>BIRLOS DE FT150</t>
  </si>
  <si>
    <t>CADENA 428 WAPEMEX</t>
  </si>
  <si>
    <t>ACEITE AKRON</t>
  </si>
  <si>
    <t>BUJIAS C9</t>
  </si>
  <si>
    <t>FILTRO DE GASOLINA CARTON</t>
  </si>
  <si>
    <t>FILTRO DE AIRE WS150 SPORT</t>
  </si>
  <si>
    <t>CHICOTE DE FRENO TASERO DS150</t>
  </si>
  <si>
    <t>DISCO DE FRENO FT150</t>
  </si>
  <si>
    <t>CABLE SUELTO ROJO</t>
  </si>
  <si>
    <t xml:space="preserve">ACEITE YAMALUBE </t>
  </si>
  <si>
    <t xml:space="preserve">CARGADOR DE CELULAR </t>
  </si>
  <si>
    <t>DISCO DE FRENO DELANTERO WS150</t>
  </si>
  <si>
    <t>BALATA DE DISCO DS150</t>
  </si>
  <si>
    <r>
      <rPr>
        <b/>
        <sz val="14"/>
        <color theme="1"/>
        <rFont val="Calibri"/>
        <family val="2"/>
        <scheme val="minor"/>
      </rPr>
      <t>CORTES DE LA SEMANA  SEMANA PASADA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30 DE MARZO-26           $15115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$ 2619         MENOS$ 4435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31 DE MARZO- 26      $ 10680 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$ 1195.5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MIERCOLES 01 DE ABRIL-26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$ 1645.5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02 DE ABRIL-26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$ 3123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 xml:space="preserve">TOTAL $8583
TOTAL EN CAJA $ 19263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</si>
</sst>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3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3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2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19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18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15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14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1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0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3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2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35" sqref="D3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19</v>
      </c>
      <c r="K3" s="6">
        <f>SUM(Tabla1[Importa])</f>
        <v>2619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20</v>
      </c>
      <c r="K4" s="10">
        <f>COUNTIF(C5:C103,"&gt;0")</f>
        <v>30</v>
      </c>
      <c r="M4" s="36" t="s">
        <v>60</v>
      </c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46114.796018287037</v>
      </c>
      <c r="C5">
        <f>IF(ISNUMBER(E5), IF(ISNUMBER(C4), C4+1, 1), "")</f>
        <v>1</v>
      </c>
      <c r="D5" t="s">
        <v>28</v>
      </c>
      <c r="E5">
        <v>2</v>
      </c>
      <c r="F5">
        <v>12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24</v>
      </c>
      <c r="J5" s="38" t="s">
        <v>13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46114.796018287037</v>
      </c>
      <c r="C6">
        <f t="shared" ref="C6:C36" si="0">IF(ISNUMBER(E6), IF(ISNUMBER(C5), C5+1, 1), "")</f>
        <v>2</v>
      </c>
      <c r="D6" t="s">
        <v>29</v>
      </c>
      <c r="E6">
        <v>1</v>
      </c>
      <c r="F6">
        <v>25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25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46114.796018287037</v>
      </c>
      <c r="C7">
        <f t="shared" si="0"/>
        <v>3</v>
      </c>
      <c r="D7" t="s">
        <v>30</v>
      </c>
      <c r="E7">
        <v>1</v>
      </c>
      <c r="F7">
        <v>20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20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46114.796018287037</v>
      </c>
      <c r="C8">
        <f t="shared" si="0"/>
        <v>4</v>
      </c>
      <c r="D8" t="s">
        <v>31</v>
      </c>
      <c r="E8">
        <v>1</v>
      </c>
      <c r="F8">
        <v>28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28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46114.796018287037</v>
      </c>
      <c r="C9">
        <f t="shared" si="0"/>
        <v>5</v>
      </c>
      <c r="D9" t="s">
        <v>32</v>
      </c>
      <c r="E9">
        <v>1</v>
      </c>
      <c r="F9">
        <v>5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46114.796018287037</v>
      </c>
      <c r="C10">
        <f t="shared" si="0"/>
        <v>6</v>
      </c>
      <c r="D10" t="s">
        <v>33</v>
      </c>
      <c r="E10">
        <v>1</v>
      </c>
      <c r="F10">
        <v>42</v>
      </c>
      <c r="G10" t="s">
        <v>34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38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46114.796018287037</v>
      </c>
      <c r="C11">
        <f t="shared" si="0"/>
        <v>7</v>
      </c>
      <c r="D11" t="s">
        <v>36</v>
      </c>
      <c r="E11">
        <v>1</v>
      </c>
      <c r="F11">
        <v>690</v>
      </c>
      <c r="G11" t="s">
        <v>34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621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46114.796018287037</v>
      </c>
      <c r="C12">
        <f t="shared" si="0"/>
        <v>8</v>
      </c>
      <c r="D12" t="s">
        <v>37</v>
      </c>
      <c r="E12">
        <v>1</v>
      </c>
      <c r="F12">
        <v>215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215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46114.796018287037</v>
      </c>
      <c r="C13">
        <f t="shared" si="0"/>
        <v>9</v>
      </c>
      <c r="D13" t="s">
        <v>38</v>
      </c>
      <c r="E13">
        <v>1</v>
      </c>
      <c r="F13">
        <v>117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117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46114.796018287037</v>
      </c>
      <c r="C14">
        <f t="shared" si="0"/>
        <v>10</v>
      </c>
      <c r="D14" t="s">
        <v>39</v>
      </c>
      <c r="E14">
        <v>1</v>
      </c>
      <c r="F14">
        <v>32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32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46114.796018287037</v>
      </c>
      <c r="C15">
        <f t="shared" si="0"/>
        <v>11</v>
      </c>
      <c r="D15" t="s">
        <v>40</v>
      </c>
      <c r="E15">
        <v>1</v>
      </c>
      <c r="F15">
        <v>20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20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46114.796018287037</v>
      </c>
      <c r="C16">
        <f t="shared" si="0"/>
        <v>12</v>
      </c>
      <c r="D16" t="s">
        <v>41</v>
      </c>
      <c r="E16">
        <v>1</v>
      </c>
      <c r="F16">
        <v>135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135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46114.796018287037</v>
      </c>
      <c r="C17">
        <f t="shared" si="0"/>
        <v>13</v>
      </c>
      <c r="D17" t="s">
        <v>42</v>
      </c>
      <c r="E17">
        <v>1</v>
      </c>
      <c r="F17">
        <v>285</v>
      </c>
      <c r="G17" t="s">
        <v>34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256.5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46114.796018287037</v>
      </c>
      <c r="C18">
        <f t="shared" si="0"/>
        <v>14</v>
      </c>
      <c r="D18" t="s">
        <v>43</v>
      </c>
      <c r="E18">
        <v>2</v>
      </c>
      <c r="F18">
        <v>15</v>
      </c>
      <c r="G18" t="s">
        <v>34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27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46114.796018287037</v>
      </c>
      <c r="C19">
        <f t="shared" si="0"/>
        <v>15</v>
      </c>
      <c r="D19" t="s">
        <v>44</v>
      </c>
      <c r="E19">
        <v>2</v>
      </c>
      <c r="F19">
        <v>30</v>
      </c>
      <c r="G19" t="s">
        <v>34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54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46114.796018287037</v>
      </c>
      <c r="C20">
        <f t="shared" si="0"/>
        <v>16</v>
      </c>
      <c r="D20" t="s">
        <v>45</v>
      </c>
      <c r="E20">
        <v>2</v>
      </c>
      <c r="F20">
        <v>50</v>
      </c>
      <c r="G20" t="s">
        <v>34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90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46114.796018287037</v>
      </c>
      <c r="C21">
        <f t="shared" si="0"/>
        <v>17</v>
      </c>
      <c r="D21" t="s">
        <v>46</v>
      </c>
      <c r="E21">
        <v>2</v>
      </c>
      <c r="F21">
        <v>25</v>
      </c>
      <c r="G21" t="s">
        <v>34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45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46114.796018287037</v>
      </c>
      <c r="C22">
        <f t="shared" si="0"/>
        <v>18</v>
      </c>
      <c r="D22" t="s">
        <v>47</v>
      </c>
      <c r="E22">
        <v>1</v>
      </c>
      <c r="F22">
        <v>90</v>
      </c>
      <c r="G22" t="s">
        <v>34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81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46114.796018287037</v>
      </c>
      <c r="C23">
        <f t="shared" si="0"/>
        <v>19</v>
      </c>
      <c r="D23" t="s">
        <v>48</v>
      </c>
      <c r="E23">
        <v>1</v>
      </c>
      <c r="F23">
        <v>10</v>
      </c>
      <c r="G23" t="s">
        <v>34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9</v>
      </c>
    </row>
    <row r="24" spans="2:18" ht="15" customHeight="1" x14ac:dyDescent="0.25">
      <c r="B24" s="18">
        <f ca="1">IF(Tabla1[[#This Row],['#]]&lt;&gt;"", NOW(), "")</f>
        <v>46114.796018287037</v>
      </c>
      <c r="C24">
        <f t="shared" si="0"/>
        <v>20</v>
      </c>
      <c r="D24" t="s">
        <v>49</v>
      </c>
      <c r="E24">
        <v>4</v>
      </c>
      <c r="F24">
        <v>5</v>
      </c>
      <c r="G24" t="s">
        <v>34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18</v>
      </c>
      <c r="M24" s="32" t="s">
        <v>21</v>
      </c>
      <c r="N24" s="32"/>
      <c r="O24" s="32"/>
      <c r="P24" s="32"/>
      <c r="Q24" s="32"/>
      <c r="R24" s="32"/>
    </row>
    <row r="25" spans="2:18" x14ac:dyDescent="0.25">
      <c r="B25" s="18">
        <f ca="1">IF(Tabla1[[#This Row],['#]]&lt;&gt;"", NOW(), "")</f>
        <v>46114.796018287037</v>
      </c>
      <c r="C25">
        <f t="shared" si="0"/>
        <v>21</v>
      </c>
      <c r="D25" t="s">
        <v>50</v>
      </c>
      <c r="E25">
        <v>1</v>
      </c>
      <c r="F25">
        <v>54</v>
      </c>
      <c r="H25" s="5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>54</v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>
        <f ca="1">IF(Tabla1[[#This Row],['#]]&lt;&gt;"", NOW(), "")</f>
        <v>46114.796018287037</v>
      </c>
      <c r="C26">
        <f t="shared" si="0"/>
        <v>22</v>
      </c>
      <c r="D26" t="s">
        <v>51</v>
      </c>
      <c r="E26">
        <v>2</v>
      </c>
      <c r="F26">
        <v>40</v>
      </c>
      <c r="G26" t="s">
        <v>34</v>
      </c>
      <c r="H26" s="5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>72</v>
      </c>
      <c r="M26" s="31" t="s">
        <v>22</v>
      </c>
      <c r="N26" s="31"/>
      <c r="O26" s="14" t="s">
        <v>23</v>
      </c>
      <c r="P26" s="31" t="s">
        <v>24</v>
      </c>
      <c r="Q26" s="31"/>
      <c r="R26" s="31"/>
    </row>
    <row r="27" spans="2:18" x14ac:dyDescent="0.25">
      <c r="B27" s="18">
        <f ca="1">IF(Tabla1[[#This Row],['#]]&lt;&gt;"", NOW(), "")</f>
        <v>46114.796018287037</v>
      </c>
      <c r="C27">
        <f t="shared" si="0"/>
        <v>23</v>
      </c>
      <c r="D27" t="s">
        <v>52</v>
      </c>
      <c r="E27">
        <v>1</v>
      </c>
      <c r="F27">
        <v>39</v>
      </c>
      <c r="H27" s="5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>39</v>
      </c>
      <c r="M27" s="19" t="s">
        <v>35</v>
      </c>
      <c r="N27" s="20"/>
      <c r="O27" s="23">
        <v>452</v>
      </c>
      <c r="P27" s="25"/>
      <c r="Q27" s="26"/>
      <c r="R27" s="27"/>
    </row>
    <row r="28" spans="2:18" x14ac:dyDescent="0.25">
      <c r="B28" s="18">
        <f ca="1">IF(Tabla1[[#This Row],['#]]&lt;&gt;"", NOW(), "")</f>
        <v>46114.796018287037</v>
      </c>
      <c r="C28">
        <f t="shared" si="0"/>
        <v>24</v>
      </c>
      <c r="D28" t="s">
        <v>53</v>
      </c>
      <c r="E28">
        <v>1</v>
      </c>
      <c r="F28">
        <v>10</v>
      </c>
      <c r="H28" s="5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>10</v>
      </c>
      <c r="M28" s="21"/>
      <c r="N28" s="22"/>
      <c r="O28" s="24"/>
      <c r="P28" s="28"/>
      <c r="Q28" s="29"/>
      <c r="R28" s="30"/>
    </row>
    <row r="29" spans="2:18" x14ac:dyDescent="0.25">
      <c r="B29" s="18">
        <f ca="1">IF(Tabla1[[#This Row],['#]]&lt;&gt;"", NOW(), "")</f>
        <v>46114.796018287037</v>
      </c>
      <c r="C29">
        <f t="shared" si="0"/>
        <v>25</v>
      </c>
      <c r="D29" t="s">
        <v>54</v>
      </c>
      <c r="E29">
        <v>1</v>
      </c>
      <c r="F29">
        <v>15</v>
      </c>
      <c r="H29" s="5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>15</v>
      </c>
      <c r="M29" s="19"/>
      <c r="N29" s="20"/>
      <c r="O29" s="23"/>
      <c r="P29" s="25"/>
      <c r="Q29" s="26"/>
      <c r="R29" s="27"/>
    </row>
    <row r="30" spans="2:18" x14ac:dyDescent="0.25">
      <c r="B30" s="18">
        <f ca="1">IF(Tabla1[[#This Row],['#]]&lt;&gt;"", NOW(), "")</f>
        <v>46114.796018287037</v>
      </c>
      <c r="C30">
        <f t="shared" si="0"/>
        <v>26</v>
      </c>
      <c r="D30" t="s">
        <v>55</v>
      </c>
      <c r="E30">
        <v>1</v>
      </c>
      <c r="F30">
        <v>115</v>
      </c>
      <c r="H30" s="5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>115</v>
      </c>
      <c r="M30" s="21"/>
      <c r="N30" s="22"/>
      <c r="O30" s="24"/>
      <c r="P30" s="28"/>
      <c r="Q30" s="29"/>
      <c r="R30" s="30"/>
    </row>
    <row r="31" spans="2:18" x14ac:dyDescent="0.25">
      <c r="B31" s="18">
        <f ca="1">IF(Tabla1[[#This Row],['#]]&lt;&gt;"", NOW(), "")</f>
        <v>46114.796018287037</v>
      </c>
      <c r="C31">
        <f t="shared" si="0"/>
        <v>27</v>
      </c>
      <c r="D31" t="s">
        <v>56</v>
      </c>
      <c r="E31">
        <v>1</v>
      </c>
      <c r="F31">
        <v>79</v>
      </c>
      <c r="H31" s="5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>79</v>
      </c>
      <c r="M31" s="19"/>
      <c r="N31" s="20"/>
      <c r="O31" s="23"/>
      <c r="P31" s="25"/>
      <c r="Q31" s="26"/>
      <c r="R31" s="27"/>
    </row>
    <row r="32" spans="2:18" x14ac:dyDescent="0.25">
      <c r="B32" s="18">
        <f ca="1">IF(Tabla1[[#This Row],['#]]&lt;&gt;"", NOW(), "")</f>
        <v>46114.796018287037</v>
      </c>
      <c r="C32">
        <f t="shared" si="0"/>
        <v>28</v>
      </c>
      <c r="D32" t="s">
        <v>57</v>
      </c>
      <c r="E32">
        <v>1</v>
      </c>
      <c r="F32">
        <v>55</v>
      </c>
      <c r="G32" t="s">
        <v>34</v>
      </c>
      <c r="H32" s="5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>49.5</v>
      </c>
      <c r="M32" s="21"/>
      <c r="N32" s="22"/>
      <c r="O32" s="24"/>
      <c r="P32" s="28"/>
      <c r="Q32" s="29"/>
      <c r="R32" s="30"/>
    </row>
    <row r="33" spans="2:18" x14ac:dyDescent="0.25">
      <c r="B33" s="18">
        <f ca="1">IF(Tabla1[[#This Row],['#]]&lt;&gt;"", NOW(), "")</f>
        <v>46114.796018287037</v>
      </c>
      <c r="C33">
        <f t="shared" si="0"/>
        <v>29</v>
      </c>
      <c r="D33" t="s">
        <v>58</v>
      </c>
      <c r="E33">
        <v>1</v>
      </c>
      <c r="F33">
        <v>25</v>
      </c>
      <c r="H33" s="5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>25</v>
      </c>
      <c r="M33" s="19"/>
      <c r="N33" s="20"/>
      <c r="O33" s="23"/>
      <c r="P33" s="25"/>
      <c r="Q33" s="26"/>
      <c r="R33" s="27"/>
    </row>
    <row r="34" spans="2:18" x14ac:dyDescent="0.25">
      <c r="B34" s="18">
        <f ca="1">IF(Tabla1[[#This Row],['#]]&lt;&gt;"", NOW(), "")</f>
        <v>46114.796018287037</v>
      </c>
      <c r="C34">
        <f t="shared" si="0"/>
        <v>30</v>
      </c>
      <c r="D34" t="s">
        <v>59</v>
      </c>
      <c r="E34">
        <v>1</v>
      </c>
      <c r="F34">
        <v>300</v>
      </c>
      <c r="H34" s="5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>300</v>
      </c>
      <c r="M34" s="21"/>
      <c r="N34" s="22"/>
      <c r="O34" s="24"/>
      <c r="P34" s="28"/>
      <c r="Q34" s="29"/>
      <c r="R34" s="30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20" sqref="D2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61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19</v>
      </c>
      <c r="K3" s="6">
        <f>SUM(Tabla110[Importa])</f>
        <v>1195.5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16</v>
      </c>
      <c r="M4" s="36" t="s">
        <v>78</v>
      </c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46114.796018287037</v>
      </c>
      <c r="C5">
        <f t="shared" ref="C5:C68" si="0">IF(ISNUMBER(E5), IF(ISNUMBER(C4), C4+1, 1), "")</f>
        <v>1</v>
      </c>
      <c r="D5" t="s">
        <v>63</v>
      </c>
      <c r="E5">
        <v>1</v>
      </c>
      <c r="F5">
        <v>20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20</v>
      </c>
      <c r="J5" s="38" t="s">
        <v>13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46114.796018287037</v>
      </c>
      <c r="C6">
        <f t="shared" si="0"/>
        <v>2</v>
      </c>
      <c r="D6" t="s">
        <v>64</v>
      </c>
      <c r="E6">
        <v>1</v>
      </c>
      <c r="F6">
        <v>50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50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46114.796018287037</v>
      </c>
      <c r="C7">
        <f t="shared" si="0"/>
        <v>3</v>
      </c>
      <c r="D7" t="s">
        <v>32</v>
      </c>
      <c r="E7">
        <v>2</v>
      </c>
      <c r="F7">
        <v>5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10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46114.796018287037</v>
      </c>
      <c r="C8">
        <f t="shared" si="0"/>
        <v>4</v>
      </c>
      <c r="D8" t="s">
        <v>66</v>
      </c>
      <c r="E8">
        <v>1</v>
      </c>
      <c r="F8">
        <v>35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35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46114.796018287037</v>
      </c>
      <c r="C9">
        <f t="shared" si="0"/>
        <v>5</v>
      </c>
      <c r="D9" t="s">
        <v>67</v>
      </c>
      <c r="E9">
        <v>1</v>
      </c>
      <c r="F9">
        <v>20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20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46114.796018287037</v>
      </c>
      <c r="C10">
        <f t="shared" si="0"/>
        <v>6</v>
      </c>
      <c r="D10" t="s">
        <v>68</v>
      </c>
      <c r="E10">
        <v>1</v>
      </c>
      <c r="F10">
        <v>40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40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46114.796018287037</v>
      </c>
      <c r="C11">
        <f t="shared" si="0"/>
        <v>7</v>
      </c>
      <c r="D11" t="s">
        <v>69</v>
      </c>
      <c r="E11">
        <v>1</v>
      </c>
      <c r="F11">
        <v>75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75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46114.796018287037</v>
      </c>
      <c r="C12">
        <f t="shared" si="0"/>
        <v>8</v>
      </c>
      <c r="D12" t="s">
        <v>71</v>
      </c>
      <c r="E12">
        <v>1</v>
      </c>
      <c r="F12">
        <v>85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85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46114.796018287037</v>
      </c>
      <c r="C13">
        <f t="shared" si="0"/>
        <v>9</v>
      </c>
      <c r="D13" t="s">
        <v>72</v>
      </c>
      <c r="E13">
        <v>1</v>
      </c>
      <c r="F13">
        <v>75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75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46114.796018287037</v>
      </c>
      <c r="C14">
        <f t="shared" si="0"/>
        <v>10</v>
      </c>
      <c r="D14" t="s">
        <v>73</v>
      </c>
      <c r="E14">
        <v>1</v>
      </c>
      <c r="F14">
        <v>126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126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46114.796018287037</v>
      </c>
      <c r="C15">
        <f t="shared" si="0"/>
        <v>11</v>
      </c>
      <c r="D15" t="s">
        <v>64</v>
      </c>
      <c r="E15">
        <v>1</v>
      </c>
      <c r="F15">
        <v>50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50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46114.796018287037</v>
      </c>
      <c r="C16">
        <f t="shared" si="0"/>
        <v>12</v>
      </c>
      <c r="D16" t="s">
        <v>75</v>
      </c>
      <c r="E16">
        <v>1</v>
      </c>
      <c r="F16">
        <v>25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25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46114.796018287037</v>
      </c>
      <c r="C17">
        <f t="shared" si="0"/>
        <v>13</v>
      </c>
      <c r="D17" t="s">
        <v>74</v>
      </c>
      <c r="E17">
        <v>1</v>
      </c>
      <c r="F17">
        <v>70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70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46114.796018287037</v>
      </c>
      <c r="C18">
        <f t="shared" si="0"/>
        <v>14</v>
      </c>
      <c r="D18" t="s">
        <v>76</v>
      </c>
      <c r="E18">
        <v>1</v>
      </c>
      <c r="F18">
        <v>363</v>
      </c>
      <c r="G18" t="s">
        <v>34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327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46114.796018287037</v>
      </c>
      <c r="C19">
        <f t="shared" si="0"/>
        <v>15</v>
      </c>
      <c r="D19" t="s">
        <v>77</v>
      </c>
      <c r="E19">
        <v>1</v>
      </c>
      <c r="F19">
        <v>150</v>
      </c>
      <c r="G19" t="s">
        <v>34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142.5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46114.796018287037</v>
      </c>
      <c r="C20">
        <f t="shared" si="0"/>
        <v>16</v>
      </c>
      <c r="D20" t="s">
        <v>64</v>
      </c>
      <c r="E20">
        <v>1</v>
      </c>
      <c r="F20">
        <v>50</v>
      </c>
      <c r="G20" t="s">
        <v>34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45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46114.796018287037</v>
      </c>
      <c r="C21" t="str">
        <f t="shared" si="0"/>
        <v/>
      </c>
      <c r="H21" s="5" t="str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46114.796018287037</v>
      </c>
      <c r="C22" t="str">
        <f t="shared" si="0"/>
        <v/>
      </c>
      <c r="H22" s="5" t="str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46114.796018287037</v>
      </c>
      <c r="C23" t="str">
        <f t="shared" si="0"/>
        <v/>
      </c>
      <c r="H23" s="5" t="str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46114.796018287037</v>
      </c>
      <c r="C24" t="str">
        <f t="shared" si="0"/>
        <v/>
      </c>
      <c r="H24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4" s="32" t="s">
        <v>21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46114.796018287037</v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x14ac:dyDescent="0.25">
      <c r="B26" s="18">
        <f ca="1">IF(Tabla1[[#This Row],['#]]&lt;&gt;"", NOW(), "")</f>
        <v>46114.796018287037</v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22</v>
      </c>
      <c r="N26" s="14" t="s">
        <v>23</v>
      </c>
      <c r="O26" s="31" t="s">
        <v>24</v>
      </c>
      <c r="P26" s="31"/>
      <c r="Q26" s="31"/>
      <c r="R26" s="31"/>
    </row>
    <row r="27" spans="2:18" ht="45" x14ac:dyDescent="0.25">
      <c r="B27" s="18">
        <f ca="1">IF(Tabla1[[#This Row],['#]]&lt;&gt;"", NOW(), "")</f>
        <v>46114.796018287037</v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62</v>
      </c>
      <c r="N27" s="15">
        <v>66</v>
      </c>
      <c r="O27" s="39"/>
      <c r="P27" s="40"/>
      <c r="Q27" s="40"/>
      <c r="R27" s="41"/>
    </row>
    <row r="28" spans="2:18" ht="30" x14ac:dyDescent="0.25">
      <c r="B28" s="18">
        <f ca="1">IF(Tabla1[[#This Row],['#]]&lt;&gt;"", NOW(), "")</f>
        <v>46114.796018287037</v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 t="s">
        <v>65</v>
      </c>
      <c r="N28" s="15">
        <v>534</v>
      </c>
      <c r="O28" s="39"/>
      <c r="P28" s="40"/>
      <c r="Q28" s="40"/>
      <c r="R28" s="41"/>
    </row>
    <row r="29" spans="2:18" ht="30" x14ac:dyDescent="0.25">
      <c r="B29" s="18">
        <f ca="1">IF(Tabla1[[#This Row],['#]]&lt;&gt;"", NOW(), "")</f>
        <v>46114.796018287037</v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 t="s">
        <v>70</v>
      </c>
      <c r="N29" s="15">
        <v>1753</v>
      </c>
      <c r="O29" s="39"/>
      <c r="P29" s="40"/>
      <c r="Q29" s="40"/>
      <c r="R29" s="41"/>
    </row>
    <row r="30" spans="2:18" x14ac:dyDescent="0.25">
      <c r="B30" s="18">
        <f ca="1">IF(Tabla1[[#This Row],['#]]&lt;&gt;"", NOW(), "")</f>
        <v>46114.796018287037</v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>
        <f ca="1">IF(Tabla1[[#This Row],['#]]&lt;&gt;"", NOW(), "")</f>
        <v>46114.796018287037</v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>
        <f ca="1">IF(Tabla1[[#This Row],['#]]&lt;&gt;"", NOW(), "")</f>
        <v>46114.796018287037</v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>
        <f ca="1">IF(Tabla1[[#This Row],['#]]&lt;&gt;"", NOW(), "")</f>
        <v>46114.796018287037</v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>
        <f ca="1">IF(Tabla1[[#This Row],['#]]&lt;&gt;"", NOW(), "")</f>
        <v>46114.796018287037</v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25" priority="1">
      <formula>C5&gt;0&amp;ISBLANK(B5)</formula>
    </cfRule>
  </conditionalFormatting>
  <conditionalFormatting sqref="D5:D6">
    <cfRule type="expression" dxfId="2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26" sqref="D2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79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19</v>
      </c>
      <c r="K3" s="6">
        <f>SUM(Tabla111[Importa])</f>
        <v>1645.5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21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46114.796018287037</v>
      </c>
      <c r="C5">
        <f>IF(ISNUMBER(E5), IF(ISNUMBER(C4), C4+1, 1), "")</f>
        <v>1</v>
      </c>
      <c r="D5" t="s">
        <v>80</v>
      </c>
      <c r="E5">
        <v>1</v>
      </c>
      <c r="F5">
        <v>80</v>
      </c>
      <c r="G5" t="s">
        <v>34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72</v>
      </c>
      <c r="J5" s="38" t="s">
        <v>13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46114.796018287037</v>
      </c>
      <c r="C6">
        <f t="shared" ref="C6" si="0">IF(ISNUMBER(E6), IF(ISNUMBER(C5), C5+1, 1), "")</f>
        <v>2</v>
      </c>
      <c r="D6" t="s">
        <v>81</v>
      </c>
      <c r="E6">
        <v>1</v>
      </c>
      <c r="F6">
        <v>100</v>
      </c>
      <c r="G6" t="s">
        <v>34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90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46114.796018287037</v>
      </c>
      <c r="C7">
        <f>IF(ISNUMBER(E7), IF(ISNUMBER(C6), C6+1, 1), "")</f>
        <v>3</v>
      </c>
      <c r="D7" t="s">
        <v>82</v>
      </c>
      <c r="E7">
        <v>1</v>
      </c>
      <c r="F7">
        <v>70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70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46114.796018287037</v>
      </c>
      <c r="C8">
        <f t="shared" ref="C8:C68" si="1">IF(ISNUMBER(E8), IF(ISNUMBER(C7), C7+1, 1), "")</f>
        <v>4</v>
      </c>
      <c r="D8" t="s">
        <v>32</v>
      </c>
      <c r="E8">
        <v>2</v>
      </c>
      <c r="F8">
        <v>5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10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46114.796018287037</v>
      </c>
      <c r="C9">
        <f t="shared" si="1"/>
        <v>5</v>
      </c>
      <c r="D9" t="s">
        <v>32</v>
      </c>
      <c r="E9">
        <v>2</v>
      </c>
      <c r="F9">
        <v>5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10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46114.796018287037</v>
      </c>
      <c r="C10">
        <f t="shared" si="1"/>
        <v>6</v>
      </c>
      <c r="D10" t="s">
        <v>83</v>
      </c>
      <c r="E10">
        <v>1</v>
      </c>
      <c r="F10">
        <v>180</v>
      </c>
      <c r="G10" t="s">
        <v>34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162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46114.796018287037</v>
      </c>
      <c r="C11">
        <f t="shared" si="1"/>
        <v>7</v>
      </c>
      <c r="D11" t="s">
        <v>84</v>
      </c>
      <c r="E11">
        <v>1</v>
      </c>
      <c r="F11">
        <v>87</v>
      </c>
      <c r="G11" t="s">
        <v>34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78.5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46114.796018287037</v>
      </c>
      <c r="C12">
        <f t="shared" si="1"/>
        <v>8</v>
      </c>
      <c r="D12" t="s">
        <v>32</v>
      </c>
      <c r="E12">
        <v>2</v>
      </c>
      <c r="F12">
        <v>5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10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46114.796018287037</v>
      </c>
      <c r="C13">
        <f t="shared" si="1"/>
        <v>9</v>
      </c>
      <c r="D13" t="s">
        <v>85</v>
      </c>
      <c r="E13">
        <v>1</v>
      </c>
      <c r="F13">
        <v>142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142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46114.796018287037</v>
      </c>
      <c r="C14">
        <f t="shared" si="1"/>
        <v>10</v>
      </c>
      <c r="D14" t="s">
        <v>81</v>
      </c>
      <c r="E14">
        <v>1</v>
      </c>
      <c r="F14">
        <v>100</v>
      </c>
      <c r="G14" t="s">
        <v>34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90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46114.796018287037</v>
      </c>
      <c r="C15">
        <f t="shared" si="1"/>
        <v>11</v>
      </c>
      <c r="D15" t="s">
        <v>86</v>
      </c>
      <c r="E15">
        <v>1</v>
      </c>
      <c r="F15">
        <v>180</v>
      </c>
      <c r="G15" t="s">
        <v>34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162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46114.796018287037</v>
      </c>
      <c r="C16">
        <f t="shared" si="1"/>
        <v>12</v>
      </c>
      <c r="D16" t="s">
        <v>87</v>
      </c>
      <c r="E16">
        <v>1</v>
      </c>
      <c r="F16">
        <v>90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90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46114.796018287037</v>
      </c>
      <c r="C17">
        <f t="shared" si="1"/>
        <v>13</v>
      </c>
      <c r="D17" t="s">
        <v>88</v>
      </c>
      <c r="E17">
        <v>2</v>
      </c>
      <c r="F17">
        <v>40</v>
      </c>
      <c r="G17" t="s">
        <v>34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72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46114.796018287037</v>
      </c>
      <c r="C18">
        <f t="shared" si="1"/>
        <v>14</v>
      </c>
      <c r="D18" t="s">
        <v>89</v>
      </c>
      <c r="E18">
        <v>1</v>
      </c>
      <c r="F18">
        <v>60</v>
      </c>
      <c r="G18" t="s">
        <v>34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54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46114.796018287037</v>
      </c>
      <c r="C19">
        <f t="shared" si="1"/>
        <v>15</v>
      </c>
      <c r="D19" t="s">
        <v>90</v>
      </c>
      <c r="E19">
        <v>1</v>
      </c>
      <c r="F19">
        <v>70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70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46114.796018287037</v>
      </c>
      <c r="C20">
        <f t="shared" si="1"/>
        <v>16</v>
      </c>
      <c r="D20" t="s">
        <v>91</v>
      </c>
      <c r="E20">
        <v>1</v>
      </c>
      <c r="F20">
        <v>126</v>
      </c>
      <c r="G20" t="s">
        <v>34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113.5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46114.796018287037</v>
      </c>
      <c r="C21">
        <f t="shared" si="1"/>
        <v>17</v>
      </c>
      <c r="D21" t="s">
        <v>92</v>
      </c>
      <c r="E21">
        <v>1</v>
      </c>
      <c r="F21">
        <v>10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10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46114.796018287037</v>
      </c>
      <c r="C22">
        <f t="shared" si="1"/>
        <v>18</v>
      </c>
      <c r="D22" t="s">
        <v>93</v>
      </c>
      <c r="E22">
        <v>1</v>
      </c>
      <c r="F22">
        <v>142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142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46114.796018287037</v>
      </c>
      <c r="C23">
        <f t="shared" si="1"/>
        <v>19</v>
      </c>
      <c r="D23" t="s">
        <v>94</v>
      </c>
      <c r="E23">
        <v>1</v>
      </c>
      <c r="F23">
        <v>50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50</v>
      </c>
    </row>
    <row r="24" spans="2:18" ht="15" customHeight="1" x14ac:dyDescent="0.25">
      <c r="B24" s="18">
        <f ca="1">IF(Tabla1[[#This Row],['#]]&lt;&gt;"", NOW(), "")</f>
        <v>46114.796018287037</v>
      </c>
      <c r="C24">
        <f t="shared" si="1"/>
        <v>20</v>
      </c>
      <c r="D24" t="s">
        <v>32</v>
      </c>
      <c r="E24">
        <v>1</v>
      </c>
      <c r="F24">
        <v>5</v>
      </c>
      <c r="H24" s="5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>5</v>
      </c>
      <c r="M24" s="32" t="s">
        <v>21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46114.796018287037</v>
      </c>
      <c r="C25">
        <f t="shared" si="1"/>
        <v>21</v>
      </c>
      <c r="D25" t="s">
        <v>77</v>
      </c>
      <c r="E25">
        <v>1</v>
      </c>
      <c r="F25">
        <v>150</v>
      </c>
      <c r="G25" t="s">
        <v>34</v>
      </c>
      <c r="H25" s="5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>142.5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46114.796018287037</v>
      </c>
      <c r="C26" t="str">
        <f t="shared" si="1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22</v>
      </c>
      <c r="N26" s="14" t="s">
        <v>23</v>
      </c>
      <c r="O26" s="31" t="s">
        <v>24</v>
      </c>
      <c r="P26" s="31"/>
      <c r="Q26" s="31"/>
      <c r="R26" s="31"/>
    </row>
    <row r="27" spans="2:18" x14ac:dyDescent="0.25">
      <c r="B27" s="18">
        <f ca="1">IF(Tabla1[[#This Row],['#]]&lt;&gt;"", NOW(), "")</f>
        <v>46114.796018287037</v>
      </c>
      <c r="C27" t="str">
        <f t="shared" si="1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x14ac:dyDescent="0.25">
      <c r="B28" s="18">
        <f ca="1">IF(Tabla1[[#This Row],['#]]&lt;&gt;"", NOW(), "")</f>
        <v>46114.796018287037</v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>
        <f ca="1">IF(Tabla1[[#This Row],['#]]&lt;&gt;"", NOW(), "")</f>
        <v>46114.796018287037</v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>
        <f ca="1">IF(Tabla1[[#This Row],['#]]&lt;&gt;"", NOW(), "")</f>
        <v>46114.796018287037</v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>
        <f ca="1">IF(Tabla1[[#This Row],['#]]&lt;&gt;"", NOW(), "")</f>
        <v>46114.796018287037</v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>
        <f ca="1">IF(Tabla1[[#This Row],['#]]&lt;&gt;"", NOW(), "")</f>
        <v>46114.796018287037</v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>
        <f ca="1">IF(Tabla1[[#This Row],['#]]&lt;&gt;"", NOW(), "")</f>
        <v>46114.796018287037</v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>
        <f ca="1">IF(Tabla1[[#This Row],['#]]&lt;&gt;"", NOW(), "")</f>
        <v>46114.796018287037</v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21" priority="1">
      <formula>C5&gt;0&amp;ISBLANK(B5)</formula>
    </cfRule>
  </conditionalFormatting>
  <conditionalFormatting sqref="D5:D6">
    <cfRule type="expression" dxfId="2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tabSelected="1" workbookViewId="0">
      <selection activeCell="D29" sqref="D29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102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19</v>
      </c>
      <c r="K3" s="6">
        <f>SUM(Tabla112[Importa])</f>
        <v>3123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24</v>
      </c>
      <c r="M4" s="36" t="s">
        <v>126</v>
      </c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46114.796018287037</v>
      </c>
      <c r="C5">
        <f t="shared" ref="C5:C68" si="0">IF(ISNUMBER(E5), IF(ISNUMBER(C4), C4+1, 1), "")</f>
        <v>1</v>
      </c>
      <c r="D5" t="s">
        <v>105</v>
      </c>
      <c r="E5">
        <v>1</v>
      </c>
      <c r="F5">
        <v>28</v>
      </c>
      <c r="G5" t="s">
        <v>34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25.5</v>
      </c>
      <c r="J5" s="38" t="s">
        <v>13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46114.796018287037</v>
      </c>
      <c r="C6">
        <f t="shared" si="0"/>
        <v>2</v>
      </c>
      <c r="D6" t="s">
        <v>106</v>
      </c>
      <c r="E6">
        <v>1</v>
      </c>
      <c r="F6">
        <v>35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35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46114.796018287037</v>
      </c>
      <c r="C7">
        <f t="shared" si="0"/>
        <v>3</v>
      </c>
      <c r="D7" t="s">
        <v>107</v>
      </c>
      <c r="E7">
        <v>1</v>
      </c>
      <c r="F7">
        <v>15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15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46114.796018287037</v>
      </c>
      <c r="C8">
        <f t="shared" si="0"/>
        <v>4</v>
      </c>
      <c r="D8" t="s">
        <v>108</v>
      </c>
      <c r="E8">
        <v>1</v>
      </c>
      <c r="F8">
        <v>265</v>
      </c>
      <c r="G8" t="s">
        <v>34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238.5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46114.796018287037</v>
      </c>
      <c r="C9">
        <f t="shared" si="0"/>
        <v>5</v>
      </c>
      <c r="D9" t="s">
        <v>107</v>
      </c>
      <c r="E9">
        <v>1</v>
      </c>
      <c r="F9">
        <v>15</v>
      </c>
      <c r="G9" t="s">
        <v>34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13.5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46114.796018287037</v>
      </c>
      <c r="C10">
        <f t="shared" si="0"/>
        <v>6</v>
      </c>
      <c r="D10" t="s">
        <v>109</v>
      </c>
      <c r="E10">
        <v>1</v>
      </c>
      <c r="F10">
        <v>15</v>
      </c>
      <c r="G10" t="s">
        <v>34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13.5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46114.796018287037</v>
      </c>
      <c r="C11">
        <f t="shared" si="0"/>
        <v>7</v>
      </c>
      <c r="D11" t="s">
        <v>111</v>
      </c>
      <c r="E11">
        <v>1</v>
      </c>
      <c r="F11">
        <v>1400</v>
      </c>
      <c r="G11" t="s">
        <v>34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1260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46114.796018287037</v>
      </c>
      <c r="C12">
        <f t="shared" si="0"/>
        <v>8</v>
      </c>
      <c r="D12" t="s">
        <v>112</v>
      </c>
      <c r="E12">
        <v>1</v>
      </c>
      <c r="F12">
        <v>50</v>
      </c>
      <c r="G12" t="s">
        <v>34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45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46114.796018287037</v>
      </c>
      <c r="C13">
        <f t="shared" si="0"/>
        <v>9</v>
      </c>
      <c r="D13" t="s">
        <v>113</v>
      </c>
      <c r="E13">
        <v>1</v>
      </c>
      <c r="F13">
        <v>25</v>
      </c>
      <c r="G13" t="s">
        <v>34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22.5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46114.796018287037</v>
      </c>
      <c r="C14">
        <f t="shared" si="0"/>
        <v>10</v>
      </c>
      <c r="D14" t="s">
        <v>114</v>
      </c>
      <c r="E14">
        <v>1</v>
      </c>
      <c r="F14">
        <v>190</v>
      </c>
      <c r="G14" t="s">
        <v>34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171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46114.796018287037</v>
      </c>
      <c r="C15">
        <f t="shared" si="0"/>
        <v>11</v>
      </c>
      <c r="D15" t="s">
        <v>115</v>
      </c>
      <c r="E15">
        <v>1</v>
      </c>
      <c r="F15">
        <v>117</v>
      </c>
      <c r="G15" t="s">
        <v>34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111.5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46114.796018287037</v>
      </c>
      <c r="C16">
        <f t="shared" si="0"/>
        <v>12</v>
      </c>
      <c r="D16" t="s">
        <v>116</v>
      </c>
      <c r="E16">
        <v>2</v>
      </c>
      <c r="F16">
        <v>50</v>
      </c>
      <c r="G16" t="s">
        <v>34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90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46114.796018287037</v>
      </c>
      <c r="C17">
        <f t="shared" si="0"/>
        <v>13</v>
      </c>
      <c r="D17" t="s">
        <v>117</v>
      </c>
      <c r="E17">
        <v>2</v>
      </c>
      <c r="F17">
        <v>15</v>
      </c>
      <c r="G17" t="s">
        <v>34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27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46114.796018287037</v>
      </c>
      <c r="C18">
        <f t="shared" si="0"/>
        <v>14</v>
      </c>
      <c r="D18" t="s">
        <v>115</v>
      </c>
      <c r="E18">
        <v>1</v>
      </c>
      <c r="F18">
        <v>117</v>
      </c>
      <c r="G18" t="s">
        <v>34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111.5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46114.796018287037</v>
      </c>
      <c r="C19">
        <f t="shared" si="0"/>
        <v>15</v>
      </c>
      <c r="D19" t="s">
        <v>117</v>
      </c>
      <c r="E19">
        <v>1</v>
      </c>
      <c r="F19">
        <v>15</v>
      </c>
      <c r="G19" t="s">
        <v>34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13.5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46114.796018287037</v>
      </c>
      <c r="C20">
        <f t="shared" si="0"/>
        <v>16</v>
      </c>
      <c r="D20" t="s">
        <v>94</v>
      </c>
      <c r="E20">
        <v>1</v>
      </c>
      <c r="F20">
        <v>50</v>
      </c>
      <c r="G20" t="s">
        <v>34</v>
      </c>
      <c r="H20" s="5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>45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46114.796018287037</v>
      </c>
      <c r="C21">
        <f t="shared" si="0"/>
        <v>17</v>
      </c>
      <c r="D21" t="s">
        <v>118</v>
      </c>
      <c r="E21">
        <v>1</v>
      </c>
      <c r="F21">
        <v>54</v>
      </c>
      <c r="G21" t="s">
        <v>34</v>
      </c>
      <c r="H21" s="5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>49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46114.796018287037</v>
      </c>
      <c r="C22">
        <f t="shared" si="0"/>
        <v>18</v>
      </c>
      <c r="D22" t="s">
        <v>119</v>
      </c>
      <c r="E22">
        <v>1</v>
      </c>
      <c r="F22">
        <v>68</v>
      </c>
      <c r="G22" t="s">
        <v>34</v>
      </c>
      <c r="H22" s="5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>61.5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46114.796018287037</v>
      </c>
      <c r="C23">
        <f t="shared" si="0"/>
        <v>19</v>
      </c>
      <c r="D23" t="s">
        <v>120</v>
      </c>
      <c r="E23">
        <v>1</v>
      </c>
      <c r="F23">
        <v>300</v>
      </c>
      <c r="G23" t="s">
        <v>34</v>
      </c>
      <c r="H23" s="5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>270</v>
      </c>
    </row>
    <row r="24" spans="2:18" ht="15" customHeight="1" x14ac:dyDescent="0.25">
      <c r="B24" s="18">
        <f ca="1">IF(Tabla1[[#This Row],['#]]&lt;&gt;"", NOW(), "")</f>
        <v>46114.796018287037</v>
      </c>
      <c r="C24">
        <f t="shared" si="0"/>
        <v>20</v>
      </c>
      <c r="D24" t="s">
        <v>121</v>
      </c>
      <c r="E24">
        <v>2</v>
      </c>
      <c r="F24">
        <v>16</v>
      </c>
      <c r="H24" s="5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>32</v>
      </c>
      <c r="M24" s="32" t="s">
        <v>21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46114.796018287037</v>
      </c>
      <c r="C25">
        <f t="shared" si="0"/>
        <v>21</v>
      </c>
      <c r="D25" t="s">
        <v>122</v>
      </c>
      <c r="E25">
        <v>1</v>
      </c>
      <c r="F25">
        <v>150</v>
      </c>
      <c r="G25" t="s">
        <v>34</v>
      </c>
      <c r="H25" s="5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>142.5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46114.796018287037</v>
      </c>
      <c r="C26">
        <f t="shared" si="0"/>
        <v>22</v>
      </c>
      <c r="D26" t="s">
        <v>123</v>
      </c>
      <c r="E26">
        <v>1</v>
      </c>
      <c r="F26">
        <v>95</v>
      </c>
      <c r="H26" s="5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>95</v>
      </c>
      <c r="M26" s="14" t="s">
        <v>22</v>
      </c>
      <c r="N26" s="14" t="s">
        <v>23</v>
      </c>
      <c r="O26" s="31" t="s">
        <v>24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46114.796018287037</v>
      </c>
      <c r="C27">
        <f t="shared" si="0"/>
        <v>23</v>
      </c>
      <c r="D27" t="s">
        <v>124</v>
      </c>
      <c r="E27">
        <v>1</v>
      </c>
      <c r="F27">
        <v>225</v>
      </c>
      <c r="G27" t="s">
        <v>34</v>
      </c>
      <c r="H27" s="5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>202.5</v>
      </c>
      <c r="M27" s="13" t="s">
        <v>35</v>
      </c>
      <c r="N27" s="15">
        <v>452</v>
      </c>
      <c r="O27" s="39" t="s">
        <v>95</v>
      </c>
      <c r="P27" s="40"/>
      <c r="Q27" s="40"/>
      <c r="R27" s="41"/>
    </row>
    <row r="28" spans="2:18" ht="15" customHeight="1" x14ac:dyDescent="0.25">
      <c r="B28" s="18">
        <f ca="1">IF(Tabla1[[#This Row],['#]]&lt;&gt;"", NOW(), "")</f>
        <v>46114.796018287037</v>
      </c>
      <c r="C28">
        <f t="shared" si="0"/>
        <v>24</v>
      </c>
      <c r="D28" t="s">
        <v>125</v>
      </c>
      <c r="E28">
        <v>1</v>
      </c>
      <c r="F28">
        <v>36</v>
      </c>
      <c r="G28" t="s">
        <v>34</v>
      </c>
      <c r="H28" s="5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>32.5</v>
      </c>
      <c r="M28" s="13" t="s">
        <v>96</v>
      </c>
      <c r="N28" s="15">
        <v>66</v>
      </c>
      <c r="O28" s="39" t="s">
        <v>97</v>
      </c>
      <c r="P28" s="40"/>
      <c r="Q28" s="40"/>
      <c r="R28" s="41"/>
    </row>
    <row r="29" spans="2:18" ht="15" customHeight="1" x14ac:dyDescent="0.25">
      <c r="B29" s="18">
        <f ca="1">IF(Tabla1[[#This Row],['#]]&lt;&gt;"", NOW(), "")</f>
        <v>46114.796018287037</v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 t="s">
        <v>98</v>
      </c>
      <c r="N29" s="15">
        <v>534</v>
      </c>
      <c r="O29" s="39" t="s">
        <v>97</v>
      </c>
      <c r="P29" s="40"/>
      <c r="Q29" s="40"/>
      <c r="R29" s="41"/>
    </row>
    <row r="30" spans="2:18" ht="15" customHeight="1" x14ac:dyDescent="0.25">
      <c r="B30" s="18">
        <f ca="1">IF(Tabla1[[#This Row],['#]]&lt;&gt;"", NOW(), "")</f>
        <v>46114.796018287037</v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 t="s">
        <v>99</v>
      </c>
      <c r="N30" s="15">
        <v>1753</v>
      </c>
      <c r="O30" s="39" t="s">
        <v>97</v>
      </c>
      <c r="P30" s="40"/>
      <c r="Q30" s="40"/>
      <c r="R30" s="41"/>
    </row>
    <row r="31" spans="2:18" ht="15" customHeight="1" x14ac:dyDescent="0.25">
      <c r="B31" s="18">
        <f ca="1">IF(Tabla1[[#This Row],['#]]&lt;&gt;"", NOW(), "")</f>
        <v>46114.796018287037</v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 t="s">
        <v>110</v>
      </c>
      <c r="N31" s="15">
        <v>430</v>
      </c>
      <c r="O31" s="39" t="s">
        <v>101</v>
      </c>
      <c r="P31" s="40"/>
      <c r="Q31" s="40"/>
      <c r="R31" s="41"/>
    </row>
    <row r="32" spans="2:18" ht="15" customHeight="1" x14ac:dyDescent="0.25">
      <c r="B32" s="18">
        <f ca="1">IF(Tabla1[[#This Row],['#]]&lt;&gt;"", NOW(), "")</f>
        <v>46114.796018287037</v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 t="s">
        <v>100</v>
      </c>
      <c r="N32" s="15">
        <v>1200</v>
      </c>
      <c r="O32" s="39" t="s">
        <v>101</v>
      </c>
      <c r="P32" s="40"/>
      <c r="Q32" s="40"/>
      <c r="R32" s="41"/>
    </row>
    <row r="33" spans="2:18" ht="15" customHeight="1" x14ac:dyDescent="0.25">
      <c r="B33" s="18">
        <f ca="1">IF(Tabla1[[#This Row],['#]]&lt;&gt;"", NOW(), "")</f>
        <v>46114.796018287037</v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 t="s">
        <v>103</v>
      </c>
      <c r="N33" s="15">
        <v>4435</v>
      </c>
      <c r="O33" s="39" t="s">
        <v>104</v>
      </c>
      <c r="P33" s="40"/>
      <c r="Q33" s="40"/>
      <c r="R33" s="41"/>
    </row>
    <row r="34" spans="2:18" ht="15" customHeight="1" x14ac:dyDescent="0.25">
      <c r="B34" s="18">
        <f ca="1">IF(Tabla1[[#This Row],['#]]&lt;&gt;"", NOW(), "")</f>
        <v>46114.796018287037</v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7" priority="1">
      <formula>C5&gt;0&amp;ISBLANK(B5)</formula>
    </cfRule>
  </conditionalFormatting>
  <conditionalFormatting sqref="D5:D6">
    <cfRule type="expression" dxfId="1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B1" sqref="B1:B104857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8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19</v>
      </c>
      <c r="K3" s="6">
        <f>SUM(Tabla113[Importa])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IF(Tabla113[[#This Row],['#]]&lt;&gt;"", NOW(), "")</f>
        <v/>
      </c>
      <c r="C5" t="str">
        <f t="shared" ref="C5:C68" si="0">IF(ISNUMBER(E5), IF(ISNUMBER(C4), C4+1, 1), "")</f>
        <v/>
      </c>
      <c r="H5" s="5" t="str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/>
      </c>
      <c r="J5" s="38" t="s">
        <v>13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46114.796018287037</v>
      </c>
      <c r="C6" t="str">
        <f t="shared" si="0"/>
        <v/>
      </c>
      <c r="H6" s="5" t="str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46114.796018287037</v>
      </c>
      <c r="C7" t="str">
        <f t="shared" si="0"/>
        <v/>
      </c>
      <c r="H7" s="5" t="str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46114.796018287037</v>
      </c>
      <c r="C8" t="str">
        <f t="shared" si="0"/>
        <v/>
      </c>
      <c r="H8" s="5" t="str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46114.796018287037</v>
      </c>
      <c r="C9" t="str">
        <f t="shared" si="0"/>
        <v/>
      </c>
      <c r="H9" s="5" t="str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46114.796018287037</v>
      </c>
      <c r="C10" t="str">
        <f t="shared" si="0"/>
        <v/>
      </c>
      <c r="H10" s="5" t="str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46114.796018287037</v>
      </c>
      <c r="C11" t="str">
        <f t="shared" si="0"/>
        <v/>
      </c>
      <c r="H11" s="5" t="str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46114.796018287037</v>
      </c>
      <c r="C12" t="str">
        <f t="shared" si="0"/>
        <v/>
      </c>
      <c r="H12" s="5" t="str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46114.796018287037</v>
      </c>
      <c r="C13" t="str">
        <f t="shared" si="0"/>
        <v/>
      </c>
      <c r="H13" s="5" t="str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46114.796018287037</v>
      </c>
      <c r="C14" t="str">
        <f t="shared" si="0"/>
        <v/>
      </c>
      <c r="H14" s="5" t="str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46114.796018287037</v>
      </c>
      <c r="C15" t="str">
        <f t="shared" si="0"/>
        <v/>
      </c>
      <c r="H15" s="5" t="str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46114.796018287037</v>
      </c>
      <c r="C16" t="str">
        <f t="shared" si="0"/>
        <v/>
      </c>
      <c r="H16" s="5" t="str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46114.796018287037</v>
      </c>
      <c r="C17" t="str">
        <f t="shared" si="0"/>
        <v/>
      </c>
      <c r="H17" s="5" t="str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46114.796018287037</v>
      </c>
      <c r="C18" t="str">
        <f t="shared" si="0"/>
        <v/>
      </c>
      <c r="H18" s="5" t="str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46114.796018287037</v>
      </c>
      <c r="C19" t="str">
        <f t="shared" si="0"/>
        <v/>
      </c>
      <c r="H19" s="5" t="str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46114.796018287037</v>
      </c>
      <c r="C20" t="str">
        <f t="shared" si="0"/>
        <v/>
      </c>
      <c r="H20" s="5" t="str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46114.796018287037</v>
      </c>
      <c r="C21" t="str">
        <f t="shared" si="0"/>
        <v/>
      </c>
      <c r="H21" s="5" t="str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46114.796018287037</v>
      </c>
      <c r="C22" t="str">
        <f t="shared" si="0"/>
        <v/>
      </c>
      <c r="H22" s="5" t="str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46114.796018287037</v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46114.796018287037</v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32" t="s">
        <v>21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46114.796018287037</v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46114.796018287037</v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22</v>
      </c>
      <c r="N26" s="14" t="s">
        <v>23</v>
      </c>
      <c r="O26" s="31" t="s">
        <v>24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46114.796018287037</v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46114.796018287037</v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46114.796018287037</v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46114.796018287037</v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46114.796018287037</v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46114.796018287037</v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>
        <f ca="1">IF(Tabla1[[#This Row],['#]]&lt;&gt;"", NOW(), "")</f>
        <v>46114.796018287037</v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>
        <f ca="1">IF(Tabla1[[#This Row],['#]]&lt;&gt;"", NOW(), "")</f>
        <v>46114.796018287037</v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9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19</v>
      </c>
      <c r="K3" s="6">
        <f>SUM(Tabla114[Importa])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IF(Tabla114[[#This Row],['#]]&lt;&gt;"", NOW(), "")</f>
        <v/>
      </c>
      <c r="C5" t="str">
        <f t="shared" ref="C5:C68" si="0">IF(ISNUMBER(E5), IF(ISNUMBER(C4), C4+1, 1), "")</f>
        <v/>
      </c>
      <c r="H5" s="5" t="str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/>
      </c>
      <c r="J5" s="38" t="s">
        <v>13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46114.796018287037</v>
      </c>
      <c r="C6" t="str">
        <f t="shared" si="0"/>
        <v/>
      </c>
      <c r="H6" s="5" t="str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46114.796018287037</v>
      </c>
      <c r="C7" t="str">
        <f t="shared" si="0"/>
        <v/>
      </c>
      <c r="H7" s="5" t="str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46114.796018287037</v>
      </c>
      <c r="C8" t="str">
        <f t="shared" si="0"/>
        <v/>
      </c>
      <c r="H8" s="5" t="str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46114.796018287037</v>
      </c>
      <c r="C9" t="str">
        <f t="shared" si="0"/>
        <v/>
      </c>
      <c r="H9" s="5" t="str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46114.796018287037</v>
      </c>
      <c r="C10" t="str">
        <f t="shared" si="0"/>
        <v/>
      </c>
      <c r="H10" s="5" t="str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46114.796018287037</v>
      </c>
      <c r="C11" t="str">
        <f t="shared" si="0"/>
        <v/>
      </c>
      <c r="H11" s="5" t="str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46114.796018287037</v>
      </c>
      <c r="C12" t="str">
        <f t="shared" si="0"/>
        <v/>
      </c>
      <c r="H12" s="5" t="str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46114.796018287037</v>
      </c>
      <c r="C13" t="str">
        <f t="shared" si="0"/>
        <v/>
      </c>
      <c r="H13" s="5" t="str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46114.796018287037</v>
      </c>
      <c r="C14" t="str">
        <f t="shared" si="0"/>
        <v/>
      </c>
      <c r="H14" s="5" t="str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46114.796018287037</v>
      </c>
      <c r="C15" t="str">
        <f t="shared" si="0"/>
        <v/>
      </c>
      <c r="H15" s="5" t="str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46114.796018287037</v>
      </c>
      <c r="C16" t="str">
        <f t="shared" si="0"/>
        <v/>
      </c>
      <c r="H16" s="5" t="str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46114.796018287037</v>
      </c>
      <c r="C17" t="str">
        <f t="shared" si="0"/>
        <v/>
      </c>
      <c r="H17" s="5" t="str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46114.796018287037</v>
      </c>
      <c r="C18" t="str">
        <f t="shared" si="0"/>
        <v/>
      </c>
      <c r="H18" s="5" t="str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46114.796018287037</v>
      </c>
      <c r="C19" t="str">
        <f t="shared" si="0"/>
        <v/>
      </c>
      <c r="H19" s="5" t="str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46114.796018287037</v>
      </c>
      <c r="C20" t="str">
        <f t="shared" si="0"/>
        <v/>
      </c>
      <c r="H20" s="5" t="str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46114.796018287037</v>
      </c>
      <c r="C21" t="str">
        <f t="shared" si="0"/>
        <v/>
      </c>
      <c r="H21" s="5" t="str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46114.796018287037</v>
      </c>
      <c r="C22" t="str">
        <f t="shared" si="0"/>
        <v/>
      </c>
      <c r="H22" s="5" t="str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46114.796018287037</v>
      </c>
      <c r="C23" t="str">
        <f t="shared" si="0"/>
        <v/>
      </c>
      <c r="H23" s="5" t="str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46114.796018287037</v>
      </c>
      <c r="C24" t="str">
        <f t="shared" si="0"/>
        <v/>
      </c>
      <c r="H24" s="5" t="str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/>
      </c>
      <c r="M24" s="32" t="s">
        <v>21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46114.796018287037</v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46114.796018287037</v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22</v>
      </c>
      <c r="N26" s="14" t="s">
        <v>23</v>
      </c>
      <c r="O26" s="31" t="s">
        <v>24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46114.796018287037</v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46114.796018287037</v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46114.796018287037</v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46114.796018287037</v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46114.796018287037</v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46114.796018287037</v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>
        <f ca="1">IF(Tabla1[[#This Row],['#]]&lt;&gt;"", NOW(), "")</f>
        <v>46114.796018287037</v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>
        <f ca="1">IF(Tabla1[[#This Row],['#]]&lt;&gt;"", NOW(), "")</f>
        <v>46114.796018287037</v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16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19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25</v>
      </c>
      <c r="C4" t="s">
        <v>17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20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13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46114.796018287037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46114.796018287037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46114.796018287037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46114.796018287037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46114.796018287037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46114.796018287037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46114.796018287037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46114.796018287037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46114.796018287037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46114.796018287037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46114.796018287037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46114.796018287037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46114.796018287037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46114.796018287037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46114.796018287037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46114.796018287037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46114.796018287037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46114.796018287037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46114.796018287037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21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46114.796018287037</v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46114.796018287037</v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22</v>
      </c>
      <c r="N26" s="14" t="s">
        <v>23</v>
      </c>
      <c r="O26" s="31" t="s">
        <v>24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46114.796018287037</v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46114.796018287037</v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46114.796018287037</v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46114.796018287037</v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46114.796018287037</v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46114.796018287037</v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>
        <f ca="1">IF(Tabla1[[#This Row],['#]]&lt;&gt;"", NOW(), "")</f>
        <v>46114.796018287037</v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>
        <f ca="1">IF(Tabla1[[#This Row],['#]]&lt;&gt;"", NOW(), "")</f>
        <v>46114.796018287037</v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10</v>
      </c>
      <c r="C3" t="s">
        <v>11</v>
      </c>
      <c r="D3" t="s">
        <v>12</v>
      </c>
    </row>
    <row r="4" spans="2:5" ht="30" x14ac:dyDescent="0.25">
      <c r="B4" s="4" t="s">
        <v>14</v>
      </c>
      <c r="C4" s="2">
        <v>45576</v>
      </c>
      <c r="D4" s="3">
        <v>1.1000000000000001</v>
      </c>
      <c r="E4" s="3"/>
    </row>
    <row r="5" spans="2:5" ht="45" x14ac:dyDescent="0.25">
      <c r="B5" s="7" t="s">
        <v>18</v>
      </c>
      <c r="C5" s="3" t="s">
        <v>15</v>
      </c>
      <c r="D5" s="3">
        <v>1.2</v>
      </c>
      <c r="E5" s="3"/>
    </row>
    <row r="6" spans="2:5" ht="30" x14ac:dyDescent="0.25">
      <c r="B6" s="7" t="s">
        <v>26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30-03-26</vt:lpstr>
      <vt:lpstr>Martes 31-03-26</vt:lpstr>
      <vt:lpstr>Miercoles 01-04-26</vt:lpstr>
      <vt:lpstr>Jueves 02-04-26</vt:lpstr>
      <vt:lpstr>Viernes</vt:lpstr>
      <vt:lpstr>Sabado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2026-04-03T01:06:59Z</dcterms:modified>
</cp:coreProperties>
</file>