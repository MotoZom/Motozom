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ECE2AED-E9A3-4D8B-A37D-148593880CA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2-03-25" sheetId="1" r:id="rId1"/>
    <sheet name="Martes 03-03-26" sheetId="2" r:id="rId2"/>
    <sheet name="Miercoles 04-05-26" sheetId="3" r:id="rId3"/>
    <sheet name="Jueves 05-03-26" sheetId="4" r:id="rId4"/>
    <sheet name="Viernes 06-03-25" sheetId="5" r:id="rId5"/>
    <sheet name="Sabado 07-03-26" sheetId="6" r:id="rId6"/>
    <sheet name="Domingo" sheetId="8" r:id="rId7"/>
    <sheet name="Cambios" sheetId="7" r:id="rId8"/>
  </sheets>
  <definedNames>
    <definedName name="_xlnm._FilterDatabase" localSheetId="0" hidden="1">'Lunes 02-03-25'!$B$4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6" i="5"/>
  <c r="C7" i="5" s="1"/>
  <c r="C8" i="5" s="1"/>
  <c r="C9" i="5" s="1"/>
  <c r="C10" i="5" s="1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<sst xmlns="http://schemas.openxmlformats.org/spreadsheetml/2006/main" count="291" uniqueCount="128">
  <si>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</si>
  <si>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</si>
  <si>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</si>
  <si>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</si>
  <si>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</si>
  <si>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</si>
  <si>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</si>
  <si>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</si>
  <si>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</si>
  <si>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</si>
  <si>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</si>
  <si>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</si>
  <si>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</si>
  <si>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</si>
  <si>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</si>
  <si>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</si>
  <si>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</si>
  <si>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</si>
  <si>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</si>
  <si>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</si>
  <si>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</si>
  <si>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</si>
  <si>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</si>
  <si>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</si>
  <si>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</si>
  <si>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02 DE MARZO -2026</t>
  </si>
  <si>
    <t>FOCO DE DIRECIONAL</t>
  </si>
  <si>
    <t>CALABERA TRASERA FT125</t>
  </si>
  <si>
    <t>SWUITH DE ATV</t>
  </si>
  <si>
    <t>X</t>
  </si>
  <si>
    <t>CUBREPOLVO ATV</t>
  </si>
  <si>
    <t>LUBRICANTE DE CADENS LUBER</t>
  </si>
  <si>
    <r>
      <t xml:space="preserve">BALATA DE DISCO ATV </t>
    </r>
    <r>
      <rPr>
        <b/>
        <sz val="11"/>
        <color theme="1"/>
        <rFont val="Calibri"/>
        <family val="2"/>
        <scheme val="minor"/>
      </rPr>
      <t>ITALIKA</t>
    </r>
  </si>
  <si>
    <t>PARADOR LATERAL WS175</t>
  </si>
  <si>
    <t xml:space="preserve">MANGUERA DE GASOLINA </t>
  </si>
  <si>
    <t xml:space="preserve">ACEITE AKRON </t>
  </si>
  <si>
    <t>BUJIA D8</t>
  </si>
  <si>
    <t>CADENA 428-126</t>
  </si>
  <si>
    <t>BALATA DE TAMBOR DS150 WAPEMEX</t>
  </si>
  <si>
    <t>Martes 03 DE MARZO-26</t>
  </si>
  <si>
    <t xml:space="preserve">FOCO DE DIREECCIONAL </t>
  </si>
  <si>
    <t>ESPEJOS DE WS150</t>
  </si>
  <si>
    <t>ACEITE AKRON</t>
  </si>
  <si>
    <t>FILTRO DE GASOLINA CARTON</t>
  </si>
  <si>
    <t>BUIA C7</t>
  </si>
  <si>
    <t>BALATA DE DISCO ATV ITALIKA</t>
  </si>
  <si>
    <t xml:space="preserve">AGUA DE BACTERIA </t>
  </si>
  <si>
    <t>FOCO LED H4</t>
  </si>
  <si>
    <t>BARILLA DE FREENO FT150</t>
  </si>
  <si>
    <t>RESORTE  DE FRENO</t>
  </si>
  <si>
    <t>PEDIDO NASAKI</t>
  </si>
  <si>
    <t xml:space="preserve">RESORTE DE LA PARA </t>
  </si>
  <si>
    <t>TORMINLLO</t>
  </si>
  <si>
    <t>TUERCA</t>
  </si>
  <si>
    <t>PARADOR LATERAL FT180</t>
  </si>
  <si>
    <t xml:space="preserve">SWUITH UNIVERSAL </t>
  </si>
  <si>
    <t>GOMAS DE IMAPCTO FT125</t>
  </si>
  <si>
    <t>BALERO 6202</t>
  </si>
  <si>
    <t>Miercoles 04 DE MARZO-26</t>
  </si>
  <si>
    <t>FABULOSO Y ROLLO</t>
  </si>
  <si>
    <t>CAMARA 3.50.18</t>
  </si>
  <si>
    <t>RETEN DE BARRAS 31-10.5-43.5</t>
  </si>
  <si>
    <t>JUNTA DEL CARTEL DM200</t>
  </si>
  <si>
    <t>FOCO DE STOP</t>
  </si>
  <si>
    <t>BALERO 6300</t>
  </si>
  <si>
    <t xml:space="preserve">AUXILIAR DE BUHOS </t>
  </si>
  <si>
    <t>STIKER</t>
  </si>
  <si>
    <t>TORNILLO</t>
  </si>
  <si>
    <t>MANIJA IZQUIERDA FT150 BASE</t>
  </si>
  <si>
    <t>PEDIDO WAPEMEX</t>
  </si>
  <si>
    <t>CUENTA DE SEMANA PASDA $ 24745  MENOS $ 2141 DE PEDIDO NASAKI QUEDA $ 22606</t>
  </si>
  <si>
    <t xml:space="preserve">CUENTA DE SEMANA PASADA$ 22606MENOS $ 69 DE ROLLO Y FABULOSO QUEDA $ 22537 MENOS $ 4286 PEDIDO DE WAPEMEX QUEDA $ 18251 </t>
  </si>
  <si>
    <t>FOC DE CALABERA AMARILLO</t>
  </si>
  <si>
    <t>Jueves 05 DE MARZO-25</t>
  </si>
  <si>
    <t>TAZAS DE DIRECCION DM200</t>
  </si>
  <si>
    <t xml:space="preserve">SINCHOS </t>
  </si>
  <si>
    <t>CORTADOR DE CADENA DISTRIBUCCION</t>
  </si>
  <si>
    <t>POSAPIES DELANTERO PULSAR 200NS</t>
  </si>
  <si>
    <t xml:space="preserve">POSAPIES UNIVERSALES </t>
  </si>
  <si>
    <t>CHICOTE D ACELERADOPR FT125 WAPEEMX</t>
  </si>
  <si>
    <t xml:space="preserve">MANGUERA DE ACEI ENTRADA </t>
  </si>
  <si>
    <t xml:space="preserve">MANGUERA DE ACEI SALIDA </t>
  </si>
  <si>
    <t xml:space="preserve">DISCO TRASERO DM250 </t>
  </si>
  <si>
    <t>FOCO H6 LED</t>
  </si>
  <si>
    <t>PASTAS DE CLUTH 250Z</t>
  </si>
  <si>
    <t>Viernes 06 DE MARZO-26</t>
  </si>
  <si>
    <t>P.NASAKI</t>
  </si>
  <si>
    <t>MARTES 03 DE MARZO-26</t>
  </si>
  <si>
    <t>FABULOSO</t>
  </si>
  <si>
    <t xml:space="preserve">MIERCOLES 04 DE MARZO-26 </t>
  </si>
  <si>
    <t>WAPEMEX</t>
  </si>
  <si>
    <t>CANDADO</t>
  </si>
  <si>
    <t>VIERNES 06 DE MARZO-26</t>
  </si>
  <si>
    <t>PAGOYAS</t>
  </si>
  <si>
    <t>TOTAL</t>
  </si>
  <si>
    <t>TOTAL DE EGRESOS</t>
  </si>
  <si>
    <t>TAZAS DE DIREECCION DM200</t>
  </si>
  <si>
    <t>FILTRO DE ALTO FLUJO</t>
  </si>
  <si>
    <t xml:space="preserve">CARGADOR DE CELULAR </t>
  </si>
  <si>
    <t>CINTA DE AISLAR</t>
  </si>
  <si>
    <t>FARO DE FT150</t>
  </si>
  <si>
    <t>ACEITE YAMALUBE</t>
  </si>
  <si>
    <t>ARNES CDI FT150 WAPEMEX</t>
  </si>
  <si>
    <t>BUJIA C7</t>
  </si>
  <si>
    <t>FILTRO DE AIRE WS175 ITALIKA</t>
  </si>
  <si>
    <t>FILTRO DE AIRE WS150</t>
  </si>
  <si>
    <t xml:space="preserve">BALATA D DISCO DS150 </t>
  </si>
  <si>
    <t>FILTROS DE GASOLINA CRTON</t>
  </si>
  <si>
    <t>ESTATOR DE FT150</t>
  </si>
  <si>
    <t>ACEITE REPOL</t>
  </si>
  <si>
    <t xml:space="preserve">FOCO LED H4 </t>
  </si>
  <si>
    <t xml:space="preserve">FUSIBLES 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</si>
  <si>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02 DE MARZO-26               $24745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$ 1110.5      MENOS $ 8076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03 DE MARZO-26          $ 16669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VENTA$ 838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04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$ 553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05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$ 1641.5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06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$ 2448 
</t>
    </r>
    <r>
      <rPr>
        <b/>
        <sz val="18"/>
        <rFont val="Calibri"/>
        <family val="2"/>
        <scheme val="minor"/>
      </rPr>
      <t xml:space="preserve">TOTAL $ 6591
TOTAL EN CAJA $23260 </t>
    </r>
  </si>
  <si>
    <t>Sabado 07 DE MARZO -26</t>
  </si>
  <si>
    <t xml:space="preserve">PUÑOS AZULES UNIVERSALES </t>
  </si>
  <si>
    <t>TAPON DE GASOLINA FT125</t>
  </si>
  <si>
    <t>LAVE DE GASOLINA FT150</t>
  </si>
  <si>
    <t xml:space="preserve">CHICOTE DE ACLELRAR UNIVERSAL </t>
  </si>
  <si>
    <t>BRAZO DE CLUTH FT150</t>
  </si>
  <si>
    <t>TIRAS LED ROJAS</t>
  </si>
  <si>
    <t>AJUSTADOR DE CADENA FT150</t>
  </si>
  <si>
    <t>EJE TRASERO DE FT150 WAPEMEX</t>
  </si>
  <si>
    <t>TIRA LED AZUL</t>
  </si>
  <si>
    <t xml:space="preserve">SUPER GLUE </t>
  </si>
  <si>
    <t xml:space="preserve">BALATA PARA XTZ  SINTETIZADAS </t>
  </si>
  <si>
    <t>FILTRO DE ATV</t>
  </si>
  <si>
    <t>LLANTA CUATRIMOTO 21X7X10</t>
  </si>
  <si>
    <r>
      <t xml:space="preserve">CUENTA DE HOY SABADO $ 2742 MENOS $ 300 PAGO DE YAS QUEDA $ 2442 MAS LO DE AYER EN CAJA $ 23260 
</t>
    </r>
    <r>
      <rPr>
        <b/>
        <sz val="24"/>
        <color rgb="FFFF0000"/>
        <rFont val="Calibri"/>
        <family val="2"/>
        <scheme val="minor"/>
      </rPr>
      <t xml:space="preserve">TOTAL EN CAJA$  25702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</si>
</sst>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6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M27" sqref="M27:N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1110.5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46088.795299189813</v>
      </c>
      <c r="C5">
        <f>IF(ISNUMBER(E5), IF(ISNUMBER(C4), C4+1, 1), "")</f>
        <v>1</v>
      </c>
      <c r="D5" t="s">
        <v>26</v>
      </c>
      <c r="E5">
        <v>1</v>
      </c>
      <c r="F5">
        <v>12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171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171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 t="shared" si="0"/>
        <v>3</v>
      </c>
      <c r="D7" t="s">
        <v>28</v>
      </c>
      <c r="E7">
        <v>1</v>
      </c>
      <c r="F7">
        <v>261</v>
      </c>
      <c r="G7" t="s">
        <v>29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235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si="0"/>
        <v>4</v>
      </c>
      <c r="D8" t="s">
        <v>30</v>
      </c>
      <c r="E8">
        <v>2</v>
      </c>
      <c r="F8">
        <v>35</v>
      </c>
      <c r="G8" t="s">
        <v>29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63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0"/>
        <v>5</v>
      </c>
      <c r="D9" t="s">
        <v>31</v>
      </c>
      <c r="E9">
        <v>1</v>
      </c>
      <c r="F9">
        <v>90</v>
      </c>
      <c r="G9" t="s">
        <v>29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81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0"/>
        <v>6</v>
      </c>
      <c r="D10" t="s">
        <v>32</v>
      </c>
      <c r="E10">
        <v>1</v>
      </c>
      <c r="F10">
        <v>42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0"/>
        <v>7</v>
      </c>
      <c r="D11" t="s">
        <v>33</v>
      </c>
      <c r="E11">
        <v>1</v>
      </c>
      <c r="F11">
        <v>108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108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0"/>
        <v>8</v>
      </c>
      <c r="D12" t="s">
        <v>34</v>
      </c>
      <c r="E12">
        <v>1</v>
      </c>
      <c r="F12">
        <v>15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0"/>
        <v>9</v>
      </c>
      <c r="D13" t="s">
        <v>35</v>
      </c>
      <c r="E13">
        <v>1</v>
      </c>
      <c r="F13">
        <v>117</v>
      </c>
      <c r="G13" t="s">
        <v>29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111.5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0"/>
        <v>10</v>
      </c>
      <c r="D14" t="s">
        <v>36</v>
      </c>
      <c r="E14">
        <v>1</v>
      </c>
      <c r="F14">
        <v>50</v>
      </c>
      <c r="G14" t="s">
        <v>29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45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0"/>
        <v>11</v>
      </c>
      <c r="D15" t="s">
        <v>37</v>
      </c>
      <c r="E15">
        <v>1</v>
      </c>
      <c r="F15">
        <v>182</v>
      </c>
      <c r="G15" t="s">
        <v>29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164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>
        <f t="shared" si="0"/>
        <v>12</v>
      </c>
      <c r="D16" t="s">
        <v>38</v>
      </c>
      <c r="E16">
        <v>1</v>
      </c>
      <c r="F16">
        <v>70</v>
      </c>
      <c r="G16" t="s">
        <v>29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63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39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838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17</v>
      </c>
      <c r="M4" s="36" t="s">
        <v>70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46088.795299189813</v>
      </c>
      <c r="C5">
        <f t="shared" ref="C5:C68" si="0">IF(ISNUMBER(E5), IF(ISNUMBER(C4), C4+1, 1), "")</f>
        <v>1</v>
      </c>
      <c r="D5" t="s">
        <v>40</v>
      </c>
      <c r="E5">
        <v>1</v>
      </c>
      <c r="F5">
        <v>12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si="0"/>
        <v>2</v>
      </c>
      <c r="D6" t="s">
        <v>41</v>
      </c>
      <c r="E6">
        <v>1</v>
      </c>
      <c r="F6">
        <v>175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175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 t="shared" si="0"/>
        <v>3</v>
      </c>
      <c r="D7" t="s">
        <v>42</v>
      </c>
      <c r="E7">
        <v>1</v>
      </c>
      <c r="F7">
        <v>117</v>
      </c>
      <c r="G7" t="s">
        <v>29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111.5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si="0"/>
        <v>4</v>
      </c>
      <c r="D8" t="s">
        <v>43</v>
      </c>
      <c r="E8">
        <v>1</v>
      </c>
      <c r="F8">
        <v>15</v>
      </c>
      <c r="G8" t="s">
        <v>29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13.5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0"/>
        <v>5</v>
      </c>
      <c r="D9" t="s">
        <v>44</v>
      </c>
      <c r="E9">
        <v>1</v>
      </c>
      <c r="F9">
        <v>50</v>
      </c>
      <c r="G9" t="s">
        <v>29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0"/>
        <v>6</v>
      </c>
      <c r="D10" t="s">
        <v>45</v>
      </c>
      <c r="E10">
        <v>2</v>
      </c>
      <c r="F10">
        <v>42</v>
      </c>
      <c r="G10" t="s">
        <v>29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76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0"/>
        <v>7</v>
      </c>
      <c r="D11" t="s">
        <v>46</v>
      </c>
      <c r="E11">
        <v>1</v>
      </c>
      <c r="F11">
        <v>35</v>
      </c>
      <c r="G11" t="s">
        <v>29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31.5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0"/>
        <v>8</v>
      </c>
      <c r="D12" t="s">
        <v>47</v>
      </c>
      <c r="E12">
        <v>1</v>
      </c>
      <c r="F12">
        <v>135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135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0"/>
        <v>9</v>
      </c>
      <c r="D13" t="s">
        <v>48</v>
      </c>
      <c r="E13">
        <v>1</v>
      </c>
      <c r="F13">
        <v>30</v>
      </c>
      <c r="G13" t="s">
        <v>29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0"/>
        <v>10</v>
      </c>
      <c r="D14" t="s">
        <v>49</v>
      </c>
      <c r="E14">
        <v>1</v>
      </c>
      <c r="F14">
        <v>20</v>
      </c>
      <c r="G14" t="s">
        <v>29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0"/>
        <v>11</v>
      </c>
      <c r="D15" t="s">
        <v>51</v>
      </c>
      <c r="E15">
        <v>1</v>
      </c>
      <c r="F15">
        <v>20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20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>
        <f t="shared" si="0"/>
        <v>12</v>
      </c>
      <c r="D16" t="s">
        <v>52</v>
      </c>
      <c r="E16">
        <v>1</v>
      </c>
      <c r="F16">
        <v>10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10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53</v>
      </c>
      <c r="E17">
        <v>1</v>
      </c>
      <c r="F17">
        <v>5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54</v>
      </c>
      <c r="E18">
        <v>1</v>
      </c>
      <c r="F18">
        <v>70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70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55</v>
      </c>
      <c r="E19">
        <v>1</v>
      </c>
      <c r="F19">
        <v>30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56</v>
      </c>
      <c r="E20">
        <v>1</v>
      </c>
      <c r="F20">
        <v>35</v>
      </c>
      <c r="G20" t="s">
        <v>29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31.5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57</v>
      </c>
      <c r="E21">
        <v>1</v>
      </c>
      <c r="F21">
        <v>30</v>
      </c>
      <c r="G21" t="s">
        <v>29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27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50</v>
      </c>
      <c r="N27" s="15">
        <v>2141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58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553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 t="s">
        <v>71</v>
      </c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46088.795299189813</v>
      </c>
      <c r="C5">
        <f>IF(ISNUMBER(E5), IF(ISNUMBER(C4), C4+1, 1), "")</f>
        <v>1</v>
      </c>
      <c r="D5" t="s">
        <v>60</v>
      </c>
      <c r="E5">
        <v>1</v>
      </c>
      <c r="F5">
        <v>80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80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ref="C6" si="0">IF(ISNUMBER(E6), IF(ISNUMBER(C5), C5+1, 1), "")</f>
        <v>2</v>
      </c>
      <c r="D6" t="s">
        <v>61</v>
      </c>
      <c r="E6">
        <v>1</v>
      </c>
      <c r="F6">
        <v>38</v>
      </c>
      <c r="G6" t="s">
        <v>29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34.5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>IF(ISNUMBER(E7), IF(ISNUMBER(C6), C6+1, 1), "")</f>
        <v>3</v>
      </c>
      <c r="D7" t="s">
        <v>62</v>
      </c>
      <c r="E7">
        <v>1</v>
      </c>
      <c r="F7">
        <v>15</v>
      </c>
      <c r="G7" t="s">
        <v>29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ref="C8:C68" si="1">IF(ISNUMBER(E8), IF(ISNUMBER(C7), C7+1, 1), "")</f>
        <v>4</v>
      </c>
      <c r="D8" t="s">
        <v>63</v>
      </c>
      <c r="E8">
        <v>1</v>
      </c>
      <c r="F8">
        <v>20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20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1"/>
        <v>5</v>
      </c>
      <c r="D9" t="s">
        <v>64</v>
      </c>
      <c r="E9">
        <v>2</v>
      </c>
      <c r="F9">
        <v>30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54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1"/>
        <v>6</v>
      </c>
      <c r="D10" t="s">
        <v>65</v>
      </c>
      <c r="E10">
        <v>1</v>
      </c>
      <c r="F10">
        <v>190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1"/>
        <v>7</v>
      </c>
      <c r="D11" t="s">
        <v>66</v>
      </c>
      <c r="E11">
        <v>2</v>
      </c>
      <c r="F11">
        <v>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1"/>
        <v>8</v>
      </c>
      <c r="D12" t="s">
        <v>67</v>
      </c>
      <c r="E12">
        <v>1</v>
      </c>
      <c r="F12">
        <v>9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9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1"/>
        <v>9</v>
      </c>
      <c r="D13" t="s">
        <v>68</v>
      </c>
      <c r="E13">
        <v>1</v>
      </c>
      <c r="F13">
        <v>87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87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1"/>
        <v>10</v>
      </c>
      <c r="D14" t="s">
        <v>66</v>
      </c>
      <c r="E14">
        <v>1</v>
      </c>
      <c r="F14">
        <v>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1"/>
        <v>11</v>
      </c>
      <c r="D15" t="s">
        <v>72</v>
      </c>
      <c r="E15">
        <v>2</v>
      </c>
      <c r="F15">
        <v>25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50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 t="str">
        <f t="shared" si="1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1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1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59</v>
      </c>
      <c r="N27" s="15">
        <v>69</v>
      </c>
      <c r="O27" s="39"/>
      <c r="P27" s="40"/>
      <c r="Q27" s="40"/>
      <c r="R27" s="41"/>
    </row>
    <row r="28" spans="2:18" ht="45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69</v>
      </c>
      <c r="N28" s="15">
        <v>4286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1641.5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46088.795299189813</v>
      </c>
      <c r="C5">
        <f t="shared" ref="C5:C68" si="0">IF(ISNUMBER(E5), IF(ISNUMBER(C4), C4+1, 1), "")</f>
        <v>1</v>
      </c>
      <c r="D5" t="s">
        <v>74</v>
      </c>
      <c r="E5">
        <v>1</v>
      </c>
      <c r="F5">
        <v>83</v>
      </c>
      <c r="G5" t="s">
        <v>29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75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si="0"/>
        <v>2</v>
      </c>
      <c r="D6" t="s">
        <v>75</v>
      </c>
      <c r="E6">
        <v>2</v>
      </c>
      <c r="F6">
        <v>1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 t="shared" si="0"/>
        <v>3</v>
      </c>
      <c r="D7" t="s">
        <v>76</v>
      </c>
      <c r="E7">
        <v>1</v>
      </c>
      <c r="F7">
        <v>250</v>
      </c>
      <c r="G7" t="s">
        <v>29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225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si="0"/>
        <v>4</v>
      </c>
      <c r="D8" t="s">
        <v>77</v>
      </c>
      <c r="E8">
        <v>1</v>
      </c>
      <c r="F8">
        <v>200</v>
      </c>
      <c r="G8" t="s">
        <v>29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180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0"/>
        <v>5</v>
      </c>
      <c r="D9" t="s">
        <v>78</v>
      </c>
      <c r="E9">
        <v>1</v>
      </c>
      <c r="F9">
        <v>180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180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0"/>
        <v>6</v>
      </c>
      <c r="D10" t="s">
        <v>79</v>
      </c>
      <c r="E10">
        <v>1</v>
      </c>
      <c r="F10">
        <v>35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35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0"/>
        <v>7</v>
      </c>
      <c r="D11" t="s">
        <v>80</v>
      </c>
      <c r="E11">
        <v>1</v>
      </c>
      <c r="F11">
        <v>280</v>
      </c>
      <c r="G11" t="s">
        <v>29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252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0"/>
        <v>8</v>
      </c>
      <c r="D12" t="s">
        <v>81</v>
      </c>
      <c r="E12">
        <v>1</v>
      </c>
      <c r="F12">
        <v>280</v>
      </c>
      <c r="G12" t="s">
        <v>29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252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0"/>
        <v>9</v>
      </c>
      <c r="D13" t="s">
        <v>82</v>
      </c>
      <c r="E13">
        <v>1</v>
      </c>
      <c r="F13">
        <v>320</v>
      </c>
      <c r="G13" t="s">
        <v>29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288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0"/>
        <v>10</v>
      </c>
      <c r="D14" t="s">
        <v>83</v>
      </c>
      <c r="E14">
        <v>2</v>
      </c>
      <c r="F14">
        <v>40</v>
      </c>
      <c r="G14" t="s">
        <v>29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0"/>
        <v>11</v>
      </c>
      <c r="D15" t="s">
        <v>84</v>
      </c>
      <c r="E15">
        <v>1</v>
      </c>
      <c r="F15">
        <v>89</v>
      </c>
      <c r="G15" t="s">
        <v>29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80.5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2448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24</v>
      </c>
      <c r="M4" s="36" t="s">
        <v>112</v>
      </c>
      <c r="N4" s="36"/>
      <c r="O4" s="36"/>
      <c r="P4" s="36"/>
      <c r="Q4" s="36"/>
      <c r="R4" s="36"/>
    </row>
    <row r="5" spans="2:18" x14ac:dyDescent="0.25">
      <c r="B5" s="18" t="str">
        <f ca="1">IF(Tabla113[[#This Row],['#]]&lt;&gt;"", NOW(), "")</f>
        <v/>
      </c>
      <c r="C5" t="str">
        <f t="shared" ref="C5:C68" si="0">IF(ISNUMBER(E5), IF(ISNUMBER(C4), C4+1, 1), "")</f>
        <v/>
      </c>
      <c r="H5" s="5" t="str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si="0"/>
        <v>1</v>
      </c>
      <c r="D6" t="s">
        <v>96</v>
      </c>
      <c r="E6">
        <v>1</v>
      </c>
      <c r="F6">
        <v>83</v>
      </c>
      <c r="G6" t="s">
        <v>29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75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 t="shared" si="0"/>
        <v>2</v>
      </c>
      <c r="D7" t="s">
        <v>97</v>
      </c>
      <c r="E7">
        <v>1</v>
      </c>
      <c r="F7">
        <v>110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110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si="0"/>
        <v>3</v>
      </c>
      <c r="D8" t="s">
        <v>98</v>
      </c>
      <c r="E8">
        <v>1</v>
      </c>
      <c r="F8">
        <v>95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95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0"/>
        <v>4</v>
      </c>
      <c r="D9" t="s">
        <v>99</v>
      </c>
      <c r="E9">
        <v>1</v>
      </c>
      <c r="F9">
        <v>12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0"/>
        <v>5</v>
      </c>
      <c r="D10" t="s">
        <v>100</v>
      </c>
      <c r="E10">
        <v>1</v>
      </c>
      <c r="F10">
        <v>380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380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0"/>
        <v>6</v>
      </c>
      <c r="D11" t="s">
        <v>101</v>
      </c>
      <c r="E11">
        <v>1</v>
      </c>
      <c r="F11">
        <v>150</v>
      </c>
      <c r="G11" t="s">
        <v>29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142.5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0"/>
        <v>7</v>
      </c>
      <c r="D12" t="s">
        <v>102</v>
      </c>
      <c r="E12">
        <v>1</v>
      </c>
      <c r="F12">
        <v>20</v>
      </c>
      <c r="G12" t="s">
        <v>29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18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0"/>
        <v>8</v>
      </c>
      <c r="D13" t="s">
        <v>42</v>
      </c>
      <c r="E13">
        <v>2</v>
      </c>
      <c r="F13">
        <v>117</v>
      </c>
      <c r="G13" t="s">
        <v>29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222.5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0"/>
        <v>9</v>
      </c>
      <c r="D14" t="s">
        <v>103</v>
      </c>
      <c r="E14">
        <v>2</v>
      </c>
      <c r="F14">
        <v>50</v>
      </c>
      <c r="G14" t="s">
        <v>29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90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0"/>
        <v>10</v>
      </c>
      <c r="D15" t="s">
        <v>43</v>
      </c>
      <c r="E15">
        <v>2</v>
      </c>
      <c r="F15">
        <v>15</v>
      </c>
      <c r="G15" t="s">
        <v>29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27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>
        <f t="shared" si="0"/>
        <v>11</v>
      </c>
      <c r="D16" t="s">
        <v>104</v>
      </c>
      <c r="E16">
        <v>1</v>
      </c>
      <c r="F16">
        <v>71</v>
      </c>
      <c r="G16" t="s">
        <v>29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64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12</v>
      </c>
      <c r="D17" t="s">
        <v>105</v>
      </c>
      <c r="E17">
        <v>1</v>
      </c>
      <c r="F17">
        <v>66</v>
      </c>
      <c r="G17" t="s">
        <v>29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59.5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13</v>
      </c>
      <c r="D18" t="s">
        <v>106</v>
      </c>
      <c r="E18">
        <v>1</v>
      </c>
      <c r="F18">
        <v>36</v>
      </c>
      <c r="G18" t="s">
        <v>29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32.5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14</v>
      </c>
      <c r="D19" t="s">
        <v>36</v>
      </c>
      <c r="E19">
        <v>1</v>
      </c>
      <c r="F19">
        <v>50</v>
      </c>
      <c r="G19" t="s">
        <v>29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45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15</v>
      </c>
      <c r="D20" t="s">
        <v>35</v>
      </c>
      <c r="E20">
        <v>1</v>
      </c>
      <c r="F20">
        <v>117</v>
      </c>
      <c r="G20" t="s">
        <v>29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111.5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16</v>
      </c>
      <c r="D21" t="s">
        <v>42</v>
      </c>
      <c r="E21">
        <v>1</v>
      </c>
      <c r="F21">
        <v>117</v>
      </c>
      <c r="G21" t="s">
        <v>29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111.5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17</v>
      </c>
      <c r="D22" t="s">
        <v>36</v>
      </c>
      <c r="E22">
        <v>1</v>
      </c>
      <c r="F22">
        <v>50</v>
      </c>
      <c r="G22" t="s">
        <v>29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45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18</v>
      </c>
      <c r="D23" t="s">
        <v>107</v>
      </c>
      <c r="E23">
        <v>2</v>
      </c>
      <c r="F23">
        <v>15</v>
      </c>
      <c r="G23" t="s">
        <v>29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27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19</v>
      </c>
      <c r="D24" t="s">
        <v>108</v>
      </c>
      <c r="E24">
        <v>1</v>
      </c>
      <c r="F24">
        <v>255</v>
      </c>
      <c r="G24" t="s">
        <v>29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229.5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20</v>
      </c>
      <c r="D25" t="s">
        <v>109</v>
      </c>
      <c r="E25">
        <v>1</v>
      </c>
      <c r="F25">
        <v>142</v>
      </c>
      <c r="G25" t="s">
        <v>29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135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21</v>
      </c>
      <c r="D26" t="s">
        <v>110</v>
      </c>
      <c r="E26">
        <v>1</v>
      </c>
      <c r="F26">
        <v>135</v>
      </c>
      <c r="G26" t="s">
        <v>29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121.5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22</v>
      </c>
      <c r="D27" t="s">
        <v>110</v>
      </c>
      <c r="E27">
        <v>1</v>
      </c>
      <c r="F27">
        <v>135</v>
      </c>
      <c r="G27" t="s">
        <v>29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121.5</v>
      </c>
      <c r="M27" s="13" t="s">
        <v>86</v>
      </c>
      <c r="N27" s="15">
        <v>2141</v>
      </c>
      <c r="O27" s="39" t="s">
        <v>87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23</v>
      </c>
      <c r="D28" t="s">
        <v>111</v>
      </c>
      <c r="E28">
        <v>10</v>
      </c>
      <c r="F28">
        <v>3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30</v>
      </c>
      <c r="M28" s="13" t="s">
        <v>88</v>
      </c>
      <c r="N28" s="15">
        <v>69</v>
      </c>
      <c r="O28" s="39" t="s">
        <v>89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24</v>
      </c>
      <c r="D29" t="s">
        <v>101</v>
      </c>
      <c r="E29">
        <v>1</v>
      </c>
      <c r="F29">
        <v>150</v>
      </c>
      <c r="G29" t="s">
        <v>29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142.5</v>
      </c>
      <c r="M29" s="13" t="s">
        <v>90</v>
      </c>
      <c r="N29" s="15">
        <v>4286</v>
      </c>
      <c r="O29" s="39" t="s">
        <v>89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91</v>
      </c>
      <c r="N30" s="15">
        <v>80</v>
      </c>
      <c r="O30" s="39" t="s">
        <v>92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93</v>
      </c>
      <c r="N31" s="15">
        <v>1500</v>
      </c>
      <c r="O31" s="39" t="s">
        <v>92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94</v>
      </c>
      <c r="N32" s="15">
        <v>8076</v>
      </c>
      <c r="O32" s="39" t="s">
        <v>95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113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2752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36" t="s">
        <v>127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46088.795299189813</v>
      </c>
      <c r="C5">
        <f t="shared" ref="C5:C68" si="0">IF(ISNUMBER(E5), IF(ISNUMBER(C4), C4+1, 1), "")</f>
        <v>1</v>
      </c>
      <c r="D5" t="s">
        <v>114</v>
      </c>
      <c r="E5">
        <v>1</v>
      </c>
      <c r="F5">
        <v>130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130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>
        <f t="shared" si="0"/>
        <v>2</v>
      </c>
      <c r="D6" t="s">
        <v>115</v>
      </c>
      <c r="E6">
        <v>1</v>
      </c>
      <c r="F6">
        <v>172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172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>
        <f t="shared" si="0"/>
        <v>3</v>
      </c>
      <c r="D7" t="s">
        <v>116</v>
      </c>
      <c r="E7">
        <v>1</v>
      </c>
      <c r="F7">
        <v>72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72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>
        <f t="shared" si="0"/>
        <v>4</v>
      </c>
      <c r="D8" t="s">
        <v>67</v>
      </c>
      <c r="E8">
        <v>1</v>
      </c>
      <c r="F8">
        <v>10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>
        <f t="shared" si="0"/>
        <v>5</v>
      </c>
      <c r="D9" t="s">
        <v>117</v>
      </c>
      <c r="E9">
        <v>1</v>
      </c>
      <c r="F9">
        <v>12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12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>
        <f t="shared" si="0"/>
        <v>6</v>
      </c>
      <c r="D10" t="s">
        <v>66</v>
      </c>
      <c r="E10">
        <v>1</v>
      </c>
      <c r="F10">
        <v>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>
        <f t="shared" si="0"/>
        <v>7</v>
      </c>
      <c r="D11" t="s">
        <v>118</v>
      </c>
      <c r="E11">
        <v>1</v>
      </c>
      <c r="F11">
        <v>55</v>
      </c>
      <c r="G11" t="s">
        <v>29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49.5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>
        <f t="shared" si="0"/>
        <v>8</v>
      </c>
      <c r="D12" t="s">
        <v>119</v>
      </c>
      <c r="E12">
        <v>4</v>
      </c>
      <c r="F12">
        <v>15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>
        <f t="shared" si="0"/>
        <v>9</v>
      </c>
      <c r="D13" t="s">
        <v>120</v>
      </c>
      <c r="E13">
        <v>1</v>
      </c>
      <c r="F13">
        <v>77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77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>
        <f t="shared" si="0"/>
        <v>10</v>
      </c>
      <c r="D14" t="s">
        <v>121</v>
      </c>
      <c r="E14">
        <v>1</v>
      </c>
      <c r="F14">
        <v>40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40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>
        <f t="shared" si="0"/>
        <v>11</v>
      </c>
      <c r="D15" t="s">
        <v>122</v>
      </c>
      <c r="E15">
        <v>1</v>
      </c>
      <c r="F15">
        <v>15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>
        <f t="shared" si="0"/>
        <v>12</v>
      </c>
      <c r="D16" t="s">
        <v>123</v>
      </c>
      <c r="E16">
        <v>1</v>
      </c>
      <c r="F16">
        <v>25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124</v>
      </c>
      <c r="E17">
        <v>1</v>
      </c>
      <c r="F17">
        <v>325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325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125</v>
      </c>
      <c r="E18">
        <v>1</v>
      </c>
      <c r="F18">
        <v>499</v>
      </c>
      <c r="G18" t="s">
        <v>29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449.5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66</v>
      </c>
      <c r="E19">
        <v>2</v>
      </c>
      <c r="F19">
        <v>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10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126</v>
      </c>
      <c r="E20">
        <v>1</v>
      </c>
      <c r="F20">
        <v>1300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1300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46088.795299189813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46088.795299189813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46088.795299189813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46088.795299189813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46088.795299189813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46088.795299189813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46088.795299189813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46088.795299189813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46088.795299189813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46088.795299189813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46088.795299189813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02-03-25</vt:lpstr>
      <vt:lpstr>Martes 03-03-26</vt:lpstr>
      <vt:lpstr>Miercoles 04-05-26</vt:lpstr>
      <vt:lpstr>Jueves 05-03-26</vt:lpstr>
      <vt:lpstr>Viernes 06-03-25</vt:lpstr>
      <vt:lpstr>Sabado 07-03-26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2026-03-08T01:07:18Z</dcterms:modified>
</cp:coreProperties>
</file>