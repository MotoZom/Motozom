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9558DD4-21A1-413F-B70F-7F7034904BBC}" xr6:coauthVersionLast="47" xr6:coauthVersionMax="47" xr10:uidLastSave="{00000000-0000-0000-0000-000000000000}"/>
  <bookViews>
    <workbookView xWindow="-120" yWindow="-120" windowWidth="29040" windowHeight="17640" activeTab="4" xr2:uid="{00000000-000D-0000-FFFF-FFFF00000000}"/>
  </bookViews>
  <sheets>
    <sheet name="Lunes 16-03-26" sheetId="1" r:id="rId1"/>
    <sheet name="Martes 17-03-26" sheetId="2" r:id="rId2"/>
    <sheet name="Miercoles 18-03-26" sheetId="3" r:id="rId3"/>
    <sheet name="Jueves 19-03-26" sheetId="4" r:id="rId4"/>
    <sheet name="Viernes 20-03-26" sheetId="5" r:id="rId5"/>
    <sheet name="Sabado 21-03-26" sheetId="6" r:id="rId6"/>
    <sheet name="Domingo" sheetId="8" r:id="rId7"/>
    <sheet name="Cambios" sheetId="7" r:id="rId8"/>
  </sheets>
  <definedNames>
    <definedName name="_xlnm._FilterDatabase" localSheetId="0" hidden="1">'Lunes 16-03-26'!$B$4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2" l="1"/>
  <c r="H24" i="2"/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I29" i="2"/>
  <c r="I30" i="2"/>
  <c r="I31" i="2"/>
  <c r="I32" i="2"/>
  <c r="I33" i="2"/>
  <c r="I34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9" i="6"/>
  <c r="C10" i="6" s="1"/>
  <c r="C11" i="6" s="1"/>
  <c r="C12" i="6" s="1"/>
  <c r="C13" i="6" s="1"/>
  <c r="C14" i="6" s="1"/>
  <c r="C15" i="6" s="1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<sst xmlns="http://schemas.openxmlformats.org/spreadsheetml/2006/main" count="329" uniqueCount="152">
  <si>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</si>
  <si>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</si>
  <si>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</si>
  <si>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</si>
  <si>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</si>
  <si>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</si>
  <si>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</si>
  <si>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</si>
  <si>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</si>
  <si>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</si>
  <si>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</si>
  <si>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</si>
  <si>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</si>
  <si>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</si>
  <si>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</si>
  <si>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</si>
  <si>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</si>
  <si>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</si>
  <si>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</si>
  <si>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</si>
  <si>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</si>
  <si>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</si>
  <si>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</si>
  <si>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</si>
  <si>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</si>
  <si>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16 DE MARZO-26</t>
  </si>
  <si>
    <t xml:space="preserve">TOPER </t>
  </si>
  <si>
    <t xml:space="preserve">CUENTA SEMANA PASADA $ 33013.5 MENOS 80 DE TOPER QUEDA $ 32933.5 </t>
  </si>
  <si>
    <t>Martes 17 DE MARZO-26</t>
  </si>
  <si>
    <t xml:space="preserve">LIMPIADOR DE CARBURADOR </t>
  </si>
  <si>
    <t>X</t>
  </si>
  <si>
    <t>BUJIA D8</t>
  </si>
  <si>
    <t xml:space="preserve">TIRAS LED STOP </t>
  </si>
  <si>
    <t>BALERO 6003</t>
  </si>
  <si>
    <t>FOCO DE STOP</t>
  </si>
  <si>
    <t>ACEITE AKRON</t>
  </si>
  <si>
    <t>LEVA DE FRENO FT150</t>
  </si>
  <si>
    <t>STIKER</t>
  </si>
  <si>
    <t>CAMARA 3.50.18</t>
  </si>
  <si>
    <t>CABLE SUELTO NEGRO</t>
  </si>
  <si>
    <t xml:space="preserve">FILTRO DE GASOLINA CARTON </t>
  </si>
  <si>
    <t>ACEITE REPSOL</t>
  </si>
  <si>
    <t>RELEE DE ARRANQUE YBR125</t>
  </si>
  <si>
    <t>FILTRO DE ESPONJA RT200</t>
  </si>
  <si>
    <t>FILTRO DE ACEITE KAWASAKI</t>
  </si>
  <si>
    <t>CHICOTE DE ACELERADOR RT200</t>
  </si>
  <si>
    <t>RESOIRTE FT150</t>
  </si>
  <si>
    <t>BRAZO DE CLUTH FT150</t>
  </si>
  <si>
    <t>PAPEL</t>
  </si>
  <si>
    <t>FUSIBLE</t>
  </si>
  <si>
    <t xml:space="preserve">BULVO DE FREO TRASERO </t>
  </si>
  <si>
    <t xml:space="preserve">SELLO DE ESCAPE </t>
  </si>
  <si>
    <t>CAMARA 130-90-15</t>
  </si>
  <si>
    <t xml:space="preserve">CASCO QUE APARTARON YA VINIERON </t>
  </si>
  <si>
    <t>BALATA DE DISCO DS150</t>
  </si>
  <si>
    <t>PEDIDO NASAKI</t>
  </si>
  <si>
    <t xml:space="preserve">ACEITE AKRON </t>
  </si>
  <si>
    <t xml:space="preserve">RENTA </t>
  </si>
  <si>
    <t xml:space="preserve">ARNES DE BOLA </t>
  </si>
  <si>
    <t>FOCO LED H6</t>
  </si>
  <si>
    <t xml:space="preserve">TOTAL </t>
  </si>
  <si>
    <t>CLUTH FT150</t>
  </si>
  <si>
    <t>ACEITE TOP RANCING</t>
  </si>
  <si>
    <t xml:space="preserve">CUENTA DE AYER $ 32933.5 MENOS $ 5232 QUEDA $ 27701.5 </t>
  </si>
  <si>
    <t xml:space="preserve">TOTAL DE EGREOS DEL DIA DE HOY </t>
  </si>
  <si>
    <t>Miercoles 18 DE MARZO</t>
  </si>
  <si>
    <t>RESORTE DEL FRENO</t>
  </si>
  <si>
    <t>BALATA DE ROKEMAN 250 TRASERA</t>
  </si>
  <si>
    <t>CAMARA 4.10.18</t>
  </si>
  <si>
    <t>CALIPER DE ATV150</t>
  </si>
  <si>
    <t>BALATA DE DISCO ATV150</t>
  </si>
  <si>
    <t>BENDIX FT150</t>
  </si>
  <si>
    <t>CAMARA 90-90-21</t>
  </si>
  <si>
    <t>SELLO DE ESCAPE DS150</t>
  </si>
  <si>
    <t>TUBO MOVIL DS150</t>
  </si>
  <si>
    <t xml:space="preserve">REPUETO DE CARBURADOR </t>
  </si>
  <si>
    <t>CADENA 428 X 126</t>
  </si>
  <si>
    <t>GOMAS DE IMPACTO HONDA CARGO 150</t>
  </si>
  <si>
    <t>BALATA DE ATV150 DISCO</t>
  </si>
  <si>
    <t>BALATA DE DS150 DISCO</t>
  </si>
  <si>
    <t>LUBRICANTE DE CADENA AXPRO</t>
  </si>
  <si>
    <t>PEDIDO MERCADO</t>
  </si>
  <si>
    <t xml:space="preserve">CUENTA DE AYER $ 27701.5 MENOS $ 7781 PEDIDO DE MERCADO LIBRE QUEDA $ 19920 </t>
  </si>
  <si>
    <t xml:space="preserve"> </t>
  </si>
  <si>
    <t>Jueves 19 DE MARZO-26</t>
  </si>
  <si>
    <t xml:space="preserve">FOCO DE STOP </t>
  </si>
  <si>
    <t>VALVULA DE RIND ROJA</t>
  </si>
  <si>
    <t>ABRAZADRA DE ESPEJO</t>
  </si>
  <si>
    <t xml:space="preserve">LIQUIDO DE BACTERIA </t>
  </si>
  <si>
    <t>BALATA DE DS150</t>
  </si>
  <si>
    <t xml:space="preserve">ESPEJOS HONDA </t>
  </si>
  <si>
    <t>TORNILLO</t>
  </si>
  <si>
    <t>Viernes 20 DE MARZO-26</t>
  </si>
  <si>
    <t>TOPER</t>
  </si>
  <si>
    <t>LUNES 16 DE MARZO-26</t>
  </si>
  <si>
    <t>MARTES 17 DE MARZO-26</t>
  </si>
  <si>
    <t>AKRON</t>
  </si>
  <si>
    <t>P.NASAKI</t>
  </si>
  <si>
    <t>RENTA</t>
  </si>
  <si>
    <t>ROLLO</t>
  </si>
  <si>
    <t>JUEVES 19 DE MARZO -26</t>
  </si>
  <si>
    <t>PAGOYAS</t>
  </si>
  <si>
    <t>VIERNES 20 DE MARZO-26</t>
  </si>
  <si>
    <t xml:space="preserve">TOTAL DE EGRESOS </t>
  </si>
  <si>
    <t>CUENTA DE AYER $ 19920 MENOS $ 69 QUEDA $19851</t>
  </si>
  <si>
    <t>ACEITE YAMALUBE</t>
  </si>
  <si>
    <t>FILTRO DE ACEITE FZ.2.0</t>
  </si>
  <si>
    <t xml:space="preserve">FOCO H4 LED </t>
  </si>
  <si>
    <t>MANIJA DE LUJO AZUL</t>
  </si>
  <si>
    <t>POSAPIE UNIVERSAL</t>
  </si>
  <si>
    <t>LLAVE DE GASOLINA WS150</t>
  </si>
  <si>
    <t xml:space="preserve">SWUITH UNIVERSAL </t>
  </si>
  <si>
    <t>CHICOTE DE FRENO TRASERO DS125</t>
  </si>
  <si>
    <t>ARNES PRINCIPAL FT150</t>
  </si>
  <si>
    <t xml:space="preserve">BUJE DE PALSTICO </t>
  </si>
  <si>
    <t xml:space="preserve">TERMINAL DE BATERIA </t>
  </si>
  <si>
    <t>PIPETA DE CARBURADOR RC200</t>
  </si>
  <si>
    <t>FILTRO DE GASOLINA CARTON</t>
  </si>
  <si>
    <t>FILTRO DE AIRE DM200</t>
  </si>
  <si>
    <t xml:space="preserve">LUZ DE FRENO TRASERO LED </t>
  </si>
  <si>
    <t>ACEITE MOTUL 7100-10W-40-</t>
  </si>
  <si>
    <t xml:space="preserve">LLANTA 90-90-17 PRAXIS </t>
  </si>
  <si>
    <t xml:space="preserve">BALATA DE PULSAR </t>
  </si>
  <si>
    <t>BUJIA C9</t>
  </si>
  <si>
    <t>BUJES DE SPROKET</t>
  </si>
  <si>
    <t xml:space="preserve">CHICOTE DE CLUTH UNIVERSAL </t>
  </si>
  <si>
    <t>MIERCOLES 18 DE MARZO-26</t>
  </si>
  <si>
    <t>MERCADO</t>
  </si>
  <si>
    <r>
      <rPr>
        <b/>
        <sz val="14"/>
        <color theme="1"/>
        <rFont val="Calibri"/>
        <family val="2"/>
        <scheme val="minor"/>
      </rPr>
      <t>CORTES DE LA SEMANA   PASADA $ 33013.5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16 DE MARZO-26   MENOS$14662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$ 1383.5                         $ 18351.5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17 DE MARZO-26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$ 2344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18 DE MARZO-26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$ 1547.5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JUEVES 19 DE MARZO 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$1288.5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20 DE MARZO-26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$ 2595.5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 xml:space="preserve">TOTAL $ 9159.5
TOTAL EN CAJA $ 27511 </t>
    </r>
  </si>
  <si>
    <t>Sabado 21 DE MARZO-26</t>
  </si>
  <si>
    <t xml:space="preserve">FILTRO DE AIRE PIEDRA </t>
  </si>
  <si>
    <t>BALERO 6301</t>
  </si>
  <si>
    <t>RETEN DE MOTOR DS150</t>
  </si>
  <si>
    <t>BUJIA C9 NGK</t>
  </si>
  <si>
    <t xml:space="preserve">FILTRO DE ACEI R3 </t>
  </si>
  <si>
    <t>RAYOS DM200 TRASEROS</t>
  </si>
  <si>
    <t>DIRECCIONAL INIVERSAL</t>
  </si>
  <si>
    <t xml:space="preserve">ANTICONGELANTE </t>
  </si>
  <si>
    <t>SALPICADERA TRASERA DM250</t>
  </si>
  <si>
    <t>ACEITE  MOTUL 7100-10W-40</t>
  </si>
  <si>
    <t>SELLOS DE ESCAPE FT150</t>
  </si>
  <si>
    <t>CALAVERA YBR125</t>
  </si>
  <si>
    <t xml:space="preserve">BALATA TAMBOR CHICO </t>
  </si>
  <si>
    <t>PILA YTX7 QLINK</t>
  </si>
  <si>
    <t xml:space="preserve">CABLE DE BACTERIA </t>
  </si>
  <si>
    <t>MANGUERA DE FRENO DE 125Z</t>
  </si>
  <si>
    <t xml:space="preserve">PORTA FUSIBLES </t>
  </si>
  <si>
    <t>CASCO ABATIBLE NEGRO</t>
  </si>
  <si>
    <t>CAMARA 3.00.18</t>
  </si>
  <si>
    <t>PEDIDO WAPMEX</t>
  </si>
  <si>
    <t>CARGADO</t>
  </si>
  <si>
    <t>CUENTA DE AYER $ 27511  MENOS $ 9985 QUEDA $ 17526
CUENTA DE HOY SABADO $ 4762.5 MENOS $ 300 PAGO DE YAS QUEDA $ 4462.5  
TOTAL EN CAJA $ 21998.5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</si>
</sst>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7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164" fontId="0" fillId="7" borderId="2" xfId="1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1" sqref="D2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2" t="s">
        <v>25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2" t="s">
        <v>17</v>
      </c>
      <c r="K3" s="6">
        <f>SUM(Tabla1[Importa])</f>
        <v>1383.5</v>
      </c>
      <c r="M3" s="25" t="s">
        <v>6</v>
      </c>
      <c r="N3" s="25"/>
      <c r="O3" s="25"/>
      <c r="P3" s="25"/>
      <c r="Q3" s="25"/>
      <c r="R3" s="25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16</v>
      </c>
      <c r="M4" s="24" t="s">
        <v>27</v>
      </c>
      <c r="N4" s="24"/>
      <c r="O4" s="24"/>
      <c r="P4" s="24"/>
      <c r="Q4" s="24"/>
      <c r="R4" s="24"/>
    </row>
    <row r="5" spans="2:18" x14ac:dyDescent="0.25">
      <c r="B5" s="18">
        <f ca="1">IF(Tabla1[[#This Row],['#]]&lt;&gt;"", NOW(), "")</f>
        <v>46106.442314467589</v>
      </c>
      <c r="C5">
        <f>IF(ISNUMBER(E5), IF(ISNUMBER(C4), C4+1, 1), "")</f>
        <v>1</v>
      </c>
      <c r="D5" t="s">
        <v>34</v>
      </c>
      <c r="E5">
        <v>1</v>
      </c>
      <c r="F5">
        <v>20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20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46106.442314467589</v>
      </c>
      <c r="C6">
        <f t="shared" ref="C6:C36" si="0">IF(ISNUMBER(E6), IF(ISNUMBER(C5), C5+1, 1), "")</f>
        <v>2</v>
      </c>
      <c r="D6" t="s">
        <v>35</v>
      </c>
      <c r="E6">
        <v>1</v>
      </c>
      <c r="F6">
        <v>117</v>
      </c>
      <c r="G6" t="s">
        <v>30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111.5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46106.442314467589</v>
      </c>
      <c r="C7">
        <f t="shared" si="0"/>
        <v>3</v>
      </c>
      <c r="D7" t="s">
        <v>36</v>
      </c>
      <c r="E7">
        <v>1</v>
      </c>
      <c r="F7">
        <v>45</v>
      </c>
      <c r="G7" t="s">
        <v>30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40.5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46106.442314467589</v>
      </c>
      <c r="C8">
        <f t="shared" si="0"/>
        <v>4</v>
      </c>
      <c r="D8" t="s">
        <v>31</v>
      </c>
      <c r="E8">
        <v>1</v>
      </c>
      <c r="F8">
        <v>50</v>
      </c>
      <c r="G8" t="s">
        <v>30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45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46106.442314467589</v>
      </c>
      <c r="C9">
        <f t="shared" si="0"/>
        <v>5</v>
      </c>
      <c r="D9" t="s">
        <v>37</v>
      </c>
      <c r="E9">
        <v>1</v>
      </c>
      <c r="F9">
        <v>5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5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46106.442314467589</v>
      </c>
      <c r="C10">
        <f t="shared" si="0"/>
        <v>6</v>
      </c>
      <c r="D10" t="s">
        <v>34</v>
      </c>
      <c r="E10">
        <v>1</v>
      </c>
      <c r="F10">
        <v>20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20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46106.442314467589</v>
      </c>
      <c r="C11">
        <f t="shared" si="0"/>
        <v>7</v>
      </c>
      <c r="D11" t="s">
        <v>38</v>
      </c>
      <c r="E11">
        <v>1</v>
      </c>
      <c r="F11">
        <v>85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85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46106.442314467589</v>
      </c>
      <c r="C12">
        <f t="shared" si="0"/>
        <v>8</v>
      </c>
      <c r="D12" t="s">
        <v>39</v>
      </c>
      <c r="E12">
        <v>3</v>
      </c>
      <c r="F12">
        <v>8</v>
      </c>
      <c r="G12" t="s">
        <v>30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22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46106.442314467589</v>
      </c>
      <c r="C13">
        <f t="shared" si="0"/>
        <v>9</v>
      </c>
      <c r="D13" t="s">
        <v>40</v>
      </c>
      <c r="E13">
        <v>1</v>
      </c>
      <c r="F13">
        <v>15</v>
      </c>
      <c r="G13" t="s">
        <v>30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13.5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46106.442314467589</v>
      </c>
      <c r="C14">
        <f t="shared" si="0"/>
        <v>10</v>
      </c>
      <c r="D14" t="s">
        <v>41</v>
      </c>
      <c r="E14">
        <v>3</v>
      </c>
      <c r="F14">
        <v>142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426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46106.442314467589</v>
      </c>
      <c r="C15">
        <f t="shared" si="0"/>
        <v>11</v>
      </c>
      <c r="D15" t="s">
        <v>42</v>
      </c>
      <c r="E15">
        <v>1</v>
      </c>
      <c r="F15">
        <v>143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143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46106.442314467589</v>
      </c>
      <c r="C16">
        <f t="shared" si="0"/>
        <v>12</v>
      </c>
      <c r="D16" t="s">
        <v>43</v>
      </c>
      <c r="E16">
        <v>1</v>
      </c>
      <c r="F16">
        <v>52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52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46106.442314467589</v>
      </c>
      <c r="C17">
        <f t="shared" si="0"/>
        <v>13</v>
      </c>
      <c r="D17" t="s">
        <v>31</v>
      </c>
      <c r="E17">
        <v>1</v>
      </c>
      <c r="F17">
        <v>50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50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46106.442314467589</v>
      </c>
      <c r="C18">
        <f t="shared" si="0"/>
        <v>14</v>
      </c>
      <c r="D18" t="s">
        <v>44</v>
      </c>
      <c r="E18">
        <v>1</v>
      </c>
      <c r="F18">
        <v>280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280</v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46106.442314467589</v>
      </c>
      <c r="C19">
        <f t="shared" si="0"/>
        <v>15</v>
      </c>
      <c r="D19" t="s">
        <v>45</v>
      </c>
      <c r="E19">
        <v>1</v>
      </c>
      <c r="F19">
        <v>52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52</v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46106.442314467589</v>
      </c>
      <c r="C20">
        <f t="shared" si="0"/>
        <v>16</v>
      </c>
      <c r="D20" t="s">
        <v>46</v>
      </c>
      <c r="E20">
        <v>1</v>
      </c>
      <c r="F20">
        <v>20</v>
      </c>
      <c r="G20" t="s">
        <v>30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18</v>
      </c>
      <c r="M20" s="24"/>
      <c r="N20" s="24"/>
      <c r="O20" s="24"/>
      <c r="P20" s="24"/>
      <c r="Q20" s="24"/>
      <c r="R20" s="24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/>
      </c>
      <c r="M21" s="24"/>
      <c r="N21" s="24"/>
      <c r="O21" s="24"/>
      <c r="P21" s="24"/>
      <c r="Q21" s="24"/>
      <c r="R21" s="24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24"/>
      <c r="N22" s="24"/>
      <c r="O22" s="24"/>
      <c r="P22" s="24"/>
      <c r="Q22" s="24"/>
      <c r="R22" s="24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20" t="s">
        <v>19</v>
      </c>
      <c r="N24" s="20"/>
      <c r="O24" s="20"/>
      <c r="P24" s="20"/>
      <c r="Q24" s="20"/>
      <c r="R24" s="20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21"/>
      <c r="N25" s="21"/>
      <c r="O25" s="21"/>
      <c r="P25" s="21"/>
      <c r="Q25" s="21"/>
      <c r="R25" s="21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9" t="s">
        <v>20</v>
      </c>
      <c r="N26" s="39"/>
      <c r="O26" s="14" t="s">
        <v>21</v>
      </c>
      <c r="P26" s="39" t="s">
        <v>22</v>
      </c>
      <c r="Q26" s="39"/>
      <c r="R26" s="39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27" t="s">
        <v>26</v>
      </c>
      <c r="N27" s="28"/>
      <c r="O27" s="31">
        <v>80</v>
      </c>
      <c r="P27" s="33"/>
      <c r="Q27" s="34"/>
      <c r="R27" s="35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9"/>
      <c r="N28" s="30"/>
      <c r="O28" s="32"/>
      <c r="P28" s="36"/>
      <c r="Q28" s="37"/>
      <c r="R28" s="38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7"/>
      <c r="N29" s="28"/>
      <c r="O29" s="31"/>
      <c r="P29" s="33"/>
      <c r="Q29" s="34"/>
      <c r="R29" s="35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9"/>
      <c r="N30" s="30"/>
      <c r="O30" s="32"/>
      <c r="P30" s="36"/>
      <c r="Q30" s="37"/>
      <c r="R30" s="38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7"/>
      <c r="N31" s="28"/>
      <c r="O31" s="31"/>
      <c r="P31" s="33"/>
      <c r="Q31" s="34"/>
      <c r="R31" s="35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9"/>
      <c r="N32" s="30"/>
      <c r="O32" s="32"/>
      <c r="P32" s="36"/>
      <c r="Q32" s="37"/>
      <c r="R32" s="38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7"/>
      <c r="N33" s="28"/>
      <c r="O33" s="31"/>
      <c r="P33" s="33"/>
      <c r="Q33" s="34"/>
      <c r="R33" s="35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9"/>
      <c r="N34" s="30"/>
      <c r="O34" s="32"/>
      <c r="P34" s="36"/>
      <c r="Q34" s="37"/>
      <c r="R34" s="38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7"/>
      <c r="N35" s="28"/>
      <c r="O35" s="31"/>
      <c r="P35" s="33"/>
      <c r="Q35" s="34"/>
      <c r="R35" s="35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9"/>
      <c r="N36" s="30"/>
      <c r="O36" s="32"/>
      <c r="P36" s="36"/>
      <c r="Q36" s="37"/>
      <c r="R36" s="38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7"/>
      <c r="N37" s="28"/>
      <c r="O37" s="31"/>
      <c r="P37" s="33"/>
      <c r="Q37" s="34"/>
      <c r="R37" s="35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9"/>
      <c r="N38" s="30"/>
      <c r="O38" s="32"/>
      <c r="P38" s="36"/>
      <c r="Q38" s="37"/>
      <c r="R38" s="38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7"/>
      <c r="N39" s="28"/>
      <c r="O39" s="31"/>
      <c r="P39" s="33"/>
      <c r="Q39" s="34"/>
      <c r="R39" s="35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9"/>
      <c r="N40" s="30"/>
      <c r="O40" s="32"/>
      <c r="P40" s="36"/>
      <c r="Q40" s="37"/>
      <c r="R40" s="38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7"/>
      <c r="N41" s="28"/>
      <c r="O41" s="31"/>
      <c r="P41" s="33"/>
      <c r="Q41" s="34"/>
      <c r="R41" s="35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9"/>
      <c r="N42" s="30"/>
      <c r="O42" s="32"/>
      <c r="P42" s="36"/>
      <c r="Q42" s="37"/>
      <c r="R42" s="38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7"/>
      <c r="N43" s="28"/>
      <c r="O43" s="31"/>
      <c r="P43" s="33"/>
      <c r="Q43" s="34"/>
      <c r="R43" s="35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9"/>
      <c r="N44" s="30"/>
      <c r="O44" s="32"/>
      <c r="P44" s="36"/>
      <c r="Q44" s="37"/>
      <c r="R44" s="38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7"/>
      <c r="N45" s="28"/>
      <c r="O45" s="31"/>
      <c r="P45" s="33"/>
      <c r="Q45" s="34"/>
      <c r="R45" s="35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9"/>
      <c r="N46" s="30"/>
      <c r="O46" s="32"/>
      <c r="P46" s="36"/>
      <c r="Q46" s="37"/>
      <c r="R46" s="38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7"/>
      <c r="N47" s="28"/>
      <c r="O47" s="31"/>
      <c r="P47" s="33"/>
      <c r="Q47" s="34"/>
      <c r="R47" s="35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9"/>
      <c r="N48" s="30"/>
      <c r="O48" s="32"/>
      <c r="P48" s="36"/>
      <c r="Q48" s="37"/>
      <c r="R48" s="38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7"/>
      <c r="N49" s="28"/>
      <c r="O49" s="31"/>
      <c r="P49" s="33"/>
      <c r="Q49" s="34"/>
      <c r="R49" s="35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9"/>
      <c r="N50" s="30"/>
      <c r="O50" s="32"/>
      <c r="P50" s="36"/>
      <c r="Q50" s="37"/>
      <c r="R50" s="38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7"/>
      <c r="N51" s="28"/>
      <c r="O51" s="31"/>
      <c r="P51" s="33"/>
      <c r="Q51" s="34"/>
      <c r="R51" s="35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9"/>
      <c r="N52" s="30"/>
      <c r="O52" s="32"/>
      <c r="P52" s="36"/>
      <c r="Q52" s="37"/>
      <c r="R52" s="38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topLeftCell="B1" workbookViewId="0">
      <selection activeCell="F40" sqref="F4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22" t="s">
        <v>28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SUM(Tabla110[Importa])</f>
        <v>2344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21</v>
      </c>
      <c r="M4" s="24" t="s">
        <v>63</v>
      </c>
      <c r="N4" s="24"/>
      <c r="O4" s="24"/>
      <c r="P4" s="24"/>
      <c r="Q4" s="24"/>
      <c r="R4" s="24"/>
    </row>
    <row r="5" spans="2:18" x14ac:dyDescent="0.25">
      <c r="B5" s="18">
        <f ca="1">IF(Tabla110[[#This Row],['#]]&lt;&gt;"", NOW(), "")</f>
        <v>46106.442314467589</v>
      </c>
      <c r="C5">
        <f t="shared" ref="C5:C68" si="0">IF(ISNUMBER(E5), IF(ISNUMBER(C4), C4+1, 1), "")</f>
        <v>1</v>
      </c>
      <c r="D5" t="s">
        <v>29</v>
      </c>
      <c r="E5">
        <v>1</v>
      </c>
      <c r="F5">
        <v>75</v>
      </c>
      <c r="G5" t="s">
        <v>30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67.5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46106.442314467589</v>
      </c>
      <c r="C6">
        <f t="shared" si="0"/>
        <v>2</v>
      </c>
      <c r="D6" t="s">
        <v>31</v>
      </c>
      <c r="E6">
        <v>2</v>
      </c>
      <c r="F6">
        <v>50</v>
      </c>
      <c r="G6" t="s">
        <v>30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90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46106.442314467589</v>
      </c>
      <c r="C7">
        <f t="shared" si="0"/>
        <v>3</v>
      </c>
      <c r="D7" t="s">
        <v>32</v>
      </c>
      <c r="E7">
        <v>2</v>
      </c>
      <c r="F7">
        <v>70</v>
      </c>
      <c r="G7" t="s">
        <v>30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126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46106.442314467589</v>
      </c>
      <c r="C8">
        <f t="shared" si="0"/>
        <v>4</v>
      </c>
      <c r="D8" t="s">
        <v>33</v>
      </c>
      <c r="E8">
        <v>2</v>
      </c>
      <c r="F8">
        <v>30</v>
      </c>
      <c r="G8" t="s">
        <v>30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54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46106.442314467589</v>
      </c>
      <c r="C9">
        <f t="shared" si="0"/>
        <v>5</v>
      </c>
      <c r="D9" t="s">
        <v>47</v>
      </c>
      <c r="E9">
        <v>1</v>
      </c>
      <c r="F9">
        <v>55</v>
      </c>
      <c r="G9" t="s">
        <v>30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49.5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46106.442314467589</v>
      </c>
      <c r="C10">
        <f t="shared" si="0"/>
        <v>6</v>
      </c>
      <c r="D10" t="s">
        <v>37</v>
      </c>
      <c r="E10">
        <v>2</v>
      </c>
      <c r="F10">
        <v>5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10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46106.442314467589</v>
      </c>
      <c r="C11">
        <f t="shared" si="0"/>
        <v>7</v>
      </c>
      <c r="D11" t="s">
        <v>37</v>
      </c>
      <c r="E11">
        <v>1</v>
      </c>
      <c r="F11">
        <v>5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5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46106.442314467589</v>
      </c>
      <c r="C12">
        <f t="shared" si="0"/>
        <v>8</v>
      </c>
      <c r="D12" t="s">
        <v>49</v>
      </c>
      <c r="E12">
        <v>1</v>
      </c>
      <c r="F12">
        <v>3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3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46106.442314467589</v>
      </c>
      <c r="C13">
        <f t="shared" si="0"/>
        <v>9</v>
      </c>
      <c r="D13" t="s">
        <v>50</v>
      </c>
      <c r="E13">
        <v>1</v>
      </c>
      <c r="F13">
        <v>35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35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46106.442314467589</v>
      </c>
      <c r="C14">
        <f t="shared" si="0"/>
        <v>10</v>
      </c>
      <c r="D14" t="s">
        <v>51</v>
      </c>
      <c r="E14">
        <v>1</v>
      </c>
      <c r="F14">
        <v>10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10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46106.442314467589</v>
      </c>
      <c r="C15">
        <f t="shared" si="0"/>
        <v>11</v>
      </c>
      <c r="D15" t="s">
        <v>52</v>
      </c>
      <c r="E15">
        <v>1</v>
      </c>
      <c r="F15">
        <v>135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135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46106.442314467589</v>
      </c>
      <c r="C16">
        <f t="shared" si="0"/>
        <v>12</v>
      </c>
      <c r="D16" t="s">
        <v>53</v>
      </c>
      <c r="E16">
        <v>1</v>
      </c>
      <c r="F16">
        <v>650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650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46106.442314467589</v>
      </c>
      <c r="C17">
        <f t="shared" si="0"/>
        <v>13</v>
      </c>
      <c r="D17" t="s">
        <v>61</v>
      </c>
      <c r="E17">
        <v>1</v>
      </c>
      <c r="F17">
        <v>261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261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46106.442314467589</v>
      </c>
      <c r="C18">
        <f t="shared" si="0"/>
        <v>14</v>
      </c>
      <c r="D18" t="s">
        <v>35</v>
      </c>
      <c r="E18">
        <v>1</v>
      </c>
      <c r="F18">
        <v>117</v>
      </c>
      <c r="G18" t="s">
        <v>30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111.5</v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46106.442314467589</v>
      </c>
      <c r="C19">
        <f t="shared" si="0"/>
        <v>15</v>
      </c>
      <c r="D19" t="s">
        <v>40</v>
      </c>
      <c r="E19">
        <v>2</v>
      </c>
      <c r="F19">
        <v>15</v>
      </c>
      <c r="G19" t="s">
        <v>30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27</v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46106.442314467589</v>
      </c>
      <c r="C20">
        <f t="shared" si="0"/>
        <v>16</v>
      </c>
      <c r="D20" t="s">
        <v>54</v>
      </c>
      <c r="E20">
        <v>3</v>
      </c>
      <c r="F20">
        <v>36</v>
      </c>
      <c r="G20" t="s">
        <v>30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97.5</v>
      </c>
      <c r="M20" s="24"/>
      <c r="N20" s="24"/>
      <c r="O20" s="24"/>
      <c r="P20" s="24"/>
      <c r="Q20" s="24"/>
      <c r="R20" s="24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41</v>
      </c>
      <c r="E21">
        <v>1</v>
      </c>
      <c r="F21">
        <v>142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142</v>
      </c>
      <c r="M21" s="24"/>
      <c r="N21" s="24"/>
      <c r="O21" s="24"/>
      <c r="P21" s="24"/>
      <c r="Q21" s="24"/>
      <c r="R21" s="24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58</v>
      </c>
      <c r="E22">
        <v>1</v>
      </c>
      <c r="F22">
        <v>30</v>
      </c>
      <c r="G22" t="s">
        <v>30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27</v>
      </c>
      <c r="M22" s="24"/>
      <c r="N22" s="24"/>
      <c r="O22" s="24"/>
      <c r="P22" s="24"/>
      <c r="Q22" s="24"/>
      <c r="R22" s="24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59</v>
      </c>
      <c r="E23">
        <v>2</v>
      </c>
      <c r="F23">
        <v>135</v>
      </c>
      <c r="G23" t="s">
        <v>30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243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62</v>
      </c>
      <c r="E24">
        <v>2</v>
      </c>
      <c r="F24">
        <v>75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150</v>
      </c>
      <c r="M24" s="20" t="s">
        <v>19</v>
      </c>
      <c r="N24" s="40"/>
      <c r="O24" s="40"/>
      <c r="P24" s="40"/>
      <c r="Q24" s="40"/>
      <c r="R24" s="40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31</v>
      </c>
      <c r="E25">
        <v>1</v>
      </c>
      <c r="F25">
        <v>50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50</v>
      </c>
      <c r="M25" s="25"/>
      <c r="N25" s="25"/>
      <c r="O25" s="25"/>
      <c r="P25" s="25"/>
      <c r="Q25" s="25"/>
      <c r="R25" s="25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M27" s="13" t="s">
        <v>48</v>
      </c>
      <c r="N27" s="15">
        <v>160</v>
      </c>
      <c r="O27" s="41"/>
      <c r="P27" s="42"/>
      <c r="Q27" s="42"/>
      <c r="R27" s="43"/>
    </row>
    <row r="28" spans="2:18" ht="30" x14ac:dyDescent="0.25">
      <c r="B28" s="18" t="str">
        <f ca="1">IF(Tabla1[[#This Row],['#]]&lt;&gt;"", NOW(), "")</f>
        <v/>
      </c>
      <c r="C28" t="str">
        <f t="shared" si="0"/>
        <v/>
      </c>
      <c r="M28" s="13" t="s">
        <v>56</v>
      </c>
      <c r="N28" s="15">
        <v>2030</v>
      </c>
      <c r="O28" s="41"/>
      <c r="P28" s="42"/>
      <c r="Q28" s="42"/>
      <c r="R28" s="43"/>
    </row>
    <row r="29" spans="2:18" ht="30" x14ac:dyDescent="0.25">
      <c r="B29" s="18" t="str">
        <f ca="1">IF(Tabla1[[#This Row],['#]]&lt;&gt;"", NOW(), "")</f>
        <v/>
      </c>
      <c r="C29" t="str">
        <f t="shared" si="0"/>
        <v/>
      </c>
      <c r="I29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9" s="13" t="s">
        <v>55</v>
      </c>
      <c r="N29" s="15">
        <v>1492</v>
      </c>
      <c r="O29" s="41"/>
      <c r="P29" s="42"/>
      <c r="Q29" s="42"/>
      <c r="R29" s="43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I30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30" s="13" t="s">
        <v>57</v>
      </c>
      <c r="N30" s="15">
        <v>1550</v>
      </c>
      <c r="O30" s="41"/>
      <c r="P30" s="42"/>
      <c r="Q30" s="42"/>
      <c r="R30" s="43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I31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31" s="13" t="s">
        <v>60</v>
      </c>
      <c r="N31" s="19">
        <v>5232</v>
      </c>
      <c r="O31" s="44" t="s">
        <v>64</v>
      </c>
      <c r="P31" s="45"/>
      <c r="Q31" s="45"/>
      <c r="R31" s="46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I32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I33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I34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topLeftCell="A2"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2" t="s">
        <v>65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SUM(Tabla111[Importa])</f>
        <v>1547.5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19</v>
      </c>
      <c r="M4" s="24" t="s">
        <v>82</v>
      </c>
      <c r="N4" s="24"/>
      <c r="O4" s="24"/>
      <c r="P4" s="24"/>
      <c r="Q4" s="24"/>
      <c r="R4" s="24"/>
    </row>
    <row r="5" spans="2:18" x14ac:dyDescent="0.25">
      <c r="B5" s="18">
        <f ca="1">IF(Tabla111[[#This Row],['#]]&lt;&gt;"", NOW(), "")</f>
        <v>46106.442314467589</v>
      </c>
      <c r="C5">
        <f>IF(ISNUMBER(E5), IF(ISNUMBER(C4), C4+1, 1), "")</f>
        <v>1</v>
      </c>
      <c r="D5" t="s">
        <v>66</v>
      </c>
      <c r="E5">
        <v>1</v>
      </c>
      <c r="F5">
        <v>20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20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46106.442314467589</v>
      </c>
      <c r="C6">
        <f t="shared" ref="C6" si="0">IF(ISNUMBER(E6), IF(ISNUMBER(C5), C5+1, 1), "")</f>
        <v>2</v>
      </c>
      <c r="D6" t="s">
        <v>67</v>
      </c>
      <c r="E6">
        <v>1</v>
      </c>
      <c r="F6">
        <v>42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42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46106.442314467589</v>
      </c>
      <c r="C7">
        <f>IF(ISNUMBER(E7), IF(ISNUMBER(C6), C6+1, 1), "")</f>
        <v>3</v>
      </c>
      <c r="D7" t="s">
        <v>68</v>
      </c>
      <c r="E7">
        <v>1</v>
      </c>
      <c r="F7">
        <v>95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95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46106.442314467589</v>
      </c>
      <c r="C8">
        <f t="shared" ref="C8:C68" si="1">IF(ISNUMBER(E8), IF(ISNUMBER(C7), C7+1, 1), "")</f>
        <v>4</v>
      </c>
      <c r="D8" t="s">
        <v>34</v>
      </c>
      <c r="E8">
        <v>1</v>
      </c>
      <c r="F8">
        <v>20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20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46106.442314467589</v>
      </c>
      <c r="C9">
        <f t="shared" si="1"/>
        <v>5</v>
      </c>
      <c r="D9" t="s">
        <v>69</v>
      </c>
      <c r="E9">
        <v>1</v>
      </c>
      <c r="F9">
        <v>350</v>
      </c>
      <c r="G9" t="s">
        <v>30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315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46106.442314467589</v>
      </c>
      <c r="C10">
        <f t="shared" si="1"/>
        <v>6</v>
      </c>
      <c r="D10" t="s">
        <v>70</v>
      </c>
      <c r="E10">
        <v>1</v>
      </c>
      <c r="F10">
        <v>42</v>
      </c>
      <c r="G10" t="s">
        <v>30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38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46106.442314467589</v>
      </c>
      <c r="C11">
        <f t="shared" si="1"/>
        <v>7</v>
      </c>
      <c r="D11" t="s">
        <v>35</v>
      </c>
      <c r="E11">
        <v>1</v>
      </c>
      <c r="F11">
        <v>117</v>
      </c>
      <c r="G11" t="s">
        <v>30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111.5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46106.442314467589</v>
      </c>
      <c r="C12">
        <f t="shared" si="1"/>
        <v>8</v>
      </c>
      <c r="D12" t="s">
        <v>71</v>
      </c>
      <c r="E12">
        <v>1</v>
      </c>
      <c r="F12">
        <v>246</v>
      </c>
      <c r="G12" t="s">
        <v>30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221.5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46106.442314467589</v>
      </c>
      <c r="C13">
        <f t="shared" si="1"/>
        <v>9</v>
      </c>
      <c r="D13" t="s">
        <v>72</v>
      </c>
      <c r="E13">
        <v>1</v>
      </c>
      <c r="F13">
        <v>90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90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46106.442314467589</v>
      </c>
      <c r="C14">
        <f t="shared" si="1"/>
        <v>10</v>
      </c>
      <c r="D14" t="s">
        <v>73</v>
      </c>
      <c r="E14">
        <v>1</v>
      </c>
      <c r="F14">
        <v>10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10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46106.442314467589</v>
      </c>
      <c r="C15">
        <f t="shared" si="1"/>
        <v>11</v>
      </c>
      <c r="D15" t="s">
        <v>74</v>
      </c>
      <c r="E15">
        <v>2</v>
      </c>
      <c r="F15">
        <v>15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30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46106.442314467589</v>
      </c>
      <c r="C16">
        <f t="shared" si="1"/>
        <v>12</v>
      </c>
      <c r="D16" t="s">
        <v>37</v>
      </c>
      <c r="E16">
        <v>1</v>
      </c>
      <c r="F16">
        <v>5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5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46106.442314467589</v>
      </c>
      <c r="C17">
        <f t="shared" si="1"/>
        <v>13</v>
      </c>
      <c r="D17" t="s">
        <v>75</v>
      </c>
      <c r="E17">
        <v>1</v>
      </c>
      <c r="F17">
        <v>110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110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46106.442314467589</v>
      </c>
      <c r="C18">
        <f t="shared" si="1"/>
        <v>14</v>
      </c>
      <c r="D18" t="s">
        <v>76</v>
      </c>
      <c r="E18">
        <v>1</v>
      </c>
      <c r="F18">
        <v>220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220</v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46106.442314467589</v>
      </c>
      <c r="C19">
        <f t="shared" si="1"/>
        <v>15</v>
      </c>
      <c r="D19" t="s">
        <v>66</v>
      </c>
      <c r="E19">
        <v>1</v>
      </c>
      <c r="F19">
        <v>20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20</v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46106.442314467589</v>
      </c>
      <c r="C20">
        <f t="shared" si="1"/>
        <v>16</v>
      </c>
      <c r="D20" t="s">
        <v>77</v>
      </c>
      <c r="E20">
        <v>1</v>
      </c>
      <c r="F20">
        <v>48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48</v>
      </c>
      <c r="M20" s="24"/>
      <c r="N20" s="24"/>
      <c r="O20" s="24"/>
      <c r="P20" s="24"/>
      <c r="Q20" s="24"/>
      <c r="R20" s="24"/>
    </row>
    <row r="21" spans="2:18" x14ac:dyDescent="0.25">
      <c r="B21" s="18" t="str">
        <f ca="1">IF(Tabla1[[#This Row],['#]]&lt;&gt;"", NOW(), "")</f>
        <v/>
      </c>
      <c r="C21">
        <f t="shared" si="1"/>
        <v>17</v>
      </c>
      <c r="D21" t="s">
        <v>78</v>
      </c>
      <c r="E21">
        <v>1</v>
      </c>
      <c r="F21">
        <v>42</v>
      </c>
      <c r="G21" t="s">
        <v>30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38</v>
      </c>
      <c r="M21" s="24"/>
      <c r="N21" s="24"/>
      <c r="O21" s="24"/>
      <c r="P21" s="24"/>
      <c r="Q21" s="24"/>
      <c r="R21" s="24"/>
    </row>
    <row r="22" spans="2:18" x14ac:dyDescent="0.25">
      <c r="B22" s="18" t="str">
        <f ca="1">IF(Tabla1[[#This Row],['#]]&lt;&gt;"", NOW(), "")</f>
        <v/>
      </c>
      <c r="C22">
        <f t="shared" si="1"/>
        <v>18</v>
      </c>
      <c r="D22" t="s">
        <v>79</v>
      </c>
      <c r="E22">
        <v>1</v>
      </c>
      <c r="F22">
        <v>36</v>
      </c>
      <c r="G22" t="s">
        <v>30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32.5</v>
      </c>
      <c r="M22" s="24"/>
      <c r="N22" s="24"/>
      <c r="O22" s="24"/>
      <c r="P22" s="24"/>
      <c r="Q22" s="24"/>
      <c r="R22" s="24"/>
    </row>
    <row r="23" spans="2:18" x14ac:dyDescent="0.25">
      <c r="B23" s="18" t="str">
        <f ca="1">IF(Tabla1[[#This Row],['#]]&lt;&gt;"", NOW(), "")</f>
        <v/>
      </c>
      <c r="C23">
        <f t="shared" si="1"/>
        <v>19</v>
      </c>
      <c r="D23" t="s">
        <v>80</v>
      </c>
      <c r="E23">
        <v>1</v>
      </c>
      <c r="F23">
        <v>90</v>
      </c>
      <c r="G23" t="s">
        <v>30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81</v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x14ac:dyDescent="0.25">
      <c r="B25" s="18" t="str">
        <f ca="1">IF(Tabla1[[#This Row],['#]]&lt;&gt;"", NOW(), "")</f>
        <v/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 t="str">
        <f ca="1">IF(Tabla1[[#This Row],['#]]&lt;&gt;"", NOW(), "")</f>
        <v/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45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81</v>
      </c>
      <c r="N27" s="15">
        <v>7781</v>
      </c>
      <c r="O27" s="41"/>
      <c r="P27" s="42"/>
      <c r="Q27" s="42"/>
      <c r="R27" s="43"/>
    </row>
    <row r="28" spans="2:18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41"/>
      <c r="P28" s="42"/>
      <c r="Q28" s="42"/>
      <c r="R28" s="43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41"/>
      <c r="P29" s="42"/>
      <c r="Q29" s="42"/>
      <c r="R29" s="43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1"/>
      <c r="P30" s="42"/>
      <c r="Q30" s="42"/>
      <c r="R30" s="43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1"/>
      <c r="P31" s="42"/>
      <c r="Q31" s="42"/>
      <c r="R31" s="43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D40" t="s">
        <v>83</v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2" t="s">
        <v>84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SUM(Tabla112[Importa])</f>
        <v>1288.5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13</v>
      </c>
      <c r="M4" s="24" t="s">
        <v>104</v>
      </c>
      <c r="N4" s="24"/>
      <c r="O4" s="24"/>
      <c r="P4" s="24"/>
      <c r="Q4" s="24"/>
      <c r="R4" s="24"/>
    </row>
    <row r="5" spans="2:18" x14ac:dyDescent="0.25">
      <c r="B5" s="18">
        <f ca="1">IF(Tabla112[[#This Row],['#]]&lt;&gt;"", NOW(), "")</f>
        <v>46106.442314467589</v>
      </c>
      <c r="C5">
        <f t="shared" ref="C5:C68" si="0">IF(ISNUMBER(E5), IF(ISNUMBER(C4), C4+1, 1), "")</f>
        <v>1</v>
      </c>
      <c r="D5" t="s">
        <v>85</v>
      </c>
      <c r="E5">
        <v>1</v>
      </c>
      <c r="F5">
        <v>20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20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46106.442314467589</v>
      </c>
      <c r="C6">
        <f t="shared" si="0"/>
        <v>2</v>
      </c>
      <c r="D6" t="s">
        <v>86</v>
      </c>
      <c r="E6">
        <v>1</v>
      </c>
      <c r="F6">
        <v>40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40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46106.442314467589</v>
      </c>
      <c r="C7">
        <f t="shared" si="0"/>
        <v>3</v>
      </c>
      <c r="D7" t="s">
        <v>87</v>
      </c>
      <c r="E7">
        <v>1</v>
      </c>
      <c r="F7">
        <v>120</v>
      </c>
      <c r="G7" t="s">
        <v>30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108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46106.442314467589</v>
      </c>
      <c r="C8">
        <f t="shared" si="0"/>
        <v>4</v>
      </c>
      <c r="D8" t="s">
        <v>88</v>
      </c>
      <c r="E8">
        <v>1</v>
      </c>
      <c r="F8">
        <v>35</v>
      </c>
      <c r="G8" t="s">
        <v>30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31.5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46106.442314467589</v>
      </c>
      <c r="C9">
        <f t="shared" si="0"/>
        <v>5</v>
      </c>
      <c r="D9" t="s">
        <v>89</v>
      </c>
      <c r="E9">
        <v>1</v>
      </c>
      <c r="F9">
        <v>64</v>
      </c>
      <c r="G9" t="s">
        <v>30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58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46106.442314467589</v>
      </c>
      <c r="C10">
        <f t="shared" si="0"/>
        <v>6</v>
      </c>
      <c r="D10" t="s">
        <v>85</v>
      </c>
      <c r="E10">
        <v>1</v>
      </c>
      <c r="F10">
        <v>20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20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46106.442314467589</v>
      </c>
      <c r="C11">
        <f t="shared" si="0"/>
        <v>7</v>
      </c>
      <c r="D11" t="s">
        <v>90</v>
      </c>
      <c r="E11">
        <v>1</v>
      </c>
      <c r="F11">
        <v>180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180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46106.442314467589</v>
      </c>
      <c r="C12">
        <f t="shared" si="0"/>
        <v>8</v>
      </c>
      <c r="D12" t="s">
        <v>91</v>
      </c>
      <c r="E12">
        <v>1</v>
      </c>
      <c r="F12">
        <v>10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10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46106.442314467589</v>
      </c>
      <c r="C13">
        <f t="shared" si="0"/>
        <v>9</v>
      </c>
      <c r="D13" t="s">
        <v>105</v>
      </c>
      <c r="E13">
        <v>1</v>
      </c>
      <c r="F13">
        <v>150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150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46106.442314467589</v>
      </c>
      <c r="C14">
        <f t="shared" si="0"/>
        <v>10</v>
      </c>
      <c r="D14" t="s">
        <v>106</v>
      </c>
      <c r="E14">
        <v>1</v>
      </c>
      <c r="F14">
        <v>32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32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46106.442314467589</v>
      </c>
      <c r="C15">
        <f t="shared" si="0"/>
        <v>11</v>
      </c>
      <c r="D15" t="s">
        <v>107</v>
      </c>
      <c r="E15">
        <v>1</v>
      </c>
      <c r="F15">
        <v>135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135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46106.442314467589</v>
      </c>
      <c r="C16">
        <f t="shared" si="0"/>
        <v>12</v>
      </c>
      <c r="D16" t="s">
        <v>108</v>
      </c>
      <c r="E16">
        <v>1</v>
      </c>
      <c r="F16">
        <v>380</v>
      </c>
      <c r="G16" t="s">
        <v>30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342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46106.442314467589</v>
      </c>
      <c r="C17">
        <f t="shared" si="0"/>
        <v>13</v>
      </c>
      <c r="D17" t="s">
        <v>109</v>
      </c>
      <c r="E17">
        <v>1</v>
      </c>
      <c r="F17">
        <v>180</v>
      </c>
      <c r="G17" t="s">
        <v>30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162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46106.442314467589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46106.442314467589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46106.442314467589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24"/>
      <c r="N20" s="24"/>
      <c r="O20" s="24"/>
      <c r="P20" s="24"/>
      <c r="Q20" s="24"/>
      <c r="R20" s="24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24"/>
      <c r="N21" s="24"/>
      <c r="O21" s="24"/>
      <c r="P21" s="24"/>
      <c r="Q21" s="24"/>
      <c r="R21" s="24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24"/>
      <c r="N22" s="24"/>
      <c r="O22" s="24"/>
      <c r="P22" s="24"/>
      <c r="Q22" s="24"/>
      <c r="R22" s="24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 t="s">
        <v>99</v>
      </c>
      <c r="N27" s="15">
        <v>69</v>
      </c>
      <c r="O27" s="41"/>
      <c r="P27" s="42"/>
      <c r="Q27" s="42"/>
      <c r="R27" s="43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1"/>
      <c r="P28" s="42"/>
      <c r="Q28" s="42"/>
      <c r="R28" s="43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1"/>
      <c r="P29" s="42"/>
      <c r="Q29" s="42"/>
      <c r="R29" s="43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1"/>
      <c r="P30" s="42"/>
      <c r="Q30" s="42"/>
      <c r="R30" s="43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1"/>
      <c r="P31" s="42"/>
      <c r="Q31" s="42"/>
      <c r="R31" s="43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tabSelected="1"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22" t="s">
        <v>92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SUM(Tabla113[Importa])</f>
        <v>2595.5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19</v>
      </c>
      <c r="M4" s="24" t="s">
        <v>128</v>
      </c>
      <c r="N4" s="24"/>
      <c r="O4" s="24"/>
      <c r="P4" s="24"/>
      <c r="Q4" s="24"/>
      <c r="R4" s="24"/>
    </row>
    <row r="5" spans="2:18" x14ac:dyDescent="0.25">
      <c r="B5" s="18">
        <f ca="1">IF(Tabla113[[#This Row],['#]]&lt;&gt;"", NOW(), "")</f>
        <v>46106.442314467589</v>
      </c>
      <c r="C5">
        <f t="shared" ref="C5:C68" si="0">IF(ISNUMBER(E5), IF(ISNUMBER(C4), C4+1, 1), "")</f>
        <v>1</v>
      </c>
      <c r="D5" t="s">
        <v>110</v>
      </c>
      <c r="E5">
        <v>1</v>
      </c>
      <c r="F5">
        <v>70</v>
      </c>
      <c r="G5" t="s">
        <v>30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63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46106.442314467589</v>
      </c>
      <c r="C6">
        <f t="shared" si="0"/>
        <v>2</v>
      </c>
      <c r="D6" t="s">
        <v>111</v>
      </c>
      <c r="E6">
        <v>1</v>
      </c>
      <c r="F6">
        <v>65</v>
      </c>
      <c r="G6" t="s">
        <v>30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58.5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46106.442314467589</v>
      </c>
      <c r="C7">
        <f t="shared" si="0"/>
        <v>3</v>
      </c>
      <c r="D7" t="s">
        <v>112</v>
      </c>
      <c r="E7">
        <v>1</v>
      </c>
      <c r="F7">
        <v>56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56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46106.442314467589</v>
      </c>
      <c r="C8">
        <f t="shared" si="0"/>
        <v>4</v>
      </c>
      <c r="D8" t="s">
        <v>113</v>
      </c>
      <c r="E8">
        <v>1</v>
      </c>
      <c r="F8">
        <v>380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380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46106.442314467589</v>
      </c>
      <c r="C9">
        <f t="shared" si="0"/>
        <v>5</v>
      </c>
      <c r="D9" t="s">
        <v>41</v>
      </c>
      <c r="E9">
        <v>1</v>
      </c>
      <c r="F9">
        <v>142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142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46106.442314467589</v>
      </c>
      <c r="C10">
        <f t="shared" si="0"/>
        <v>6</v>
      </c>
      <c r="D10" t="s">
        <v>114</v>
      </c>
      <c r="E10">
        <v>2</v>
      </c>
      <c r="F10">
        <v>20</v>
      </c>
      <c r="G10" t="s">
        <v>30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36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46106.442314467589</v>
      </c>
      <c r="C11">
        <f t="shared" si="0"/>
        <v>7</v>
      </c>
      <c r="D11" t="s">
        <v>115</v>
      </c>
      <c r="E11">
        <v>6</v>
      </c>
      <c r="F11">
        <v>5</v>
      </c>
      <c r="G11" t="s">
        <v>30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27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46106.442314467589</v>
      </c>
      <c r="C12">
        <f t="shared" si="0"/>
        <v>8</v>
      </c>
      <c r="D12" t="s">
        <v>116</v>
      </c>
      <c r="E12">
        <v>1</v>
      </c>
      <c r="F12">
        <v>126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126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46106.442314467589</v>
      </c>
      <c r="C13">
        <f t="shared" si="0"/>
        <v>9</v>
      </c>
      <c r="D13" t="s">
        <v>117</v>
      </c>
      <c r="E13">
        <v>1</v>
      </c>
      <c r="F13">
        <v>15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15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46106.442314467589</v>
      </c>
      <c r="C14">
        <f t="shared" si="0"/>
        <v>10</v>
      </c>
      <c r="D14" t="s">
        <v>80</v>
      </c>
      <c r="E14">
        <v>1</v>
      </c>
      <c r="F14">
        <v>90</v>
      </c>
      <c r="G14" t="s">
        <v>30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81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46106.442314467589</v>
      </c>
      <c r="C15">
        <f t="shared" si="0"/>
        <v>11</v>
      </c>
      <c r="D15" t="s">
        <v>118</v>
      </c>
      <c r="E15">
        <v>1</v>
      </c>
      <c r="F15">
        <v>71</v>
      </c>
      <c r="G15" t="s">
        <v>30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64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46106.442314467589</v>
      </c>
      <c r="C16">
        <f t="shared" si="0"/>
        <v>12</v>
      </c>
      <c r="D16" t="s">
        <v>119</v>
      </c>
      <c r="E16">
        <v>1</v>
      </c>
      <c r="F16">
        <v>160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160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46106.442314467589</v>
      </c>
      <c r="C17">
        <f t="shared" si="0"/>
        <v>13</v>
      </c>
      <c r="D17" t="s">
        <v>120</v>
      </c>
      <c r="E17">
        <v>1</v>
      </c>
      <c r="F17">
        <v>280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280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46106.442314467589</v>
      </c>
      <c r="C18">
        <f t="shared" si="0"/>
        <v>14</v>
      </c>
      <c r="D18" t="s">
        <v>121</v>
      </c>
      <c r="E18">
        <v>1</v>
      </c>
      <c r="F18">
        <v>650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650</v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46106.442314467589</v>
      </c>
      <c r="C19">
        <f t="shared" si="0"/>
        <v>15</v>
      </c>
      <c r="D19" t="s">
        <v>120</v>
      </c>
      <c r="E19">
        <v>1</v>
      </c>
      <c r="F19">
        <v>280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280</v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46106.442314467589</v>
      </c>
      <c r="C20">
        <f t="shared" si="0"/>
        <v>16</v>
      </c>
      <c r="D20" t="s">
        <v>122</v>
      </c>
      <c r="E20">
        <v>1</v>
      </c>
      <c r="F20">
        <v>45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45</v>
      </c>
      <c r="M20" s="24"/>
      <c r="N20" s="24"/>
      <c r="O20" s="24"/>
      <c r="P20" s="24"/>
      <c r="Q20" s="24"/>
      <c r="R20" s="24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123</v>
      </c>
      <c r="E21">
        <v>1</v>
      </c>
      <c r="F21">
        <v>50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50</v>
      </c>
      <c r="M21" s="24"/>
      <c r="N21" s="24"/>
      <c r="O21" s="24"/>
      <c r="P21" s="24"/>
      <c r="Q21" s="24"/>
      <c r="R21" s="24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124</v>
      </c>
      <c r="E22">
        <v>1</v>
      </c>
      <c r="F22">
        <v>42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42</v>
      </c>
      <c r="M22" s="24"/>
      <c r="N22" s="24"/>
      <c r="O22" s="24"/>
      <c r="P22" s="24"/>
      <c r="Q22" s="24"/>
      <c r="R22" s="24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125</v>
      </c>
      <c r="E23">
        <v>2</v>
      </c>
      <c r="F23">
        <v>20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40</v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93</v>
      </c>
      <c r="N27" s="15">
        <v>80</v>
      </c>
      <c r="O27" s="41" t="s">
        <v>94</v>
      </c>
      <c r="P27" s="42"/>
      <c r="Q27" s="42"/>
      <c r="R27" s="43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48</v>
      </c>
      <c r="N28" s="15">
        <v>160</v>
      </c>
      <c r="O28" s="41" t="s">
        <v>95</v>
      </c>
      <c r="P28" s="42"/>
      <c r="Q28" s="42"/>
      <c r="R28" s="43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96</v>
      </c>
      <c r="N29" s="15">
        <v>2030</v>
      </c>
      <c r="O29" s="41" t="s">
        <v>95</v>
      </c>
      <c r="P29" s="42"/>
      <c r="Q29" s="42"/>
      <c r="R29" s="43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97</v>
      </c>
      <c r="N30" s="15">
        <v>1492</v>
      </c>
      <c r="O30" s="41" t="s">
        <v>95</v>
      </c>
      <c r="P30" s="42"/>
      <c r="Q30" s="42"/>
      <c r="R30" s="43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98</v>
      </c>
      <c r="N31" s="15">
        <v>1550</v>
      </c>
      <c r="O31" s="41" t="s">
        <v>95</v>
      </c>
      <c r="P31" s="42"/>
      <c r="Q31" s="42"/>
      <c r="R31" s="43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127</v>
      </c>
      <c r="N32" s="15">
        <v>7781</v>
      </c>
      <c r="O32" s="41" t="s">
        <v>126</v>
      </c>
      <c r="P32" s="42"/>
      <c r="Q32" s="42"/>
      <c r="R32" s="43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99</v>
      </c>
      <c r="N33" s="15">
        <v>69</v>
      </c>
      <c r="O33" s="41" t="s">
        <v>100</v>
      </c>
      <c r="P33" s="42"/>
      <c r="Q33" s="42"/>
      <c r="R33" s="43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101</v>
      </c>
      <c r="N34" s="15">
        <v>1500</v>
      </c>
      <c r="O34" s="41" t="s">
        <v>102</v>
      </c>
      <c r="P34" s="42"/>
      <c r="Q34" s="42"/>
      <c r="R34" s="43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 t="s">
        <v>60</v>
      </c>
      <c r="N35" s="15">
        <v>14662</v>
      </c>
      <c r="O35" s="41" t="s">
        <v>103</v>
      </c>
      <c r="P35" s="42"/>
      <c r="Q35" s="42"/>
      <c r="R35" s="43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2" t="s">
        <v>129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SUM(Tabla114[Importa])</f>
        <v>4762.5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23</v>
      </c>
      <c r="M4" s="24" t="s">
        <v>151</v>
      </c>
      <c r="N4" s="24"/>
      <c r="O4" s="24"/>
      <c r="P4" s="24"/>
      <c r="Q4" s="24"/>
      <c r="R4" s="24"/>
    </row>
    <row r="5" spans="2:18" x14ac:dyDescent="0.25">
      <c r="B5" s="18">
        <f ca="1">IF(Tabla114[[#This Row],['#]]&lt;&gt;"", NOW(), "")</f>
        <v>46106.442314467589</v>
      </c>
      <c r="C5">
        <f t="shared" ref="C5:C68" si="0">IF(ISNUMBER(E5), IF(ISNUMBER(C4), C4+1, 1), "")</f>
        <v>1</v>
      </c>
      <c r="D5" t="s">
        <v>130</v>
      </c>
      <c r="E5">
        <v>3</v>
      </c>
      <c r="F5">
        <v>20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60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46106.442314467589</v>
      </c>
      <c r="C6">
        <f t="shared" si="0"/>
        <v>2</v>
      </c>
      <c r="D6" t="s">
        <v>131</v>
      </c>
      <c r="E6">
        <v>2</v>
      </c>
      <c r="F6">
        <v>30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60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46106.442314467589</v>
      </c>
      <c r="C7">
        <f t="shared" si="0"/>
        <v>3</v>
      </c>
      <c r="D7" t="s">
        <v>132</v>
      </c>
      <c r="E7">
        <v>1</v>
      </c>
      <c r="F7">
        <v>65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65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46106.442314467589</v>
      </c>
      <c r="C8">
        <f t="shared" si="0"/>
        <v>4</v>
      </c>
      <c r="D8" t="s">
        <v>133</v>
      </c>
      <c r="E8">
        <v>2</v>
      </c>
      <c r="F8">
        <v>50</v>
      </c>
      <c r="G8" t="s">
        <v>30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90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46106.442314467589</v>
      </c>
      <c r="C9">
        <f t="shared" si="0"/>
        <v>5</v>
      </c>
      <c r="D9" t="s">
        <v>134</v>
      </c>
      <c r="E9">
        <v>1</v>
      </c>
      <c r="F9">
        <v>280</v>
      </c>
      <c r="G9" t="s">
        <v>30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252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46106.442314467589</v>
      </c>
      <c r="C10">
        <f t="shared" si="0"/>
        <v>6</v>
      </c>
      <c r="D10" t="s">
        <v>135</v>
      </c>
      <c r="E10">
        <v>1</v>
      </c>
      <c r="F10">
        <v>190</v>
      </c>
      <c r="G10" t="s">
        <v>30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171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46106.442314467589</v>
      </c>
      <c r="C11">
        <f t="shared" si="0"/>
        <v>7</v>
      </c>
      <c r="D11" t="s">
        <v>136</v>
      </c>
      <c r="E11">
        <v>1</v>
      </c>
      <c r="F11">
        <v>120</v>
      </c>
      <c r="G11" t="s">
        <v>30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108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46106.442314467589</v>
      </c>
      <c r="C12">
        <f t="shared" si="0"/>
        <v>8</v>
      </c>
      <c r="D12" t="s">
        <v>56</v>
      </c>
      <c r="E12">
        <v>1</v>
      </c>
      <c r="F12">
        <v>117</v>
      </c>
      <c r="G12" t="s">
        <v>30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111.5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46106.442314467589</v>
      </c>
      <c r="C13">
        <f t="shared" si="0"/>
        <v>9</v>
      </c>
      <c r="D13" t="s">
        <v>31</v>
      </c>
      <c r="E13">
        <v>1</v>
      </c>
      <c r="F13">
        <v>50</v>
      </c>
      <c r="G13" t="s">
        <v>30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45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46106.442314467589</v>
      </c>
      <c r="C14">
        <f t="shared" si="0"/>
        <v>10</v>
      </c>
      <c r="D14" t="s">
        <v>137</v>
      </c>
      <c r="E14">
        <v>1</v>
      </c>
      <c r="F14">
        <v>35</v>
      </c>
      <c r="G14" t="s">
        <v>30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31.5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46106.442314467589</v>
      </c>
      <c r="C15">
        <f t="shared" si="0"/>
        <v>11</v>
      </c>
      <c r="D15" t="s">
        <v>138</v>
      </c>
      <c r="E15">
        <v>1</v>
      </c>
      <c r="F15">
        <v>350</v>
      </c>
      <c r="G15" t="s">
        <v>30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315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46106.442314467589</v>
      </c>
      <c r="C16">
        <f t="shared" si="0"/>
        <v>12</v>
      </c>
      <c r="D16" t="s">
        <v>139</v>
      </c>
      <c r="E16">
        <v>2</v>
      </c>
      <c r="F16">
        <v>280</v>
      </c>
      <c r="G16" t="s">
        <v>30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532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46106.442314467589</v>
      </c>
      <c r="C17">
        <f t="shared" si="0"/>
        <v>13</v>
      </c>
      <c r="D17" t="s">
        <v>140</v>
      </c>
      <c r="E17">
        <v>3</v>
      </c>
      <c r="F17">
        <v>10</v>
      </c>
      <c r="G17" t="s">
        <v>30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27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46106.442314467589</v>
      </c>
      <c r="C18">
        <f t="shared" si="0"/>
        <v>14</v>
      </c>
      <c r="D18" t="s">
        <v>141</v>
      </c>
      <c r="E18">
        <v>1</v>
      </c>
      <c r="F18">
        <v>305</v>
      </c>
      <c r="G18" t="s">
        <v>30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274.5</v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46106.442314467589</v>
      </c>
      <c r="C19">
        <f t="shared" si="0"/>
        <v>15</v>
      </c>
      <c r="D19" t="s">
        <v>142</v>
      </c>
      <c r="E19">
        <v>2</v>
      </c>
      <c r="F19">
        <v>75</v>
      </c>
      <c r="G19" t="s">
        <v>30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135</v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46106.442314467589</v>
      </c>
      <c r="C20">
        <f t="shared" si="0"/>
        <v>16</v>
      </c>
      <c r="D20" t="s">
        <v>143</v>
      </c>
      <c r="E20">
        <v>1</v>
      </c>
      <c r="F20">
        <v>690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690</v>
      </c>
      <c r="M20" s="24"/>
      <c r="N20" s="24"/>
      <c r="O20" s="24"/>
      <c r="P20" s="24"/>
      <c r="Q20" s="24"/>
      <c r="R20" s="24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144</v>
      </c>
      <c r="E21">
        <v>2</v>
      </c>
      <c r="F21">
        <v>20</v>
      </c>
      <c r="G21" t="s">
        <v>30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36</v>
      </c>
      <c r="M21" s="24"/>
      <c r="N21" s="24"/>
      <c r="O21" s="24"/>
      <c r="P21" s="24"/>
      <c r="Q21" s="24"/>
      <c r="R21" s="24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145</v>
      </c>
      <c r="E22">
        <v>1</v>
      </c>
      <c r="F22">
        <v>130</v>
      </c>
      <c r="G22" t="s">
        <v>30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117</v>
      </c>
      <c r="M22" s="24"/>
      <c r="N22" s="24"/>
      <c r="O22" s="24"/>
      <c r="P22" s="24"/>
      <c r="Q22" s="24"/>
      <c r="R22" s="24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146</v>
      </c>
      <c r="E23">
        <v>2</v>
      </c>
      <c r="F23">
        <v>15</v>
      </c>
      <c r="G23" t="s">
        <v>30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27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105</v>
      </c>
      <c r="E24">
        <v>1</v>
      </c>
      <c r="F24">
        <v>150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150</v>
      </c>
      <c r="M24" s="20" t="s">
        <v>19</v>
      </c>
      <c r="N24" s="40"/>
      <c r="O24" s="40"/>
      <c r="P24" s="40"/>
      <c r="Q24" s="40"/>
      <c r="R24" s="40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31</v>
      </c>
      <c r="E25">
        <v>1</v>
      </c>
      <c r="F25">
        <v>50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50</v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147</v>
      </c>
      <c r="E26">
        <v>1</v>
      </c>
      <c r="F26">
        <v>1350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1350</v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148</v>
      </c>
      <c r="E27">
        <v>1</v>
      </c>
      <c r="F27">
        <v>65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65</v>
      </c>
      <c r="M27" s="13" t="s">
        <v>149</v>
      </c>
      <c r="N27" s="15">
        <v>9985</v>
      </c>
      <c r="O27" s="41"/>
      <c r="P27" s="42"/>
      <c r="Q27" s="42"/>
      <c r="R27" s="43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D28" t="s">
        <v>150</v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41"/>
      <c r="P28" s="42"/>
      <c r="Q28" s="42"/>
      <c r="R28" s="43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41"/>
      <c r="P29" s="42"/>
      <c r="Q29" s="42"/>
      <c r="R29" s="43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41"/>
      <c r="P30" s="42"/>
      <c r="Q30" s="42"/>
      <c r="R30" s="43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1"/>
      <c r="P31" s="42"/>
      <c r="Q31" s="42"/>
      <c r="R31" s="43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2" t="s">
        <v>14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4"/>
      <c r="N4" s="24"/>
      <c r="O4" s="24"/>
      <c r="P4" s="24"/>
      <c r="Q4" s="24"/>
      <c r="R4" s="24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46106.442314467589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46106.442314467589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46106.442314467589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46106.442314467589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46106.442314467589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46106.442314467589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46106.442314467589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46106.442314467589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46106.442314467589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46106.442314467589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46106.442314467589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46106.442314467589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46106.442314467589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46106.442314467589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46106.442314467589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4"/>
      <c r="N20" s="24"/>
      <c r="O20" s="24"/>
      <c r="P20" s="24"/>
      <c r="Q20" s="24"/>
      <c r="R20" s="24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4"/>
      <c r="N21" s="24"/>
      <c r="O21" s="24"/>
      <c r="P21" s="24"/>
      <c r="Q21" s="24"/>
      <c r="R21" s="24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4"/>
      <c r="N22" s="24"/>
      <c r="O22" s="24"/>
      <c r="P22" s="24"/>
      <c r="Q22" s="24"/>
      <c r="R22" s="24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1"/>
      <c r="P27" s="42"/>
      <c r="Q27" s="42"/>
      <c r="R27" s="43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1"/>
      <c r="P28" s="42"/>
      <c r="Q28" s="42"/>
      <c r="R28" s="43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1"/>
      <c r="P29" s="42"/>
      <c r="Q29" s="42"/>
      <c r="R29" s="43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1"/>
      <c r="P30" s="42"/>
      <c r="Q30" s="42"/>
      <c r="R30" s="43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1"/>
      <c r="P31" s="42"/>
      <c r="Q31" s="42"/>
      <c r="R31" s="43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16-03-26</vt:lpstr>
      <vt:lpstr>Martes 17-03-26</vt:lpstr>
      <vt:lpstr>Miercoles 18-03-26</vt:lpstr>
      <vt:lpstr>Jueves 19-03-26</vt:lpstr>
      <vt:lpstr>Viernes 20-03-26</vt:lpstr>
      <vt:lpstr>Sabado 21-03-26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2026-03-25T16:37:23Z</dcterms:modified>
</cp:coreProperties>
</file>