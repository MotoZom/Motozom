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3C9BD6BE-8DAE-4653-8D8D-553E49343E9C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3-03-26" sheetId="1" r:id="rId1"/>
    <sheet name="MARTES 24-03-26" sheetId="2" r:id="rId2"/>
    <sheet name="MIERCOLES 25-03-26" sheetId="3" r:id="rId3"/>
    <sheet name="Jueves 26-03-26" sheetId="4" r:id="rId4"/>
    <sheet name="Viernes 27-03-26" sheetId="5" r:id="rId5"/>
    <sheet name="Sabado 28-03-26" sheetId="6" r:id="rId6"/>
    <sheet name="Domingo" sheetId="8" r:id="rId7"/>
    <sheet name="Cambios" sheetId="7" r:id="rId8"/>
  </sheets>
  <definedNames>
    <definedName name="_xlnm._FilterDatabase" localSheetId="0" hidden="1">'Lunes 23-03-26'!$B$4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4" l="1"/>
  <c r="C5" i="3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7" i="2"/>
  <c r="C8" i="2" s="1"/>
  <c r="C9" i="2" s="1"/>
  <c r="C10" i="2" s="1"/>
  <c r="C11" i="2" s="1"/>
  <c r="C12" i="2" s="1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<sst xmlns="http://schemas.openxmlformats.org/spreadsheetml/2006/main" count="362" uniqueCount="158">
  <si>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</si>
  <si>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</si>
  <si>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</si>
  <si>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</si>
  <si>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</si>
  <si>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</si>
  <si>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</si>
  <si>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</si>
  <si>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</si>
  <si>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</si>
  <si>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</si>
  <si>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</si>
  <si>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</si>
  <si>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</si>
  <si>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</si>
  <si>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</si>
  <si>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</si>
  <si>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</si>
  <si>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</si>
  <si>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</si>
  <si>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</si>
  <si>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</si>
  <si>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</si>
  <si>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</si>
  <si>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</si>
  <si>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23 DE MARZO-26</t>
  </si>
  <si>
    <t>ACEITE AKRON</t>
  </si>
  <si>
    <t>ACEITE MOTUL 7100-10W-40</t>
  </si>
  <si>
    <t xml:space="preserve">MARCHA FT150 </t>
  </si>
  <si>
    <t>X</t>
  </si>
  <si>
    <t>FILTRO DE GASOLINA  CARTON</t>
  </si>
  <si>
    <t>BUJIA D8</t>
  </si>
  <si>
    <t>CHICOTE DE CLUTH DM200</t>
  </si>
  <si>
    <t>FILTRO DE AIRE FT125</t>
  </si>
  <si>
    <t>CONTRAPESO ROJO</t>
  </si>
  <si>
    <t>BALATA DE TAMBOR DS150</t>
  </si>
  <si>
    <t>TUBO MOCIL</t>
  </si>
  <si>
    <t>CAMARA 140-70-17</t>
  </si>
  <si>
    <t xml:space="preserve">CHICOTE DE CLUTH UNIVERSAL </t>
  </si>
  <si>
    <t xml:space="preserve">TORNILLO </t>
  </si>
  <si>
    <t>TUERCA</t>
  </si>
  <si>
    <t>CHCICOTE DE ACELERADOR FT125</t>
  </si>
  <si>
    <t>CAPUCHON DE BUJIA FT150</t>
  </si>
  <si>
    <t>ACEITE YAMALUBE</t>
  </si>
  <si>
    <t>FILTRO DE ACEITE FZ16</t>
  </si>
  <si>
    <t xml:space="preserve">TUBO MOVIL </t>
  </si>
  <si>
    <t>FILTRO DE AIRE VORTEX 200</t>
  </si>
  <si>
    <t>FILTRO DE ALTO FLUJO</t>
  </si>
  <si>
    <t xml:space="preserve">ESPEJOS DE ALERON </t>
  </si>
  <si>
    <t>CHICOTEN DE ACELERADOR DE CARGO 150</t>
  </si>
  <si>
    <t>LIGA DE WAPEMEX ROJA</t>
  </si>
  <si>
    <t xml:space="preserve">ACEITE YAMALUBE </t>
  </si>
  <si>
    <t xml:space="preserve">CUBRE  PUÑOS LED </t>
  </si>
  <si>
    <t xml:space="preserve">MANIJAS DE LUJO ROJO </t>
  </si>
  <si>
    <t>ACEITE TOP RANCING</t>
  </si>
  <si>
    <t xml:space="preserve">TUBO MOVIL ACELERADOR </t>
  </si>
  <si>
    <t>Martes 24 DE MARZO-26</t>
  </si>
  <si>
    <t xml:space="preserve">FOCO LED H4 </t>
  </si>
  <si>
    <t>JUNTA DE CLUTH FT150</t>
  </si>
  <si>
    <t>BUJE DE PLASTICO INIVERSAL</t>
  </si>
  <si>
    <t>MANDO IZQUIERDO FT150</t>
  </si>
  <si>
    <t xml:space="preserve">PEDIDO OSCAR </t>
  </si>
  <si>
    <t>LIMPIADOR DE CARBURADOR LUBER</t>
  </si>
  <si>
    <t>MARCHA DM200</t>
  </si>
  <si>
    <t>ARNES H4</t>
  </si>
  <si>
    <t>ARNES CDI FT150</t>
  </si>
  <si>
    <t xml:space="preserve">CDI 250Z ITALIKA </t>
  </si>
  <si>
    <t>MEDIDOR  DE VELOCIMETRO 250Z</t>
  </si>
  <si>
    <t>PEDIDO NASAKI</t>
  </si>
  <si>
    <t>PORTA PLACA ANIMADO</t>
  </si>
  <si>
    <t xml:space="preserve">TORNILLOS </t>
  </si>
  <si>
    <t>TUBO MOVIL DS150</t>
  </si>
  <si>
    <t xml:space="preserve">CUENTA DE SEMANA PASADA $ 21998.5 MENOS $ 1855 PEDIDO DE OSCAR QUEDA $ 20143.5  MENOS $ 1232 PEDIDO NASAKI QUEDA $ 18911.5 </t>
  </si>
  <si>
    <t>Miercoles 25 DE MARZO-26</t>
  </si>
  <si>
    <t>LIMPIADOR DE CARBURADOR AXPRO</t>
  </si>
  <si>
    <t>YUGO DE FT150</t>
  </si>
  <si>
    <t xml:space="preserve">BALATA DE DISCO DS150 </t>
  </si>
  <si>
    <t>BENDIX DE FT150</t>
  </si>
  <si>
    <t xml:space="preserve">JUNTA DE CARTEL </t>
  </si>
  <si>
    <t>FILTRO DE AIRE DM200</t>
  </si>
  <si>
    <t>REFLEJANTE DE LLANTA</t>
  </si>
  <si>
    <t>BUJIA C7</t>
  </si>
  <si>
    <t xml:space="preserve">FILTRO DE GASOLINA CARTON </t>
  </si>
  <si>
    <t>FILTRO DE AIRE WS175</t>
  </si>
  <si>
    <t>FOCO AUXILIAR DE BUHOS SOLO</t>
  </si>
  <si>
    <t>STIKER</t>
  </si>
  <si>
    <t xml:space="preserve">DEPOSITO  DE LIQUIDO DE FRENO </t>
  </si>
  <si>
    <t>MANUBRIO FZ16</t>
  </si>
  <si>
    <t>LLANTA 110-90-17</t>
  </si>
  <si>
    <t>RETEN DE BARRAS 27-11-30</t>
  </si>
  <si>
    <t>MANDO DERECHO DE 250Z</t>
  </si>
  <si>
    <t>BUJIA C9 NGK</t>
  </si>
  <si>
    <t>ACEITE MOTUL 5100</t>
  </si>
  <si>
    <t>ESPEJOS PARA LA 150Z</t>
  </si>
  <si>
    <t>Jueves 26 DE MARZO-26</t>
  </si>
  <si>
    <t>BARRAS DE FT150</t>
  </si>
  <si>
    <t xml:space="preserve">LIMPIADOR DE CARBURADOR </t>
  </si>
  <si>
    <t xml:space="preserve">PILA QLINK YTX5 </t>
  </si>
  <si>
    <t xml:space="preserve">ESPEJOS HONDA </t>
  </si>
  <si>
    <t xml:space="preserve">AORCADOR DE CLUTH </t>
  </si>
  <si>
    <t xml:space="preserve">SEGURO DE PIÑON </t>
  </si>
  <si>
    <t>PILA 6.5 WAPEMEX</t>
  </si>
  <si>
    <t xml:space="preserve">POPOTES DE RIND ROJOS </t>
  </si>
  <si>
    <t>CHICOTE DE CACELERADOR FZ2.0</t>
  </si>
  <si>
    <t xml:space="preserve">CADENA 520 CON ORING </t>
  </si>
  <si>
    <t>FOCO H4 LED</t>
  </si>
  <si>
    <t>PIÑON DE PULSAR 200</t>
  </si>
  <si>
    <t>Viernes 27 DE MARZO-26</t>
  </si>
  <si>
    <t xml:space="preserve">P.OSCAR </t>
  </si>
  <si>
    <t xml:space="preserve">MARTES 24 DE MARZO-26 </t>
  </si>
  <si>
    <t>P.NASAKI</t>
  </si>
  <si>
    <t>PAGOYAS</t>
  </si>
  <si>
    <t>VIERNES 27 DE MARZO-26</t>
  </si>
  <si>
    <t xml:space="preserve">TOTAL </t>
  </si>
  <si>
    <t xml:space="preserve">TOTAL DE EGRESOS </t>
  </si>
  <si>
    <t xml:space="preserve">BANDA POWER LINK 835-20-30 </t>
  </si>
  <si>
    <t>ACEITE MOTUL 3000</t>
  </si>
  <si>
    <t>CINTA DE AISLAR</t>
  </si>
  <si>
    <t>BALATA DE DISCO DS150</t>
  </si>
  <si>
    <t xml:space="preserve">ACEITE AKRON </t>
  </si>
  <si>
    <t>LEVA DE FRENO FT150</t>
  </si>
  <si>
    <t>FILTRO DE AIRE D125</t>
  </si>
  <si>
    <t xml:space="preserve">PILA QLINK YTX 7 MOTONETA </t>
  </si>
  <si>
    <t xml:space="preserve">PILA 12MN7 BS QLINK </t>
  </si>
  <si>
    <t>GOMA CENTRAL DS150</t>
  </si>
  <si>
    <t>KID DE CILINDRO 125Z</t>
  </si>
  <si>
    <t xml:space="preserve">ACEITE TOP RANCING </t>
  </si>
  <si>
    <t>BALATA DISCO ATV</t>
  </si>
  <si>
    <t>RELELE DE ARRANQUE ITALIKA DS150</t>
  </si>
  <si>
    <t xml:space="preserve">SWITH UNIVERSAL </t>
  </si>
  <si>
    <t xml:space="preserve">PILA 12N5 BS QLINK </t>
  </si>
  <si>
    <t>P.ITALIKA</t>
  </si>
  <si>
    <t xml:space="preserve">PILA QLINK 12N73B </t>
  </si>
  <si>
    <t xml:space="preserve">ARNES DE 4 PINES </t>
  </si>
  <si>
    <t xml:space="preserve">ACEITE LUBER </t>
  </si>
  <si>
    <t xml:space="preserve">RONDANA </t>
  </si>
  <si>
    <r>
      <rPr>
        <b/>
        <sz val="14"/>
        <color theme="1"/>
        <rFont val="Calibri"/>
        <family val="2"/>
        <scheme val="minor"/>
      </rPr>
      <t xml:space="preserve">CORTES DE LA SEMANA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23 DE MARZO-26              $21998.5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$ 3363.5        MENOS $ 18846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24 DE MARZO-26           $ 3152.5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$ 1583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MIERCOLES 25 DE MARZO-26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$ 3873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26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$ 4482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27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$ 3556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 $ 16857.5 
TOTAL EN CAJA $ 20010</t>
    </r>
  </si>
  <si>
    <t>Sabado 28 DE MARZO-26</t>
  </si>
  <si>
    <t>RED DE ACIENTO WS150</t>
  </si>
  <si>
    <t>CHICOTE CLUTH UNIVERSAL</t>
  </si>
  <si>
    <t>RETEN DE MOTOR DS150</t>
  </si>
  <si>
    <t>CHICOTE DE VELOCIMETRO DM200</t>
  </si>
  <si>
    <t>ACEITE LUBER</t>
  </si>
  <si>
    <t>TAZAS DE DIFRECCION DM200</t>
  </si>
  <si>
    <t xml:space="preserve">TAZAS DE DIRECCION WS150 </t>
  </si>
  <si>
    <t xml:space="preserve">MANUBRIO DM200 </t>
  </si>
  <si>
    <t>MERCADO</t>
  </si>
  <si>
    <t>MANIJA FT150</t>
  </si>
  <si>
    <t xml:space="preserve">DIRECCIONAL UNIVERSAL </t>
  </si>
  <si>
    <t>P.OSCAR</t>
  </si>
  <si>
    <t>TIRA LED</t>
  </si>
  <si>
    <t xml:space="preserve">BALATA DELANTERA VENTO </t>
  </si>
  <si>
    <t xml:space="preserve">BALATA TRASERA DE VENTO </t>
  </si>
  <si>
    <t>FOCO AUXILIARES N</t>
  </si>
  <si>
    <t>CHICOTE DE ACELERADOR FT150 WAPEMEX</t>
  </si>
  <si>
    <t>GUANTES ROJOS NASAKI</t>
  </si>
  <si>
    <t xml:space="preserve">GUANTES VERDE MILITAR </t>
  </si>
  <si>
    <t xml:space="preserve">CUENTA DE AYER TOTAL $ 20010 MENOS 2500 DE PEDIDO MERCADO LIBRE QUEDA $ 17510  MENOS $ 4284 QUEDA 13226 
CUENTA DE HOY SABADO $ 2189 MENOS $ 300 PAGO DE YAS QUEDA $ 1889 MAS 13226 
TOTAL EN CAJA $ 15115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</si>
</sst>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7" sqref="D3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3363.5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32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46111.774988078701</v>
      </c>
      <c r="C5">
        <f>IF(ISNUMBER(E5), IF(ISNUMBER(C4), C4+1, 1), "")</f>
        <v>1</v>
      </c>
      <c r="D5" t="s">
        <v>26</v>
      </c>
      <c r="E5">
        <v>1</v>
      </c>
      <c r="F5">
        <v>117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117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280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280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>
        <f t="shared" si="0"/>
        <v>3</v>
      </c>
      <c r="D7" t="s">
        <v>27</v>
      </c>
      <c r="E7">
        <v>1</v>
      </c>
      <c r="F7">
        <v>280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280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>
        <f t="shared" si="0"/>
        <v>4</v>
      </c>
      <c r="D8" t="s">
        <v>28</v>
      </c>
      <c r="E8">
        <v>1</v>
      </c>
      <c r="F8">
        <v>396</v>
      </c>
      <c r="G8" t="s">
        <v>29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356.5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>
        <f t="shared" si="0"/>
        <v>5</v>
      </c>
      <c r="D9" t="s">
        <v>30</v>
      </c>
      <c r="E9">
        <v>1</v>
      </c>
      <c r="F9">
        <v>20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>
        <f t="shared" si="0"/>
        <v>6</v>
      </c>
      <c r="D10" t="s">
        <v>26</v>
      </c>
      <c r="E10">
        <v>1</v>
      </c>
      <c r="F10">
        <v>117</v>
      </c>
      <c r="G10" t="s">
        <v>29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111.5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>
        <f t="shared" si="0"/>
        <v>7</v>
      </c>
      <c r="D11" t="s">
        <v>31</v>
      </c>
      <c r="E11">
        <v>1</v>
      </c>
      <c r="F11">
        <v>50</v>
      </c>
      <c r="G11" t="s">
        <v>29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45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>
        <f t="shared" si="0"/>
        <v>8</v>
      </c>
      <c r="D12" t="s">
        <v>32</v>
      </c>
      <c r="E12">
        <v>1</v>
      </c>
      <c r="F12">
        <v>45</v>
      </c>
      <c r="G12" t="s">
        <v>29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40.5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>
        <f t="shared" si="0"/>
        <v>9</v>
      </c>
      <c r="D13" t="s">
        <v>30</v>
      </c>
      <c r="E13">
        <v>2</v>
      </c>
      <c r="F13">
        <v>15</v>
      </c>
      <c r="G13" t="s">
        <v>29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>
        <f t="shared" si="0"/>
        <v>10</v>
      </c>
      <c r="D14" t="s">
        <v>33</v>
      </c>
      <c r="E14">
        <v>1</v>
      </c>
      <c r="F14">
        <v>56</v>
      </c>
      <c r="G14" t="s">
        <v>29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50.5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>
        <f t="shared" si="0"/>
        <v>11</v>
      </c>
      <c r="D15" t="s">
        <v>34</v>
      </c>
      <c r="E15">
        <v>1</v>
      </c>
      <c r="F15">
        <v>113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113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>
        <f t="shared" si="0"/>
        <v>12</v>
      </c>
      <c r="D16" t="s">
        <v>35</v>
      </c>
      <c r="E16">
        <v>1</v>
      </c>
      <c r="F16">
        <v>70</v>
      </c>
      <c r="G16" t="s">
        <v>29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63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>
        <f t="shared" si="0"/>
        <v>13</v>
      </c>
      <c r="D17" t="s">
        <v>36</v>
      </c>
      <c r="E17">
        <v>1</v>
      </c>
      <c r="F17">
        <v>15</v>
      </c>
      <c r="G17" t="s">
        <v>29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13.5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>
        <f t="shared" si="0"/>
        <v>14</v>
      </c>
      <c r="D18" t="s">
        <v>37</v>
      </c>
      <c r="E18">
        <v>1</v>
      </c>
      <c r="F18">
        <v>100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100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>
        <f t="shared" si="0"/>
        <v>15</v>
      </c>
      <c r="D19" t="s">
        <v>38</v>
      </c>
      <c r="E19">
        <v>1</v>
      </c>
      <c r="F19">
        <v>15</v>
      </c>
      <c r="G19" t="s">
        <v>29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>
        <f t="shared" si="0"/>
        <v>16</v>
      </c>
      <c r="D20" t="s">
        <v>39</v>
      </c>
      <c r="E20">
        <v>4</v>
      </c>
      <c r="F20">
        <v>6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24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>
        <f t="shared" si="0"/>
        <v>17</v>
      </c>
      <c r="D21" t="s">
        <v>40</v>
      </c>
      <c r="E21">
        <v>4</v>
      </c>
      <c r="F21">
        <v>4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16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>
        <f t="shared" si="0"/>
        <v>18</v>
      </c>
      <c r="D22" t="s">
        <v>41</v>
      </c>
      <c r="E22">
        <v>1</v>
      </c>
      <c r="F22">
        <v>35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35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>
        <f t="shared" si="0"/>
        <v>19</v>
      </c>
      <c r="D23" t="s">
        <v>42</v>
      </c>
      <c r="E23">
        <v>1</v>
      </c>
      <c r="F23">
        <v>20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20</v>
      </c>
    </row>
    <row r="24" spans="2:18" ht="15" customHeight="1" x14ac:dyDescent="0.25">
      <c r="B24" s="18">
        <f ca="1">IF(Tabla1[[#This Row],['#]]&lt;&gt;"", NOW(), "")</f>
        <v>46111.774988078701</v>
      </c>
      <c r="C24">
        <f t="shared" si="0"/>
        <v>20</v>
      </c>
      <c r="D24" t="s">
        <v>43</v>
      </c>
      <c r="E24">
        <v>1</v>
      </c>
      <c r="F24">
        <v>150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150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46111.774988078701</v>
      </c>
      <c r="C25">
        <f t="shared" si="0"/>
        <v>21</v>
      </c>
      <c r="D25" t="s">
        <v>44</v>
      </c>
      <c r="E25">
        <v>1</v>
      </c>
      <c r="F25">
        <v>32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32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46111.774988078701</v>
      </c>
      <c r="C26">
        <f t="shared" si="0"/>
        <v>22</v>
      </c>
      <c r="D26" t="s">
        <v>45</v>
      </c>
      <c r="E26">
        <v>1</v>
      </c>
      <c r="F26">
        <v>15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15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46111.774988078701</v>
      </c>
      <c r="C27">
        <f t="shared" si="0"/>
        <v>23</v>
      </c>
      <c r="D27" t="s">
        <v>46</v>
      </c>
      <c r="E27">
        <v>1</v>
      </c>
      <c r="F27">
        <v>80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80</v>
      </c>
      <c r="M27" s="19"/>
      <c r="N27" s="20"/>
      <c r="O27" s="23"/>
      <c r="P27" s="25"/>
      <c r="Q27" s="26"/>
      <c r="R27" s="27"/>
    </row>
    <row r="28" spans="2:18" x14ac:dyDescent="0.25">
      <c r="B28" s="18">
        <f ca="1">IF(Tabla1[[#This Row],['#]]&lt;&gt;"", NOW(), "")</f>
        <v>46111.774988078701</v>
      </c>
      <c r="C28">
        <f t="shared" si="0"/>
        <v>24</v>
      </c>
      <c r="D28" t="s">
        <v>47</v>
      </c>
      <c r="E28">
        <v>1</v>
      </c>
      <c r="F28">
        <v>78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78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46111.774988078701</v>
      </c>
      <c r="C29">
        <f t="shared" si="0"/>
        <v>25</v>
      </c>
      <c r="D29" t="s">
        <v>48</v>
      </c>
      <c r="E29">
        <v>1</v>
      </c>
      <c r="F29">
        <v>290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290</v>
      </c>
      <c r="M29" s="19"/>
      <c r="N29" s="20"/>
      <c r="O29" s="23"/>
      <c r="P29" s="25"/>
      <c r="Q29" s="26"/>
      <c r="R29" s="27"/>
    </row>
    <row r="30" spans="2:18" x14ac:dyDescent="0.25">
      <c r="B30" s="18">
        <f ca="1">IF(Tabla1[[#This Row],['#]]&lt;&gt;"", NOW(), "")</f>
        <v>46111.774988078701</v>
      </c>
      <c r="C30">
        <f t="shared" si="0"/>
        <v>26</v>
      </c>
      <c r="D30" t="s">
        <v>49</v>
      </c>
      <c r="E30">
        <v>1</v>
      </c>
      <c r="F30">
        <v>50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50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46111.774988078701</v>
      </c>
      <c r="C31">
        <f t="shared" si="0"/>
        <v>27</v>
      </c>
      <c r="D31" t="s">
        <v>50</v>
      </c>
      <c r="E31">
        <v>1</v>
      </c>
      <c r="F31">
        <v>35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35</v>
      </c>
      <c r="M31" s="19"/>
      <c r="N31" s="20"/>
      <c r="O31" s="23"/>
      <c r="P31" s="25"/>
      <c r="Q31" s="26"/>
      <c r="R31" s="27"/>
    </row>
    <row r="32" spans="2:18" x14ac:dyDescent="0.25">
      <c r="B32" s="18">
        <f ca="1">IF(Tabla1[[#This Row],['#]]&lt;&gt;"", NOW(), "")</f>
        <v>46111.774988078701</v>
      </c>
      <c r="C32">
        <f t="shared" si="0"/>
        <v>28</v>
      </c>
      <c r="D32" t="s">
        <v>51</v>
      </c>
      <c r="E32">
        <v>1</v>
      </c>
      <c r="F32">
        <v>150</v>
      </c>
      <c r="G32" t="s">
        <v>29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142.5</v>
      </c>
      <c r="M32" s="21"/>
      <c r="N32" s="22"/>
      <c r="O32" s="24"/>
      <c r="P32" s="28"/>
      <c r="Q32" s="29"/>
      <c r="R32" s="30"/>
    </row>
    <row r="33" spans="2:18" x14ac:dyDescent="0.25">
      <c r="B33" s="18">
        <f ca="1">IF(Tabla1[[#This Row],['#]]&lt;&gt;"", NOW(), "")</f>
        <v>46111.774988078701</v>
      </c>
      <c r="C33">
        <f t="shared" si="0"/>
        <v>29</v>
      </c>
      <c r="D33" t="s">
        <v>52</v>
      </c>
      <c r="E33">
        <v>1</v>
      </c>
      <c r="F33">
        <v>320</v>
      </c>
      <c r="H33" s="5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>320</v>
      </c>
      <c r="M33" s="19"/>
      <c r="N33" s="20"/>
      <c r="O33" s="23"/>
      <c r="P33" s="25"/>
      <c r="Q33" s="26"/>
      <c r="R33" s="27"/>
    </row>
    <row r="34" spans="2:18" x14ac:dyDescent="0.25">
      <c r="B34" s="18">
        <f ca="1">IF(Tabla1[[#This Row],['#]]&lt;&gt;"", NOW(), "")</f>
        <v>46111.774988078701</v>
      </c>
      <c r="C34">
        <f t="shared" si="0"/>
        <v>30</v>
      </c>
      <c r="D34" t="s">
        <v>53</v>
      </c>
      <c r="E34">
        <v>1</v>
      </c>
      <c r="F34">
        <v>355</v>
      </c>
      <c r="H34" s="5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>355</v>
      </c>
      <c r="M34" s="21"/>
      <c r="N34" s="22"/>
      <c r="O34" s="24"/>
      <c r="P34" s="28"/>
      <c r="Q34" s="29"/>
      <c r="R34" s="30"/>
    </row>
    <row r="35" spans="2:18" x14ac:dyDescent="0.25">
      <c r="B35" s="18">
        <f ca="1">IF(Tabla1[[#This Row],['#]]&lt;&gt;"", NOW(), "")</f>
        <v>46111.774988078701</v>
      </c>
      <c r="C35">
        <f t="shared" si="0"/>
        <v>31</v>
      </c>
      <c r="D35" t="s">
        <v>54</v>
      </c>
      <c r="E35">
        <v>1</v>
      </c>
      <c r="F35">
        <v>75</v>
      </c>
      <c r="H35" s="5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>75</v>
      </c>
      <c r="M35" s="19"/>
      <c r="N35" s="20"/>
      <c r="O35" s="23"/>
      <c r="P35" s="25"/>
      <c r="Q35" s="26"/>
      <c r="R35" s="27"/>
    </row>
    <row r="36" spans="2:18" x14ac:dyDescent="0.25">
      <c r="B36" s="18">
        <f ca="1">IF(Tabla1[[#This Row],['#]]&lt;&gt;"", NOW(), "")</f>
        <v>46111.774988078701</v>
      </c>
      <c r="C36">
        <f t="shared" si="0"/>
        <v>32</v>
      </c>
      <c r="D36" t="s">
        <v>55</v>
      </c>
      <c r="E36">
        <v>1</v>
      </c>
      <c r="F36">
        <v>15</v>
      </c>
      <c r="H36" s="5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>15</v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1583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72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46111.774988078701</v>
      </c>
      <c r="C5">
        <f t="shared" ref="C5:C68" si="0">IF(ISNUMBER(E5), IF(ISNUMBER(C4), C4+1, 1), "")</f>
        <v>1</v>
      </c>
      <c r="D5" t="s">
        <v>63</v>
      </c>
      <c r="E5">
        <v>1</v>
      </c>
      <c r="F5">
        <v>494</v>
      </c>
      <c r="G5" t="s">
        <v>29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445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>
        <f t="shared" si="0"/>
        <v>2</v>
      </c>
      <c r="D6" t="s">
        <v>57</v>
      </c>
      <c r="E6">
        <v>1</v>
      </c>
      <c r="F6">
        <v>135</v>
      </c>
      <c r="G6" t="s">
        <v>29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121.5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>
        <f t="shared" si="0"/>
        <v>3</v>
      </c>
      <c r="D7" t="s">
        <v>64</v>
      </c>
      <c r="E7">
        <v>1</v>
      </c>
      <c r="F7">
        <v>22</v>
      </c>
      <c r="G7" t="s">
        <v>29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>
        <f t="shared" si="0"/>
        <v>4</v>
      </c>
      <c r="D8" t="s">
        <v>58</v>
      </c>
      <c r="E8">
        <v>1</v>
      </c>
      <c r="F8">
        <v>15</v>
      </c>
      <c r="G8" t="s">
        <v>29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>
        <f t="shared" si="0"/>
        <v>5</v>
      </c>
      <c r="D9" t="s">
        <v>59</v>
      </c>
      <c r="E9">
        <v>1</v>
      </c>
      <c r="F9">
        <v>20</v>
      </c>
      <c r="G9" t="s">
        <v>29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>
        <f t="shared" si="0"/>
        <v>6</v>
      </c>
      <c r="D10" t="s">
        <v>60</v>
      </c>
      <c r="E10">
        <v>1</v>
      </c>
      <c r="F10">
        <v>100</v>
      </c>
      <c r="G10" t="s">
        <v>29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>
        <f t="shared" si="0"/>
        <v>7</v>
      </c>
      <c r="D11" t="s">
        <v>62</v>
      </c>
      <c r="E11">
        <v>1</v>
      </c>
      <c r="F11">
        <v>75</v>
      </c>
      <c r="G11" t="s">
        <v>29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67.5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>
        <f t="shared" si="0"/>
        <v>8</v>
      </c>
      <c r="D12" t="s">
        <v>65</v>
      </c>
      <c r="E12">
        <v>1</v>
      </c>
      <c r="F12">
        <v>20</v>
      </c>
      <c r="G12" t="s">
        <v>29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18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>
        <f t="shared" si="0"/>
        <v>9</v>
      </c>
      <c r="D13" t="s">
        <v>51</v>
      </c>
      <c r="E13">
        <v>1</v>
      </c>
      <c r="F13">
        <v>150</v>
      </c>
      <c r="G13" t="s">
        <v>29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142.5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>
        <f t="shared" si="0"/>
        <v>10</v>
      </c>
      <c r="D14" t="s">
        <v>66</v>
      </c>
      <c r="E14">
        <v>1</v>
      </c>
      <c r="F14">
        <v>170</v>
      </c>
      <c r="G14" t="s">
        <v>29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153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>
        <f t="shared" si="0"/>
        <v>11</v>
      </c>
      <c r="D15" t="s">
        <v>67</v>
      </c>
      <c r="E15">
        <v>1</v>
      </c>
      <c r="F15">
        <v>200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>
        <f t="shared" si="0"/>
        <v>12</v>
      </c>
      <c r="D16" t="s">
        <v>31</v>
      </c>
      <c r="E16">
        <v>1</v>
      </c>
      <c r="F16">
        <v>50</v>
      </c>
      <c r="G16" t="s">
        <v>29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45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>
        <f t="shared" si="0"/>
        <v>13</v>
      </c>
      <c r="D17" t="s">
        <v>54</v>
      </c>
      <c r="E17">
        <v>1</v>
      </c>
      <c r="F17">
        <v>75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75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>
        <f t="shared" si="0"/>
        <v>14</v>
      </c>
      <c r="D18" t="s">
        <v>54</v>
      </c>
      <c r="E18">
        <v>1</v>
      </c>
      <c r="F18">
        <v>75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75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>
        <f t="shared" si="0"/>
        <v>15</v>
      </c>
      <c r="D19" t="s">
        <v>69</v>
      </c>
      <c r="E19">
        <v>1</v>
      </c>
      <c r="F19">
        <v>75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75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>
        <f t="shared" si="0"/>
        <v>16</v>
      </c>
      <c r="D20" t="s">
        <v>70</v>
      </c>
      <c r="E20">
        <v>3</v>
      </c>
      <c r="F20">
        <v>3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9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>
        <f t="shared" si="0"/>
        <v>17</v>
      </c>
      <c r="D21" t="s">
        <v>71</v>
      </c>
      <c r="E21">
        <v>1</v>
      </c>
      <c r="F21">
        <v>15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46111.774988078701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46111.774988078701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46111.774988078701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>
        <f ca="1">IF(Tabla1[[#This Row],['#]]&lt;&gt;"", NOW(), "")</f>
        <v>46111.774988078701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61</v>
      </c>
      <c r="N27" s="15">
        <v>1855</v>
      </c>
      <c r="O27" s="39"/>
      <c r="P27" s="40"/>
      <c r="Q27" s="40"/>
      <c r="R27" s="41"/>
    </row>
    <row r="28" spans="2:18" ht="30" x14ac:dyDescent="0.25">
      <c r="B28" s="18">
        <f ca="1">IF(Tabla1[[#This Row],['#]]&lt;&gt;"", NOW(), "")</f>
        <v>46111.774988078701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68</v>
      </c>
      <c r="N28" s="15">
        <v>1232</v>
      </c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46111.774988078701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46111.774988078701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46111.774988078701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46111.774988078701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46111.774988078701</v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46111.774988078701</v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46111.774988078701</v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>
        <f ca="1">IF(Tabla1[[#This Row],['#]]&lt;&gt;"", NOW(), "")</f>
        <v>46111.774988078701</v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3873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46111.774988078701</v>
      </c>
      <c r="C5">
        <f>IF(ISNUMBER(E5), IF(ISNUMBER(C4), C4+1, 1), "")</f>
        <v>1</v>
      </c>
      <c r="D5" t="s">
        <v>74</v>
      </c>
      <c r="E5">
        <v>1</v>
      </c>
      <c r="F5">
        <v>75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75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>
        <f t="shared" ref="C6" si="0">IF(ISNUMBER(E6), IF(ISNUMBER(C5), C5+1, 1), "")</f>
        <v>2</v>
      </c>
      <c r="D6" t="s">
        <v>75</v>
      </c>
      <c r="E6">
        <v>1</v>
      </c>
      <c r="F6">
        <v>556</v>
      </c>
      <c r="G6" t="s">
        <v>29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500.5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>
        <f>IF(ISNUMBER(E7), IF(ISNUMBER(C6), C6+1, 1), "")</f>
        <v>3</v>
      </c>
      <c r="D7" t="s">
        <v>76</v>
      </c>
      <c r="E7">
        <v>1</v>
      </c>
      <c r="F7">
        <v>100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100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>
        <f t="shared" ref="C8:C68" si="1">IF(ISNUMBER(E8), IF(ISNUMBER(C7), C7+1, 1), "")</f>
        <v>4</v>
      </c>
      <c r="D8" t="s">
        <v>77</v>
      </c>
      <c r="E8">
        <v>1</v>
      </c>
      <c r="F8">
        <v>290</v>
      </c>
      <c r="G8" t="s">
        <v>29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261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>
        <f t="shared" si="1"/>
        <v>5</v>
      </c>
      <c r="D9" t="s">
        <v>78</v>
      </c>
      <c r="E9">
        <v>1</v>
      </c>
      <c r="F9">
        <v>15</v>
      </c>
      <c r="G9" t="s">
        <v>29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>
        <f t="shared" si="1"/>
        <v>6</v>
      </c>
      <c r="D10" t="s">
        <v>31</v>
      </c>
      <c r="E10">
        <v>1</v>
      </c>
      <c r="F10">
        <v>50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>
        <f t="shared" si="1"/>
        <v>7</v>
      </c>
      <c r="D11" t="s">
        <v>26</v>
      </c>
      <c r="E11">
        <v>1</v>
      </c>
      <c r="F11">
        <v>117</v>
      </c>
      <c r="G11" t="s">
        <v>29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111.5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>
        <f t="shared" si="1"/>
        <v>8</v>
      </c>
      <c r="D12" t="s">
        <v>79</v>
      </c>
      <c r="E12">
        <v>1</v>
      </c>
      <c r="F12">
        <v>71</v>
      </c>
      <c r="G12" t="s">
        <v>29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64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>
        <f t="shared" si="1"/>
        <v>9</v>
      </c>
      <c r="D13" t="s">
        <v>31</v>
      </c>
      <c r="E13">
        <v>1</v>
      </c>
      <c r="F13">
        <v>50</v>
      </c>
      <c r="G13" t="s">
        <v>29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>
        <f t="shared" si="1"/>
        <v>10</v>
      </c>
      <c r="D14" t="s">
        <v>26</v>
      </c>
      <c r="E14">
        <v>1</v>
      </c>
      <c r="F14">
        <v>117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117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>
        <f t="shared" si="1"/>
        <v>11</v>
      </c>
      <c r="D15" t="s">
        <v>80</v>
      </c>
      <c r="E15">
        <v>1</v>
      </c>
      <c r="F15">
        <v>40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40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>
        <f t="shared" si="1"/>
        <v>12</v>
      </c>
      <c r="D16" t="s">
        <v>26</v>
      </c>
      <c r="E16">
        <v>1</v>
      </c>
      <c r="F16">
        <v>117</v>
      </c>
      <c r="G16" t="s">
        <v>29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111.5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>
        <f t="shared" si="1"/>
        <v>13</v>
      </c>
      <c r="D17" t="s">
        <v>81</v>
      </c>
      <c r="E17">
        <v>1</v>
      </c>
      <c r="F17">
        <v>50</v>
      </c>
      <c r="G17" t="s">
        <v>29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45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>
        <f t="shared" si="1"/>
        <v>14</v>
      </c>
      <c r="D18" t="s">
        <v>82</v>
      </c>
      <c r="E18">
        <v>1</v>
      </c>
      <c r="F18">
        <v>15</v>
      </c>
      <c r="G18" t="s">
        <v>29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13.5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>
        <f t="shared" si="1"/>
        <v>15</v>
      </c>
      <c r="D19" t="s">
        <v>83</v>
      </c>
      <c r="E19">
        <v>1</v>
      </c>
      <c r="F19">
        <v>54</v>
      </c>
      <c r="G19" t="s">
        <v>29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49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>
        <f t="shared" si="1"/>
        <v>16</v>
      </c>
      <c r="D20" t="s">
        <v>84</v>
      </c>
      <c r="E20">
        <v>1</v>
      </c>
      <c r="F20">
        <v>177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177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>
        <f t="shared" si="1"/>
        <v>17</v>
      </c>
      <c r="D21" t="s">
        <v>84</v>
      </c>
      <c r="E21">
        <v>1</v>
      </c>
      <c r="F21">
        <v>177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177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>
        <f t="shared" si="1"/>
        <v>18</v>
      </c>
      <c r="D22" t="s">
        <v>31</v>
      </c>
      <c r="E22">
        <v>1</v>
      </c>
      <c r="F22">
        <v>50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50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>
        <f t="shared" si="1"/>
        <v>19</v>
      </c>
      <c r="D23" t="s">
        <v>85</v>
      </c>
      <c r="E23">
        <v>2</v>
      </c>
      <c r="F23">
        <v>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10</v>
      </c>
    </row>
    <row r="24" spans="2:18" ht="15" customHeight="1" x14ac:dyDescent="0.25">
      <c r="B24" s="18">
        <f ca="1">IF(Tabla1[[#This Row],['#]]&lt;&gt;"", NOW(), "")</f>
        <v>46111.774988078701</v>
      </c>
      <c r="C24">
        <f t="shared" si="1"/>
        <v>20</v>
      </c>
      <c r="D24" t="s">
        <v>86</v>
      </c>
      <c r="E24">
        <v>1</v>
      </c>
      <c r="F24">
        <v>130</v>
      </c>
      <c r="G24" t="s">
        <v>29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117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46111.774988078701</v>
      </c>
      <c r="C25">
        <f t="shared" si="1"/>
        <v>21</v>
      </c>
      <c r="D25" t="s">
        <v>87</v>
      </c>
      <c r="E25">
        <v>1</v>
      </c>
      <c r="F25">
        <v>230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230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46111.774988078701</v>
      </c>
      <c r="C26">
        <f t="shared" si="1"/>
        <v>22</v>
      </c>
      <c r="D26" t="s">
        <v>88</v>
      </c>
      <c r="E26">
        <v>1</v>
      </c>
      <c r="F26">
        <v>850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850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46111.774988078701</v>
      </c>
      <c r="C27">
        <f t="shared" si="1"/>
        <v>23</v>
      </c>
      <c r="D27" t="s">
        <v>89</v>
      </c>
      <c r="E27">
        <v>1</v>
      </c>
      <c r="F27">
        <v>38</v>
      </c>
      <c r="G27" t="s">
        <v>29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34.5</v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46111.774988078701</v>
      </c>
      <c r="C28">
        <f t="shared" si="1"/>
        <v>24</v>
      </c>
      <c r="D28" t="s">
        <v>90</v>
      </c>
      <c r="E28">
        <v>1</v>
      </c>
      <c r="F28">
        <v>100</v>
      </c>
      <c r="G28" t="s">
        <v>29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90</v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46111.774988078701</v>
      </c>
      <c r="C29">
        <f t="shared" si="1"/>
        <v>25</v>
      </c>
      <c r="D29" t="s">
        <v>91</v>
      </c>
      <c r="E29">
        <v>1</v>
      </c>
      <c r="F29">
        <v>50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50</v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46111.774988078701</v>
      </c>
      <c r="C30">
        <f t="shared" si="1"/>
        <v>26</v>
      </c>
      <c r="D30" t="s">
        <v>92</v>
      </c>
      <c r="E30">
        <v>1</v>
      </c>
      <c r="F30">
        <v>250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250</v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46111.774988078701</v>
      </c>
      <c r="C31">
        <f t="shared" si="1"/>
        <v>27</v>
      </c>
      <c r="D31" t="s">
        <v>93</v>
      </c>
      <c r="E31">
        <v>1</v>
      </c>
      <c r="F31">
        <v>166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166</v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46111.774988078701</v>
      </c>
      <c r="C32">
        <f t="shared" si="1"/>
        <v>28</v>
      </c>
      <c r="D32" t="s">
        <v>74</v>
      </c>
      <c r="E32">
        <v>1</v>
      </c>
      <c r="F32">
        <v>75</v>
      </c>
      <c r="H32" s="5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>75</v>
      </c>
      <c r="M32" s="13"/>
      <c r="N32" s="15"/>
      <c r="O32" s="39"/>
      <c r="P32" s="40"/>
      <c r="Q32" s="40"/>
      <c r="R32" s="41"/>
    </row>
    <row r="33" spans="2:18" x14ac:dyDescent="0.25">
      <c r="B33" s="18">
        <f ca="1">IF(Tabla1[[#This Row],['#]]&lt;&gt;"", NOW(), "")</f>
        <v>46111.774988078701</v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>
        <f ca="1">IF(Tabla1[[#This Row],['#]]&lt;&gt;"", NOW(), "")</f>
        <v>46111.774988078701</v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>
        <f ca="1">IF(Tabla1[[#This Row],['#]]&lt;&gt;"", NOW(), "")</f>
        <v>46111.774988078701</v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>
        <f ca="1">IF(Tabla1[[#This Row],['#]]&lt;&gt;"", NOW(), "")</f>
        <v>46111.774988078701</v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topLeftCell="A2" workbookViewId="0">
      <selection activeCell="E43" sqref="E4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4482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46111.774988078701</v>
      </c>
      <c r="C5">
        <f t="shared" ref="C5:C68" si="0">IF(ISNUMBER(E5), IF(ISNUMBER(C4), C4+1, 1), "")</f>
        <v>1</v>
      </c>
      <c r="D5" t="s">
        <v>95</v>
      </c>
      <c r="E5">
        <v>1</v>
      </c>
      <c r="F5">
        <v>1100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1100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>
        <f t="shared" si="0"/>
        <v>2</v>
      </c>
      <c r="D6" t="s">
        <v>26</v>
      </c>
      <c r="E6">
        <v>1</v>
      </c>
      <c r="F6">
        <v>117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117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>
        <f t="shared" si="0"/>
        <v>3</v>
      </c>
      <c r="D7" t="s">
        <v>96</v>
      </c>
      <c r="E7">
        <v>1</v>
      </c>
      <c r="F7">
        <v>75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75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>
        <f t="shared" si="0"/>
        <v>4</v>
      </c>
      <c r="D8" t="s">
        <v>83</v>
      </c>
      <c r="E8">
        <v>1</v>
      </c>
      <c r="F8">
        <v>70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70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>
        <f t="shared" si="0"/>
        <v>5</v>
      </c>
      <c r="D9" t="s">
        <v>81</v>
      </c>
      <c r="E9">
        <v>1</v>
      </c>
      <c r="F9">
        <v>50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>
        <f t="shared" si="0"/>
        <v>6</v>
      </c>
      <c r="D10" t="s">
        <v>81</v>
      </c>
      <c r="E10">
        <v>1</v>
      </c>
      <c r="F10">
        <v>50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>
        <f t="shared" si="0"/>
        <v>7</v>
      </c>
      <c r="D11" t="s">
        <v>97</v>
      </c>
      <c r="E11">
        <v>1</v>
      </c>
      <c r="F11">
        <v>590</v>
      </c>
      <c r="G11" t="s">
        <v>29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531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>
        <f t="shared" si="0"/>
        <v>8</v>
      </c>
      <c r="D12" t="s">
        <v>98</v>
      </c>
      <c r="E12">
        <v>1</v>
      </c>
      <c r="F12">
        <v>215</v>
      </c>
      <c r="G12" t="s">
        <v>29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193.5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>
        <f t="shared" si="0"/>
        <v>9</v>
      </c>
      <c r="D13" t="s">
        <v>38</v>
      </c>
      <c r="E13">
        <v>2</v>
      </c>
      <c r="F13">
        <v>20</v>
      </c>
      <c r="G13" t="s">
        <v>29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36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>
        <f t="shared" si="0"/>
        <v>10</v>
      </c>
      <c r="D14" t="s">
        <v>99</v>
      </c>
      <c r="E14">
        <v>1</v>
      </c>
      <c r="F14">
        <v>5</v>
      </c>
      <c r="G14" t="s">
        <v>29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4.5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>
        <f t="shared" si="0"/>
        <v>11</v>
      </c>
      <c r="D15" t="s">
        <v>100</v>
      </c>
      <c r="E15">
        <v>1</v>
      </c>
      <c r="F15">
        <v>15</v>
      </c>
      <c r="G15" t="s">
        <v>29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13.5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>
        <f t="shared" si="0"/>
        <v>12</v>
      </c>
      <c r="D16" t="s">
        <v>101</v>
      </c>
      <c r="E16">
        <v>1</v>
      </c>
      <c r="F16">
        <v>478</v>
      </c>
      <c r="G16" t="s">
        <v>29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430.5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>
        <f t="shared" si="0"/>
        <v>13</v>
      </c>
      <c r="D17" t="s">
        <v>102</v>
      </c>
      <c r="E17">
        <v>1</v>
      </c>
      <c r="F17">
        <v>70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70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>
        <f t="shared" si="0"/>
        <v>14</v>
      </c>
      <c r="D18" t="s">
        <v>103</v>
      </c>
      <c r="E18">
        <v>1</v>
      </c>
      <c r="F18">
        <v>56</v>
      </c>
      <c r="G18" t="s">
        <v>29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50.5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>
        <f t="shared" si="0"/>
        <v>15</v>
      </c>
      <c r="D19" t="s">
        <v>104</v>
      </c>
      <c r="E19">
        <v>1</v>
      </c>
      <c r="F19">
        <v>799</v>
      </c>
      <c r="G19" t="s">
        <v>29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719.5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>
        <f t="shared" si="0"/>
        <v>16</v>
      </c>
      <c r="D20" t="s">
        <v>105</v>
      </c>
      <c r="E20">
        <v>1</v>
      </c>
      <c r="F20">
        <v>122</v>
      </c>
      <c r="G20" t="s">
        <v>29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110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>
        <f t="shared" si="0"/>
        <v>17</v>
      </c>
      <c r="D21" t="s">
        <v>106</v>
      </c>
      <c r="E21">
        <v>1</v>
      </c>
      <c r="F21">
        <v>39</v>
      </c>
      <c r="G21" t="s">
        <v>29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35.5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>
        <f t="shared" si="0"/>
        <v>18</v>
      </c>
      <c r="D22" t="s">
        <v>81</v>
      </c>
      <c r="E22">
        <v>2</v>
      </c>
      <c r="F22">
        <v>50</v>
      </c>
      <c r="G22" t="s">
        <v>29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90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>
        <f t="shared" si="0"/>
        <v>19</v>
      </c>
      <c r="D23" t="s">
        <v>82</v>
      </c>
      <c r="E23">
        <v>1</v>
      </c>
      <c r="F23">
        <v>15</v>
      </c>
      <c r="G23" t="s">
        <v>29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13.5</v>
      </c>
    </row>
    <row r="24" spans="2:18" ht="15" customHeight="1" x14ac:dyDescent="0.25">
      <c r="B24" s="18">
        <f ca="1">IF(Tabla1[[#This Row],['#]]&lt;&gt;"", NOW(), "")</f>
        <v>46111.774988078701</v>
      </c>
      <c r="C24">
        <f t="shared" si="0"/>
        <v>20</v>
      </c>
      <c r="D24" t="s">
        <v>43</v>
      </c>
      <c r="E24">
        <v>1</v>
      </c>
      <c r="F24">
        <v>150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150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46111.774988078701</v>
      </c>
      <c r="C25">
        <f t="shared" si="0"/>
        <v>21</v>
      </c>
      <c r="D25" t="s">
        <v>115</v>
      </c>
      <c r="E25">
        <v>1</v>
      </c>
      <c r="F25">
        <v>350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350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46111.774988078701</v>
      </c>
      <c r="C26">
        <f t="shared" si="0"/>
        <v>22</v>
      </c>
      <c r="D26" t="s">
        <v>116</v>
      </c>
      <c r="E26">
        <v>1</v>
      </c>
      <c r="F26">
        <v>200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200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46111.774988078701</v>
      </c>
      <c r="C27">
        <f t="shared" si="0"/>
        <v>23</v>
      </c>
      <c r="D27" t="s">
        <v>117</v>
      </c>
      <c r="E27">
        <v>1</v>
      </c>
      <c r="F27">
        <v>22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22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46111.774988078701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46111.774988078701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46111.774988078701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46111.774988078701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46111.774988078701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46111.774988078701</v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46111.774988078701</v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46111.774988078701</v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46111.774988078701</v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3556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136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46111.774988078701</v>
      </c>
      <c r="C5">
        <f t="shared" ref="C5:C68" si="0">IF(ISNUMBER(E5), IF(ISNUMBER(C4), C4+1, 1), "")</f>
        <v>1</v>
      </c>
      <c r="D5" t="s">
        <v>118</v>
      </c>
      <c r="E5">
        <v>1</v>
      </c>
      <c r="F5">
        <v>36</v>
      </c>
      <c r="G5" t="s">
        <v>29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32.5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>
        <f t="shared" si="0"/>
        <v>2</v>
      </c>
      <c r="D6" t="s">
        <v>119</v>
      </c>
      <c r="E6">
        <v>1</v>
      </c>
      <c r="F6">
        <v>117</v>
      </c>
      <c r="G6" t="s">
        <v>29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111.5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>
        <f t="shared" si="0"/>
        <v>3</v>
      </c>
      <c r="D7" t="s">
        <v>82</v>
      </c>
      <c r="E7">
        <v>1</v>
      </c>
      <c r="F7">
        <v>15</v>
      </c>
      <c r="G7" t="s">
        <v>29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>
        <f t="shared" si="0"/>
        <v>4</v>
      </c>
      <c r="D8" t="s">
        <v>81</v>
      </c>
      <c r="E8">
        <v>1</v>
      </c>
      <c r="F8">
        <v>50</v>
      </c>
      <c r="G8" t="s">
        <v>29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45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>
        <f t="shared" si="0"/>
        <v>5</v>
      </c>
      <c r="D9" t="s">
        <v>120</v>
      </c>
      <c r="E9">
        <v>1</v>
      </c>
      <c r="F9">
        <v>45</v>
      </c>
      <c r="G9" t="s">
        <v>29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40.5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>
        <f t="shared" si="0"/>
        <v>6</v>
      </c>
      <c r="D10" t="s">
        <v>121</v>
      </c>
      <c r="E10">
        <v>1</v>
      </c>
      <c r="F10">
        <v>70</v>
      </c>
      <c r="G10" t="s">
        <v>29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63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>
        <f t="shared" si="0"/>
        <v>7</v>
      </c>
      <c r="D11" t="s">
        <v>122</v>
      </c>
      <c r="E11">
        <v>1</v>
      </c>
      <c r="F11">
        <v>690</v>
      </c>
      <c r="G11" t="s">
        <v>29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621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>
        <f t="shared" si="0"/>
        <v>8</v>
      </c>
      <c r="D12" t="s">
        <v>100</v>
      </c>
      <c r="E12">
        <v>1</v>
      </c>
      <c r="F12">
        <v>10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>
        <f t="shared" si="0"/>
        <v>9</v>
      </c>
      <c r="D13" t="s">
        <v>123</v>
      </c>
      <c r="E13">
        <v>1</v>
      </c>
      <c r="F13">
        <v>625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625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>
        <f t="shared" si="0"/>
        <v>10</v>
      </c>
      <c r="D14" t="s">
        <v>118</v>
      </c>
      <c r="E14">
        <v>1</v>
      </c>
      <c r="F14">
        <v>36</v>
      </c>
      <c r="G14" t="s">
        <v>29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32.5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>
        <f t="shared" si="0"/>
        <v>11</v>
      </c>
      <c r="D15" t="s">
        <v>124</v>
      </c>
      <c r="E15">
        <v>1</v>
      </c>
      <c r="F15">
        <v>20</v>
      </c>
      <c r="G15" t="s">
        <v>29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>
        <f t="shared" si="0"/>
        <v>12</v>
      </c>
      <c r="D16" t="s">
        <v>125</v>
      </c>
      <c r="E16">
        <v>1</v>
      </c>
      <c r="F16">
        <v>355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355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>
        <f t="shared" si="0"/>
        <v>13</v>
      </c>
      <c r="D17" t="s">
        <v>126</v>
      </c>
      <c r="E17">
        <v>1</v>
      </c>
      <c r="F17">
        <v>75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75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>
        <f t="shared" si="0"/>
        <v>14</v>
      </c>
      <c r="D18" t="s">
        <v>127</v>
      </c>
      <c r="E18">
        <v>1</v>
      </c>
      <c r="F18">
        <v>42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42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>
        <f t="shared" si="0"/>
        <v>15</v>
      </c>
      <c r="D19" t="s">
        <v>128</v>
      </c>
      <c r="E19">
        <v>1</v>
      </c>
      <c r="F19">
        <v>160</v>
      </c>
      <c r="G19" t="s">
        <v>29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144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>
        <f t="shared" si="0"/>
        <v>16</v>
      </c>
      <c r="D20" t="s">
        <v>129</v>
      </c>
      <c r="E20">
        <v>1</v>
      </c>
      <c r="F20">
        <v>65</v>
      </c>
      <c r="G20" t="s">
        <v>29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58.5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>
        <f t="shared" si="0"/>
        <v>17</v>
      </c>
      <c r="D21" t="s">
        <v>130</v>
      </c>
      <c r="E21">
        <v>1</v>
      </c>
      <c r="F21">
        <v>515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515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>
        <f t="shared" si="0"/>
        <v>18</v>
      </c>
      <c r="D22" t="s">
        <v>132</v>
      </c>
      <c r="E22">
        <v>1</v>
      </c>
      <c r="F22">
        <v>700</v>
      </c>
      <c r="G22" t="s">
        <v>29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630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>
        <f t="shared" si="0"/>
        <v>19</v>
      </c>
      <c r="D23" t="s">
        <v>133</v>
      </c>
      <c r="E23">
        <v>1</v>
      </c>
      <c r="F23">
        <v>32</v>
      </c>
      <c r="G23" t="s">
        <v>29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29</v>
      </c>
    </row>
    <row r="24" spans="2:18" ht="15" customHeight="1" x14ac:dyDescent="0.25">
      <c r="B24" s="18">
        <f ca="1">IF(Tabla1[[#This Row],['#]]&lt;&gt;"", NOW(), "")</f>
        <v>46111.774988078701</v>
      </c>
      <c r="C24">
        <f t="shared" si="0"/>
        <v>20</v>
      </c>
      <c r="D24" t="s">
        <v>134</v>
      </c>
      <c r="E24">
        <v>1</v>
      </c>
      <c r="F24">
        <v>90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90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46111.774988078701</v>
      </c>
      <c r="C25">
        <f t="shared" si="0"/>
        <v>21</v>
      </c>
      <c r="D25" t="s">
        <v>135</v>
      </c>
      <c r="E25">
        <v>1</v>
      </c>
      <c r="F25">
        <v>5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46111.774988078701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46111.774988078701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108</v>
      </c>
      <c r="N27" s="15">
        <v>1855</v>
      </c>
      <c r="O27" s="39" t="s">
        <v>109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46111.774988078701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110</v>
      </c>
      <c r="N28" s="15">
        <v>1232</v>
      </c>
      <c r="O28" s="39" t="s">
        <v>109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46111.774988078701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108</v>
      </c>
      <c r="N29" s="15">
        <v>1405</v>
      </c>
      <c r="O29" s="39" t="s">
        <v>112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46111.774988078701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131</v>
      </c>
      <c r="N30" s="15">
        <v>12854</v>
      </c>
      <c r="O30" s="39" t="s">
        <v>112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46111.774988078701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111</v>
      </c>
      <c r="N31" s="15">
        <v>1500</v>
      </c>
      <c r="O31" s="39" t="s">
        <v>112</v>
      </c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46111.774988078701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113</v>
      </c>
      <c r="N32" s="15">
        <v>18846</v>
      </c>
      <c r="O32" s="39" t="s">
        <v>114</v>
      </c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46111.774988078701</v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46111.774988078701</v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46111.774988078701</v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46111.774988078701</v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137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2189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36" t="s">
        <v>157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46111.774988078701</v>
      </c>
      <c r="C5">
        <f t="shared" ref="C5:C68" si="0">IF(ISNUMBER(E5), IF(ISNUMBER(C4), C4+1, 1), "")</f>
        <v>1</v>
      </c>
      <c r="D5" t="s">
        <v>138</v>
      </c>
      <c r="E5">
        <v>1</v>
      </c>
      <c r="F5">
        <v>115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115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>
        <f t="shared" si="0"/>
        <v>2</v>
      </c>
      <c r="D6" t="s">
        <v>139</v>
      </c>
      <c r="E6">
        <v>1</v>
      </c>
      <c r="F6">
        <v>20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>
        <f t="shared" si="0"/>
        <v>3</v>
      </c>
      <c r="D7" t="s">
        <v>140</v>
      </c>
      <c r="E7">
        <v>1</v>
      </c>
      <c r="F7">
        <v>65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65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>
        <f t="shared" si="0"/>
        <v>4</v>
      </c>
      <c r="D8" t="s">
        <v>85</v>
      </c>
      <c r="E8">
        <v>1</v>
      </c>
      <c r="F8">
        <v>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>
        <f t="shared" si="0"/>
        <v>5</v>
      </c>
      <c r="D9" t="s">
        <v>141</v>
      </c>
      <c r="E9">
        <v>1</v>
      </c>
      <c r="F9">
        <v>50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>
        <f t="shared" si="0"/>
        <v>6</v>
      </c>
      <c r="D10" t="s">
        <v>142</v>
      </c>
      <c r="E10">
        <v>1</v>
      </c>
      <c r="F10">
        <v>90</v>
      </c>
      <c r="G10" t="s">
        <v>29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85.5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>
        <f t="shared" si="0"/>
        <v>7</v>
      </c>
      <c r="D11" t="s">
        <v>54</v>
      </c>
      <c r="E11">
        <v>1</v>
      </c>
      <c r="F11">
        <v>75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75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>
        <f t="shared" si="0"/>
        <v>8</v>
      </c>
      <c r="D12" t="s">
        <v>143</v>
      </c>
      <c r="E12">
        <v>1</v>
      </c>
      <c r="F12">
        <v>83</v>
      </c>
      <c r="G12" t="s">
        <v>29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75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>
        <f t="shared" si="0"/>
        <v>9</v>
      </c>
      <c r="D13" t="s">
        <v>144</v>
      </c>
      <c r="E13">
        <v>1</v>
      </c>
      <c r="F13">
        <v>199</v>
      </c>
      <c r="G13" t="s">
        <v>29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179.5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>
        <f t="shared" si="0"/>
        <v>10</v>
      </c>
      <c r="D14" t="s">
        <v>145</v>
      </c>
      <c r="E14">
        <v>1</v>
      </c>
      <c r="F14">
        <v>250</v>
      </c>
      <c r="G14" t="s">
        <v>29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225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>
        <f t="shared" si="0"/>
        <v>11</v>
      </c>
      <c r="D15" t="s">
        <v>134</v>
      </c>
      <c r="E15">
        <v>1</v>
      </c>
      <c r="F15">
        <v>90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90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>
        <f t="shared" si="0"/>
        <v>12</v>
      </c>
      <c r="D16" t="s">
        <v>147</v>
      </c>
      <c r="E16">
        <v>1</v>
      </c>
      <c r="F16">
        <v>41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41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>
        <f t="shared" si="0"/>
        <v>13</v>
      </c>
      <c r="D17" t="s">
        <v>148</v>
      </c>
      <c r="E17">
        <v>1</v>
      </c>
      <c r="F17">
        <v>110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110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>
        <f t="shared" si="0"/>
        <v>14</v>
      </c>
      <c r="D18" t="s">
        <v>141</v>
      </c>
      <c r="E18">
        <v>1</v>
      </c>
      <c r="F18">
        <v>50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50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>
        <f t="shared" si="0"/>
        <v>15</v>
      </c>
      <c r="D19" t="s">
        <v>150</v>
      </c>
      <c r="E19">
        <v>1</v>
      </c>
      <c r="F19">
        <v>15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>
        <f t="shared" si="0"/>
        <v>16</v>
      </c>
      <c r="D20" t="s">
        <v>151</v>
      </c>
      <c r="E20">
        <v>1</v>
      </c>
      <c r="F20">
        <v>41</v>
      </c>
      <c r="G20" t="s">
        <v>29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37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>
        <f t="shared" si="0"/>
        <v>17</v>
      </c>
      <c r="D21" t="s">
        <v>152</v>
      </c>
      <c r="E21">
        <v>1</v>
      </c>
      <c r="F21">
        <v>42</v>
      </c>
      <c r="G21" t="s">
        <v>29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38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>
        <f t="shared" si="0"/>
        <v>18</v>
      </c>
      <c r="D22" t="s">
        <v>153</v>
      </c>
      <c r="E22">
        <v>1</v>
      </c>
      <c r="F22">
        <v>396</v>
      </c>
      <c r="G22" t="s">
        <v>29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356.5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>
        <f t="shared" si="0"/>
        <v>19</v>
      </c>
      <c r="D23" t="s">
        <v>154</v>
      </c>
      <c r="E23">
        <v>1</v>
      </c>
      <c r="F23">
        <v>35</v>
      </c>
      <c r="G23" t="s">
        <v>29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31.5</v>
      </c>
    </row>
    <row r="24" spans="2:18" ht="15" customHeight="1" x14ac:dyDescent="0.25">
      <c r="B24" s="18">
        <f ca="1">IF(Tabla1[[#This Row],['#]]&lt;&gt;"", NOW(), "")</f>
        <v>46111.774988078701</v>
      </c>
      <c r="C24">
        <f t="shared" si="0"/>
        <v>20</v>
      </c>
      <c r="D24" t="s">
        <v>138</v>
      </c>
      <c r="E24">
        <v>1</v>
      </c>
      <c r="F24">
        <v>115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115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46111.774988078701</v>
      </c>
      <c r="C25">
        <f t="shared" si="0"/>
        <v>21</v>
      </c>
      <c r="D25" t="s">
        <v>155</v>
      </c>
      <c r="E25">
        <v>1</v>
      </c>
      <c r="F25">
        <v>225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225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46111.774988078701</v>
      </c>
      <c r="C26">
        <f t="shared" si="0"/>
        <v>22</v>
      </c>
      <c r="D26" t="s">
        <v>156</v>
      </c>
      <c r="E26">
        <v>1</v>
      </c>
      <c r="F26">
        <v>185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185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46111.774988078701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146</v>
      </c>
      <c r="N27" s="15">
        <v>2500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46111.774988078701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 t="s">
        <v>149</v>
      </c>
      <c r="N28" s="15">
        <v>4284</v>
      </c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46111.774988078701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46111.774988078701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46111.774988078701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46111.774988078701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46111.774988078701</v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46111.774988078701</v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46111.774988078701</v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46111.774988078701</v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46111.774988078701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46111.774988078701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46111.774988078701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46111.774988078701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46111.774988078701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46111.774988078701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46111.774988078701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46111.774988078701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46111.774988078701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46111.774988078701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46111.774988078701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46111.774988078701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46111.774988078701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46111.774988078701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46111.774988078701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46111.774988078701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46111.774988078701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46111.774988078701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46111.774988078701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46111.774988078701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46111.774988078701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46111.774988078701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46111.774988078701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46111.774988078701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46111.774988078701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46111.774988078701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46111.774988078701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>
        <f ca="1">IF(Tabla1[[#This Row],['#]]&lt;&gt;"", NOW(), "")</f>
        <v>46111.774988078701</v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>
        <f ca="1">IF(Tabla1[[#This Row],['#]]&lt;&gt;"", NOW(), "")</f>
        <v>46111.774988078701</v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>
        <f ca="1">IF(Tabla1[[#This Row],['#]]&lt;&gt;"", NOW(), "")</f>
        <v>46111.774988078701</v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>
        <f ca="1">IF(Tabla1[[#This Row],['#]]&lt;&gt;"", NOW(), "")</f>
        <v>46111.774988078701</v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23-03-26</vt:lpstr>
      <vt:lpstr>MARTES 24-03-26</vt:lpstr>
      <vt:lpstr>MIERCOLES 25-03-26</vt:lpstr>
      <vt:lpstr>Jueves 26-03-26</vt:lpstr>
      <vt:lpstr>Viernes 27-03-26</vt:lpstr>
      <vt:lpstr>Sabado 28-03-26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2026-03-31T01:00:33Z</dcterms:modified>
</cp:coreProperties>
</file>