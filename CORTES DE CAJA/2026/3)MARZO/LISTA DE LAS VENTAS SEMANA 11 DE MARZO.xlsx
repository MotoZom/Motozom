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2FFB4FCD-5AA7-421E-A6F6-64C4A6F4E1E5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09-03-26" sheetId="1" r:id="rId1"/>
    <sheet name="Martes 10-03-26" sheetId="2" r:id="rId2"/>
    <sheet name="Miercoles 11-03-26" sheetId="3" r:id="rId3"/>
    <sheet name="Jueves 12-03-26" sheetId="4" r:id="rId4"/>
    <sheet name="Viernes 13-03-26" sheetId="5" r:id="rId5"/>
    <sheet name="Sabado 14 -03-26 " sheetId="6" r:id="rId6"/>
    <sheet name="Domingo" sheetId="8" r:id="rId7"/>
    <sheet name="Cambios" sheetId="7" r:id="rId8"/>
  </sheets>
  <definedNames>
    <definedName name="_xlnm._FilterDatabase" localSheetId="0" hidden="1">'Lunes 09-03-26'!$B$4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<sst xmlns="http://schemas.openxmlformats.org/spreadsheetml/2006/main" count="285" uniqueCount="132">
  <si>
    <t>Producto</t>
  </si>
  <si>
    <t>Cantidad</t>
  </si>
  <si>
    <t>Precio</t>
  </si>
  <si>
    <t>Descuento</t>
  </si>
  <si>
    <t>Importa</t>
  </si>
  <si>
    <t>Lunes 01-02-03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</si>
  <si>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</si>
  <si>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</si>
  <si>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</si>
  <si>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</si>
  <si>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</si>
  <si>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</si>
  <si>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</si>
  <si>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</si>
  <si>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</si>
  <si>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</si>
  <si>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</si>
  <si>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</si>
  <si>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</si>
  <si>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</si>
  <si>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</si>
  <si>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</si>
  <si>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</si>
  <si>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</si>
  <si>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</si>
  <si>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</si>
  <si>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BIJIA C7</t>
  </si>
  <si>
    <t xml:space="preserve">CARGADOR DE CELULAR </t>
  </si>
  <si>
    <t>KID DE CILINDRO DE HONDA CARGO 150</t>
  </si>
  <si>
    <t>X</t>
  </si>
  <si>
    <t xml:space="preserve">FOCOS AUXILIARES </t>
  </si>
  <si>
    <t>CENTRIFUJO D125 WAPEMEX</t>
  </si>
  <si>
    <t>BOMBA DE ACEI CARGO 150</t>
  </si>
  <si>
    <t>ACEITE TOP RANCING</t>
  </si>
  <si>
    <t>PASTAS DE CLUTH FT180</t>
  </si>
  <si>
    <t>ACEITE MOTUL 7100 20W-50</t>
  </si>
  <si>
    <t xml:space="preserve">TERMINAL DE BACTERIA </t>
  </si>
  <si>
    <t>TORNILOS DE SPROKET 125</t>
  </si>
  <si>
    <t>BUJIA C7</t>
  </si>
  <si>
    <t>Martes 10 DE MARZO-26</t>
  </si>
  <si>
    <t>GUIAS DE CADENA SZ250 WAPEMEX</t>
  </si>
  <si>
    <t>TAZAS DE DIRECCION YBR125</t>
  </si>
  <si>
    <t>ARNES DE 4 PINES YOG</t>
  </si>
  <si>
    <t xml:space="preserve">TAPON DE INSPECCION </t>
  </si>
  <si>
    <t>GOMAS DE POSAPIE FT125 YOG</t>
  </si>
  <si>
    <t>REGULADOR DE AT110</t>
  </si>
  <si>
    <t>PEDIDO NASAKI</t>
  </si>
  <si>
    <t>CAPUCHON DE BUJIA DS150-</t>
  </si>
  <si>
    <t>FULTRO DE ACEIT FZ2.0</t>
  </si>
  <si>
    <t>BALATA DE DISCO ROKEMAN 250</t>
  </si>
  <si>
    <t>MANIJAS DE LUJO ROJAS</t>
  </si>
  <si>
    <t xml:space="preserve">PUÑOS UNIVERSALES ROJOS </t>
  </si>
  <si>
    <t>CHICOTE DE CLUTH UNIVERSAL</t>
  </si>
  <si>
    <t>MANIUBRIO DE FZ16</t>
  </si>
  <si>
    <t xml:space="preserve">CUENTA SEMANA PASADA $ 25702 MENOS $ 4395 DE PEDIDO DE NASAKI QUEDA $ 21307 </t>
  </si>
  <si>
    <t>Miercoles 11 DE MARZO -26</t>
  </si>
  <si>
    <t>FILTRO DE ACEI GNS125</t>
  </si>
  <si>
    <t>SEGURO DE CADENA 428</t>
  </si>
  <si>
    <t>GUIAS DE CADENA CARGO 150</t>
  </si>
  <si>
    <t xml:space="preserve">TEMINAL DE BACTERIA </t>
  </si>
  <si>
    <t>FOCO DE ESTOP</t>
  </si>
  <si>
    <t>CADENA 520 SENCILLA</t>
  </si>
  <si>
    <t xml:space="preserve">ROTULA INFERIOR ATV </t>
  </si>
  <si>
    <t>PEDAL DE CAMBIOS FT125</t>
  </si>
  <si>
    <t>CHICOTE DE CLUTH FT150</t>
  </si>
  <si>
    <t xml:space="preserve">CADENA 428 ITALIKA </t>
  </si>
  <si>
    <t>KID DECILINDRO DS150</t>
  </si>
  <si>
    <t>GUIA DE CADENA DS150</t>
  </si>
  <si>
    <t>CADENA DE DISTRIBUCCION DS150</t>
  </si>
  <si>
    <t>BUJE DS150</t>
  </si>
  <si>
    <t xml:space="preserve">VLAVULA DE MOROT DS150 ITALIKA </t>
  </si>
  <si>
    <t>TURCA DE SEGURIDAD</t>
  </si>
  <si>
    <t>Jueves 12 DE MARZO-26</t>
  </si>
  <si>
    <t>BALATA DE TAMBOR DS150</t>
  </si>
  <si>
    <t>CLAXON DS150</t>
  </si>
  <si>
    <t>CABEZA DE CILINDRO DS150</t>
  </si>
  <si>
    <t>ACEITE MOTUL 7100-10W-40</t>
  </si>
  <si>
    <t xml:space="preserve">MANGUERA DE GASOLINA </t>
  </si>
  <si>
    <t>CHICOTE DE FRENO TRASERO DS150</t>
  </si>
  <si>
    <t>STIKER</t>
  </si>
  <si>
    <t xml:space="preserve">GUANTES NEGROS </t>
  </si>
  <si>
    <t xml:space="preserve">ACEITE KRON </t>
  </si>
  <si>
    <t>TAPADERA DE BACTERIA WS150</t>
  </si>
  <si>
    <t xml:space="preserve">CABLE SUELTO </t>
  </si>
  <si>
    <t>BALATA DE DISCO DS150</t>
  </si>
  <si>
    <t>RED DE ACIENTO WS150</t>
  </si>
  <si>
    <t>LIQUIQUIDO DE FRENO</t>
  </si>
  <si>
    <t>BOTECITO DE LIQUIDO DE FRENO</t>
  </si>
  <si>
    <t>PILA 12N7 3B QLINK</t>
  </si>
  <si>
    <t>FILTRO DE GASOLINA CARTONN</t>
  </si>
  <si>
    <t>ACIETE AKRON</t>
  </si>
  <si>
    <t>Viernes 13 DE MARZO-26</t>
  </si>
  <si>
    <t>P.NASAKI</t>
  </si>
  <si>
    <t>MARTES 10 DE MARZO-26</t>
  </si>
  <si>
    <t>PAGOYAS</t>
  </si>
  <si>
    <t>VIERNES 13 DE MARZO-26</t>
  </si>
  <si>
    <t xml:space="preserve">TOTAL </t>
  </si>
  <si>
    <t>PUÑOS FT150 YOG</t>
  </si>
  <si>
    <t>MANIJA DERECHA FT125 WAPEMEX</t>
  </si>
  <si>
    <t>ACEITE LUBER</t>
  </si>
  <si>
    <t>BALIRRA DE FRENO FT150</t>
  </si>
  <si>
    <t>CAMARA 3.00.18</t>
  </si>
  <si>
    <t xml:space="preserve">LLANTA 2.75.17 </t>
  </si>
  <si>
    <t>BUJE TRASERO DM200</t>
  </si>
  <si>
    <t>BOMBA TRASERA DE 250SZ</t>
  </si>
  <si>
    <t>SELLO DE ESCAPE FT150</t>
  </si>
  <si>
    <t>ESPEJOS DE DM200</t>
  </si>
  <si>
    <t xml:space="preserve">AUXILIARES </t>
  </si>
  <si>
    <t xml:space="preserve">CABLE SUELTO ROJO </t>
  </si>
  <si>
    <t>SWUITH DE ENCENDIDO WAPEMEX</t>
  </si>
  <si>
    <t>KID DE ARRASTRE 125Z</t>
  </si>
  <si>
    <t>LLANTA 120-80-18 WINMEX</t>
  </si>
  <si>
    <t>TERMINAL DE BACTERIA</t>
  </si>
  <si>
    <t>SUWITH DE ITALIKA FIERA 200</t>
  </si>
  <si>
    <t>POPOTE DE RIND ROJO</t>
  </si>
  <si>
    <t>TAZAS DE DIRECCION CROXMAX 250</t>
  </si>
  <si>
    <t>BRAZO DE CIRCCION CUATRIMOTO</t>
  </si>
  <si>
    <t>BIRLOS DE FT150</t>
  </si>
  <si>
    <t>FILTRO DE GASOLINA CARTON</t>
  </si>
  <si>
    <t xml:space="preserve">TOTAL DE EGRESOS </t>
  </si>
  <si>
    <t>JUNTAS DE MOTOR FT150 WAPEMEX</t>
  </si>
  <si>
    <t>MEDIAS LUNA PARA DT125</t>
  </si>
  <si>
    <r>
      <rPr>
        <b/>
        <sz val="14"/>
        <color theme="1"/>
        <rFont val="Calibri"/>
        <family val="2"/>
        <scheme val="minor"/>
      </rPr>
      <t>CORTES DE LA SEMANA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09 DE MARZO- 26           $25702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$ 2383         MENOS $ 5895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10 DE MARZO-26         $19807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$ 1268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11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$ 1835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12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VENTA$ 2544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13 DE MARZO-26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$ 4212.5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0"/>
        <color theme="1"/>
        <rFont val="Calibri"/>
        <family val="2"/>
        <scheme val="minor"/>
      </rPr>
      <t xml:space="preserve">TOTAL $ 12242.5
TOTAL EN CAJA $32049.5 </t>
    </r>
  </si>
  <si>
    <t>Sabado 14 DE MARZO -26</t>
  </si>
  <si>
    <t>BAYONETA FT150</t>
  </si>
  <si>
    <t>PEDAL DE FRENO TRASERO</t>
  </si>
  <si>
    <t xml:space="preserve">JUNTA DE CABEZA </t>
  </si>
  <si>
    <t xml:space="preserve">CANDADO DE DISCO </t>
  </si>
  <si>
    <t>LLANTA 100-80-21</t>
  </si>
  <si>
    <t xml:space="preserve">LIQUIDO DE FRENO </t>
  </si>
  <si>
    <t>MANDO</t>
  </si>
  <si>
    <t xml:space="preserve">1264 MENOS 300 QUEDA $ 964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</si>
</sst>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3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5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4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23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22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21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20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9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8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1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1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15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14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17" sqref="D17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5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2" t="s">
        <v>18</v>
      </c>
      <c r="K3" s="6">
        <f>SUM(Tabla1[Importa])</f>
        <v>2383</v>
      </c>
      <c r="M3" s="24" t="s">
        <v>7</v>
      </c>
      <c r="N3" s="24"/>
      <c r="O3" s="24"/>
      <c r="P3" s="24"/>
      <c r="Q3" s="24"/>
      <c r="R3" s="24"/>
    </row>
    <row r="4" spans="2:18" ht="31.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19</v>
      </c>
      <c r="K4" s="10">
        <f>COUNTIF(C5:C103,"&gt;0")</f>
        <v>12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46102.81276990741</v>
      </c>
      <c r="C5">
        <f>IF(ISNUMBER(E5), IF(ISNUMBER(C4), C4+1, 1), "")</f>
        <v>1</v>
      </c>
      <c r="D5" t="s">
        <v>26</v>
      </c>
      <c r="E5">
        <v>1</v>
      </c>
      <c r="F5">
        <v>50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50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95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95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>
        <f t="shared" si="0"/>
        <v>3</v>
      </c>
      <c r="D7" t="s">
        <v>28</v>
      </c>
      <c r="E7">
        <v>1</v>
      </c>
      <c r="F7">
        <v>680</v>
      </c>
      <c r="G7" t="s">
        <v>29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612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>
        <f t="shared" si="0"/>
        <v>4</v>
      </c>
      <c r="D8" t="s">
        <v>30</v>
      </c>
      <c r="E8">
        <v>1</v>
      </c>
      <c r="F8">
        <v>362</v>
      </c>
      <c r="G8" t="s">
        <v>29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326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>
        <f t="shared" si="0"/>
        <v>5</v>
      </c>
      <c r="D9" t="s">
        <v>31</v>
      </c>
      <c r="E9">
        <v>1</v>
      </c>
      <c r="F9">
        <v>290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290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>
        <f t="shared" si="0"/>
        <v>6</v>
      </c>
      <c r="D10" t="s">
        <v>32</v>
      </c>
      <c r="E10">
        <v>1</v>
      </c>
      <c r="F10">
        <v>147</v>
      </c>
      <c r="G10" t="s">
        <v>29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132.5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>
        <f t="shared" si="0"/>
        <v>7</v>
      </c>
      <c r="D11" t="s">
        <v>33</v>
      </c>
      <c r="E11">
        <v>1</v>
      </c>
      <c r="F11">
        <v>75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75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>
        <f t="shared" si="0"/>
        <v>8</v>
      </c>
      <c r="D12" t="s">
        <v>34</v>
      </c>
      <c r="E12">
        <v>1</v>
      </c>
      <c r="F12">
        <v>78</v>
      </c>
      <c r="G12" t="s">
        <v>29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70.5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>
        <f t="shared" si="0"/>
        <v>9</v>
      </c>
      <c r="D13" t="s">
        <v>35</v>
      </c>
      <c r="E13">
        <v>2</v>
      </c>
      <c r="F13">
        <v>320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640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>
        <f t="shared" si="0"/>
        <v>10</v>
      </c>
      <c r="D14" t="s">
        <v>36</v>
      </c>
      <c r="E14">
        <v>4</v>
      </c>
      <c r="F14">
        <v>5</v>
      </c>
      <c r="G14" t="s">
        <v>29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18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>
        <f t="shared" si="0"/>
        <v>11</v>
      </c>
      <c r="D15" t="s">
        <v>37</v>
      </c>
      <c r="E15">
        <v>1</v>
      </c>
      <c r="F15">
        <v>24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24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>
        <f t="shared" si="0"/>
        <v>12</v>
      </c>
      <c r="D16" t="s">
        <v>38</v>
      </c>
      <c r="E16">
        <v>1</v>
      </c>
      <c r="F16">
        <v>50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50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/>
      </c>
      <c r="M24" s="19" t="s">
        <v>20</v>
      </c>
      <c r="N24" s="19"/>
      <c r="O24" s="19"/>
      <c r="P24" s="19"/>
      <c r="Q24" s="19"/>
      <c r="R24" s="1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/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/>
      </c>
      <c r="M26" s="38" t="s">
        <v>21</v>
      </c>
      <c r="N26" s="38"/>
      <c r="O26" s="14" t="s">
        <v>22</v>
      </c>
      <c r="P26" s="38" t="s">
        <v>23</v>
      </c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/>
      </c>
      <c r="M27" s="26"/>
      <c r="N27" s="27"/>
      <c r="O27" s="30"/>
      <c r="P27" s="32"/>
      <c r="Q27" s="33"/>
      <c r="R27" s="34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/>
      </c>
      <c r="M28" s="28"/>
      <c r="N28" s="29"/>
      <c r="O28" s="31"/>
      <c r="P28" s="35"/>
      <c r="Q28" s="36"/>
      <c r="R28" s="37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6"/>
      <c r="N29" s="27"/>
      <c r="O29" s="30"/>
      <c r="P29" s="32"/>
      <c r="Q29" s="33"/>
      <c r="R29" s="34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39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" t="s">
        <v>18</v>
      </c>
      <c r="K3" s="6">
        <f>SUM(Tabla110[Importa])</f>
        <v>1268</v>
      </c>
      <c r="M3" s="24" t="s">
        <v>7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13</v>
      </c>
      <c r="M4" s="23" t="s">
        <v>54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46102.81276990741</v>
      </c>
      <c r="C5">
        <f t="shared" ref="C5:C68" si="0">IF(ISNUMBER(E5), IF(ISNUMBER(C4), C4+1, 1), "")</f>
        <v>1</v>
      </c>
      <c r="D5" t="s">
        <v>40</v>
      </c>
      <c r="E5">
        <v>1</v>
      </c>
      <c r="F5">
        <v>60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60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>
        <f t="shared" si="0"/>
        <v>2</v>
      </c>
      <c r="D6" t="s">
        <v>41</v>
      </c>
      <c r="E6">
        <v>1</v>
      </c>
      <c r="F6">
        <v>105</v>
      </c>
      <c r="G6" t="s">
        <v>29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94.5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>
        <f t="shared" si="0"/>
        <v>3</v>
      </c>
      <c r="D7" t="s">
        <v>42</v>
      </c>
      <c r="E7">
        <v>2</v>
      </c>
      <c r="F7">
        <v>32</v>
      </c>
      <c r="G7" t="s">
        <v>29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58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>
        <f t="shared" si="0"/>
        <v>4</v>
      </c>
      <c r="D8" t="s">
        <v>43</v>
      </c>
      <c r="E8">
        <v>1</v>
      </c>
      <c r="F8">
        <v>35</v>
      </c>
      <c r="G8" t="s">
        <v>29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31.5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>
        <f t="shared" si="0"/>
        <v>5</v>
      </c>
      <c r="D9" t="s">
        <v>44</v>
      </c>
      <c r="E9">
        <v>1</v>
      </c>
      <c r="F9">
        <v>47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47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>
        <f t="shared" si="0"/>
        <v>6</v>
      </c>
      <c r="D10" t="s">
        <v>45</v>
      </c>
      <c r="E10">
        <v>1</v>
      </c>
      <c r="F10">
        <v>225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225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>
        <f t="shared" si="0"/>
        <v>7</v>
      </c>
      <c r="D11" t="s">
        <v>47</v>
      </c>
      <c r="E11">
        <v>1</v>
      </c>
      <c r="F11">
        <v>20</v>
      </c>
      <c r="G11" t="s">
        <v>29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18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>
        <f t="shared" si="0"/>
        <v>8</v>
      </c>
      <c r="D12" t="s">
        <v>48</v>
      </c>
      <c r="E12">
        <v>1</v>
      </c>
      <c r="F12">
        <v>32</v>
      </c>
      <c r="G12" t="s">
        <v>29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29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>
        <f t="shared" si="0"/>
        <v>9</v>
      </c>
      <c r="D13" t="s">
        <v>49</v>
      </c>
      <c r="E13">
        <v>1</v>
      </c>
      <c r="F13">
        <v>42</v>
      </c>
      <c r="G13" t="s">
        <v>29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38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>
        <f t="shared" si="0"/>
        <v>10</v>
      </c>
      <c r="D14" t="s">
        <v>50</v>
      </c>
      <c r="E14">
        <v>1</v>
      </c>
      <c r="F14">
        <v>355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355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>
        <f t="shared" si="0"/>
        <v>11</v>
      </c>
      <c r="D15" t="s">
        <v>51</v>
      </c>
      <c r="E15">
        <v>1</v>
      </c>
      <c r="F15">
        <v>85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85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>
        <f t="shared" si="0"/>
        <v>12</v>
      </c>
      <c r="D16" t="s">
        <v>52</v>
      </c>
      <c r="E16">
        <v>1</v>
      </c>
      <c r="F16">
        <v>20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20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53</v>
      </c>
      <c r="E17">
        <v>1</v>
      </c>
      <c r="F17">
        <v>230</v>
      </c>
      <c r="G17" t="s">
        <v>29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207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30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46</v>
      </c>
      <c r="N27" s="15">
        <v>4395</v>
      </c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1" priority="1">
      <formula>C5&gt;0&amp;ISBLANK(B5)</formula>
    </cfRule>
  </conditionalFormatting>
  <conditionalFormatting sqref="D5:D6">
    <cfRule type="expression" dxfId="1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F31" sqref="F3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55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" t="s">
        <v>18</v>
      </c>
      <c r="K3" s="6">
        <f>SUM(Tabla111[Importa])</f>
        <v>1835</v>
      </c>
      <c r="M3" s="24" t="s">
        <v>7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20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46102.81276990741</v>
      </c>
      <c r="C5">
        <f>IF(ISNUMBER(E5), IF(ISNUMBER(C4), C4+1, 1), "")</f>
        <v>1</v>
      </c>
      <c r="D5" t="s">
        <v>56</v>
      </c>
      <c r="E5">
        <v>1</v>
      </c>
      <c r="F5">
        <v>25</v>
      </c>
      <c r="G5" t="s">
        <v>29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22.5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>
        <f t="shared" ref="C6" si="0">IF(ISNUMBER(E6), IF(ISNUMBER(C5), C5+1, 1), "")</f>
        <v>2</v>
      </c>
      <c r="D6" t="s">
        <v>57</v>
      </c>
      <c r="E6">
        <v>1</v>
      </c>
      <c r="F6">
        <v>28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28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>
        <f>IF(ISNUMBER(E7), IF(ISNUMBER(C6), C6+1, 1), "")</f>
        <v>3</v>
      </c>
      <c r="D7" t="s">
        <v>33</v>
      </c>
      <c r="E7">
        <v>1</v>
      </c>
      <c r="F7">
        <v>75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75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>
        <f t="shared" ref="C8:C68" si="1">IF(ISNUMBER(E8), IF(ISNUMBER(C7), C7+1, 1), "")</f>
        <v>4</v>
      </c>
      <c r="D8" t="s">
        <v>58</v>
      </c>
      <c r="E8">
        <v>1</v>
      </c>
      <c r="F8">
        <v>84</v>
      </c>
      <c r="G8" t="s">
        <v>29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76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>
        <f t="shared" si="1"/>
        <v>5</v>
      </c>
      <c r="D9" t="s">
        <v>57</v>
      </c>
      <c r="E9">
        <v>1</v>
      </c>
      <c r="F9">
        <v>15</v>
      </c>
      <c r="G9" t="s">
        <v>29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13.5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>
        <f t="shared" si="1"/>
        <v>6</v>
      </c>
      <c r="D10" t="s">
        <v>59</v>
      </c>
      <c r="E10">
        <v>2</v>
      </c>
      <c r="F10">
        <v>5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>
        <f t="shared" si="1"/>
        <v>7</v>
      </c>
      <c r="D11" t="s">
        <v>60</v>
      </c>
      <c r="E11">
        <v>1</v>
      </c>
      <c r="F11">
        <v>20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20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>
        <f t="shared" si="1"/>
        <v>8</v>
      </c>
      <c r="D12" t="s">
        <v>60</v>
      </c>
      <c r="E12">
        <v>1</v>
      </c>
      <c r="F12">
        <v>20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>
        <f t="shared" si="1"/>
        <v>9</v>
      </c>
      <c r="D13" t="s">
        <v>61</v>
      </c>
      <c r="E13">
        <v>1</v>
      </c>
      <c r="F13">
        <v>294</v>
      </c>
      <c r="G13" t="s">
        <v>29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265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>
        <f t="shared" si="1"/>
        <v>10</v>
      </c>
      <c r="D14" t="s">
        <v>62</v>
      </c>
      <c r="E14">
        <v>1</v>
      </c>
      <c r="F14">
        <v>263</v>
      </c>
      <c r="G14" t="s">
        <v>29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237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>
        <f t="shared" si="1"/>
        <v>11</v>
      </c>
      <c r="D15" t="s">
        <v>63</v>
      </c>
      <c r="E15">
        <v>1</v>
      </c>
      <c r="F15">
        <v>87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87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>
        <f t="shared" si="1"/>
        <v>12</v>
      </c>
      <c r="D16" t="s">
        <v>64</v>
      </c>
      <c r="E16">
        <v>1</v>
      </c>
      <c r="F16">
        <v>35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35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1"/>
        <v>13</v>
      </c>
      <c r="D17" t="s">
        <v>65</v>
      </c>
      <c r="E17">
        <v>1</v>
      </c>
      <c r="F17">
        <v>197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197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1"/>
        <v>14</v>
      </c>
      <c r="D18" t="s">
        <v>66</v>
      </c>
      <c r="E18">
        <v>1</v>
      </c>
      <c r="F18">
        <v>495</v>
      </c>
      <c r="G18" t="s">
        <v>29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445.5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1"/>
        <v>15</v>
      </c>
      <c r="D19" t="s">
        <v>67</v>
      </c>
      <c r="E19">
        <v>1</v>
      </c>
      <c r="F19">
        <v>47</v>
      </c>
      <c r="G19" t="s">
        <v>29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42.5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1"/>
        <v>16</v>
      </c>
      <c r="D20" t="s">
        <v>68</v>
      </c>
      <c r="E20">
        <v>1</v>
      </c>
      <c r="F20">
        <v>68</v>
      </c>
      <c r="G20" t="s">
        <v>29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61.5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1"/>
        <v>17</v>
      </c>
      <c r="D21" t="s">
        <v>69</v>
      </c>
      <c r="E21">
        <v>1</v>
      </c>
      <c r="F21">
        <v>25</v>
      </c>
      <c r="G21" t="s">
        <v>29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22.5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1"/>
        <v>18</v>
      </c>
      <c r="D22" t="s">
        <v>70</v>
      </c>
      <c r="E22">
        <v>1</v>
      </c>
      <c r="F22">
        <v>93</v>
      </c>
      <c r="G22" t="s">
        <v>29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84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1"/>
        <v>19</v>
      </c>
      <c r="D23" t="s">
        <v>33</v>
      </c>
      <c r="E23">
        <v>1</v>
      </c>
      <c r="F23">
        <v>75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75</v>
      </c>
    </row>
    <row r="24" spans="2:18" ht="15" customHeight="1" x14ac:dyDescent="0.25">
      <c r="B24" s="18" t="str">
        <f ca="1">IF(Tabla1[[#This Row],['#]]&lt;&gt;"", NOW(), "")</f>
        <v/>
      </c>
      <c r="C24">
        <f t="shared" si="1"/>
        <v>20</v>
      </c>
      <c r="D24" t="s">
        <v>71</v>
      </c>
      <c r="E24">
        <v>1</v>
      </c>
      <c r="F24">
        <v>20</v>
      </c>
      <c r="G24" t="s">
        <v>29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18</v>
      </c>
      <c r="M24" s="19" t="s">
        <v>20</v>
      </c>
      <c r="N24" s="39"/>
      <c r="O24" s="39"/>
      <c r="P24" s="39"/>
      <c r="Q24" s="39"/>
      <c r="R24" s="39"/>
    </row>
    <row r="25" spans="2:18" x14ac:dyDescent="0.25">
      <c r="B25" s="18" t="str">
        <f ca="1">IF(Tabla1[[#This Row],['#]]&lt;&gt;"", NOW(), "")</f>
        <v/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x14ac:dyDescent="0.25">
      <c r="B27" s="18" t="str">
        <f ca="1">IF(Tabla1[[#This Row],['#]]&lt;&gt;"", NOW(), "")</f>
        <v/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x14ac:dyDescent="0.25">
      <c r="B28" s="18" t="str">
        <f ca="1">IF(Tabla1[[#This Row],['#]]&lt;&gt;"", NOW(), "")</f>
        <v/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24" sqref="D2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72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" t="s">
        <v>18</v>
      </c>
      <c r="K3" s="6">
        <f>SUM(Tabla112[Importa])</f>
        <v>2544</v>
      </c>
      <c r="M3" s="24" t="s">
        <v>7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19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46102.81276990741</v>
      </c>
      <c r="C5">
        <f t="shared" ref="C5:C68" si="0">IF(ISNUMBER(E5), IF(ISNUMBER(C4), C4+1, 1), "")</f>
        <v>1</v>
      </c>
      <c r="D5" t="s">
        <v>73</v>
      </c>
      <c r="E5">
        <v>1</v>
      </c>
      <c r="F5">
        <v>96</v>
      </c>
      <c r="G5" t="s">
        <v>29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86.5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>
        <f t="shared" si="0"/>
        <v>2</v>
      </c>
      <c r="D6" t="s">
        <v>74</v>
      </c>
      <c r="E6">
        <v>1</v>
      </c>
      <c r="F6">
        <v>50</v>
      </c>
      <c r="G6" t="s">
        <v>29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45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>
        <f t="shared" si="0"/>
        <v>3</v>
      </c>
      <c r="D7" t="s">
        <v>75</v>
      </c>
      <c r="E7">
        <v>1</v>
      </c>
      <c r="F7">
        <v>525</v>
      </c>
      <c r="G7" t="s">
        <v>29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472.5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>
        <f t="shared" si="0"/>
        <v>4</v>
      </c>
      <c r="D8" t="s">
        <v>76</v>
      </c>
      <c r="E8">
        <v>1</v>
      </c>
      <c r="F8">
        <v>280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280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>
        <f t="shared" si="0"/>
        <v>5</v>
      </c>
      <c r="D9" t="s">
        <v>77</v>
      </c>
      <c r="E9">
        <v>2</v>
      </c>
      <c r="F9">
        <v>30</v>
      </c>
      <c r="G9" t="s">
        <v>29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54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>
        <f t="shared" si="0"/>
        <v>6</v>
      </c>
      <c r="D10" t="s">
        <v>78</v>
      </c>
      <c r="E10">
        <v>1</v>
      </c>
      <c r="F10">
        <v>68</v>
      </c>
      <c r="G10" t="s">
        <v>29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61.5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>
        <f t="shared" si="0"/>
        <v>7</v>
      </c>
      <c r="D11" t="s">
        <v>79</v>
      </c>
      <c r="E11">
        <v>1</v>
      </c>
      <c r="F11">
        <v>5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>
        <f t="shared" si="0"/>
        <v>8</v>
      </c>
      <c r="D12" t="s">
        <v>80</v>
      </c>
      <c r="E12">
        <v>1</v>
      </c>
      <c r="F12">
        <v>185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185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>
        <f t="shared" si="0"/>
        <v>9</v>
      </c>
      <c r="D13" t="s">
        <v>81</v>
      </c>
      <c r="E13">
        <v>1</v>
      </c>
      <c r="F13">
        <v>117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117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>
        <f t="shared" si="0"/>
        <v>10</v>
      </c>
      <c r="D14" t="s">
        <v>82</v>
      </c>
      <c r="E14">
        <v>1</v>
      </c>
      <c r="F14">
        <v>55</v>
      </c>
      <c r="G14" t="s">
        <v>29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49.5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>
        <f t="shared" si="0"/>
        <v>11</v>
      </c>
      <c r="D15" t="s">
        <v>83</v>
      </c>
      <c r="E15">
        <v>4</v>
      </c>
      <c r="F15">
        <v>8</v>
      </c>
      <c r="G15" t="s">
        <v>29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29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>
        <f t="shared" si="0"/>
        <v>12</v>
      </c>
      <c r="D16" t="s">
        <v>84</v>
      </c>
      <c r="E16">
        <v>2</v>
      </c>
      <c r="F16">
        <v>36</v>
      </c>
      <c r="G16" t="s">
        <v>29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65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85</v>
      </c>
      <c r="E17">
        <v>1</v>
      </c>
      <c r="F17">
        <v>115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115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86</v>
      </c>
      <c r="E18">
        <v>1</v>
      </c>
      <c r="F18">
        <v>55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55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87</v>
      </c>
      <c r="E19">
        <v>1</v>
      </c>
      <c r="F19">
        <v>130</v>
      </c>
      <c r="H19" s="5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>130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88</v>
      </c>
      <c r="E20">
        <v>1</v>
      </c>
      <c r="F20">
        <v>700</v>
      </c>
      <c r="G20" t="s">
        <v>29</v>
      </c>
      <c r="H20" s="5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>630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38</v>
      </c>
      <c r="E21">
        <v>1</v>
      </c>
      <c r="F21">
        <v>50</v>
      </c>
      <c r="G21" t="s">
        <v>29</v>
      </c>
      <c r="H21" s="5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>45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89</v>
      </c>
      <c r="E22">
        <v>1</v>
      </c>
      <c r="F22">
        <v>15</v>
      </c>
      <c r="G22" t="s">
        <v>29</v>
      </c>
      <c r="H22" s="5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>13.5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90</v>
      </c>
      <c r="E23">
        <v>1</v>
      </c>
      <c r="F23">
        <v>117</v>
      </c>
      <c r="G23" t="s">
        <v>29</v>
      </c>
      <c r="H23" s="5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>105.5</v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7" priority="1">
      <formula>C5&gt;0&amp;ISBLANK(B5)</formula>
    </cfRule>
  </conditionalFormatting>
  <conditionalFormatting sqref="D5:D6">
    <cfRule type="expression" dxfId="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zoomScale="112" zoomScaleNormal="112" workbookViewId="0">
      <selection activeCell="D28" sqref="D2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91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" t="s">
        <v>18</v>
      </c>
      <c r="K3" s="6">
        <f>SUM(Tabla113[Importa])</f>
        <v>4212.5</v>
      </c>
      <c r="M3" s="24" t="s">
        <v>7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24</v>
      </c>
      <c r="M4" s="23" t="s">
        <v>122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46102.81276990741</v>
      </c>
      <c r="C5">
        <f t="shared" ref="C5:C68" si="0">IF(ISNUMBER(E5), IF(ISNUMBER(C4), C4+1, 1), "")</f>
        <v>1</v>
      </c>
      <c r="D5" t="s">
        <v>97</v>
      </c>
      <c r="E5">
        <v>1</v>
      </c>
      <c r="F5">
        <v>65</v>
      </c>
      <c r="G5" t="s">
        <v>29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58.5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>
        <f t="shared" si="0"/>
        <v>2</v>
      </c>
      <c r="D6" t="s">
        <v>98</v>
      </c>
      <c r="E6">
        <v>1</v>
      </c>
      <c r="F6">
        <v>70</v>
      </c>
      <c r="G6" t="s">
        <v>29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63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>
        <f t="shared" si="0"/>
        <v>3</v>
      </c>
      <c r="D7" t="s">
        <v>99</v>
      </c>
      <c r="E7">
        <v>1</v>
      </c>
      <c r="F7">
        <v>90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90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>
        <f t="shared" si="0"/>
        <v>4</v>
      </c>
      <c r="D8" t="s">
        <v>100</v>
      </c>
      <c r="E8">
        <v>1</v>
      </c>
      <c r="F8">
        <v>30</v>
      </c>
      <c r="G8" t="s">
        <v>29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27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>
        <f t="shared" si="0"/>
        <v>5</v>
      </c>
      <c r="D9" t="s">
        <v>101</v>
      </c>
      <c r="E9">
        <v>1</v>
      </c>
      <c r="F9">
        <v>65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65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>
        <f t="shared" si="0"/>
        <v>6</v>
      </c>
      <c r="D10" t="s">
        <v>102</v>
      </c>
      <c r="E10">
        <v>1</v>
      </c>
      <c r="F10">
        <v>399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399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>
        <f t="shared" si="0"/>
        <v>7</v>
      </c>
      <c r="D11" t="s">
        <v>103</v>
      </c>
      <c r="E11">
        <v>1</v>
      </c>
      <c r="F11">
        <v>72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72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>
        <f t="shared" si="0"/>
        <v>8</v>
      </c>
      <c r="D12" t="s">
        <v>104</v>
      </c>
      <c r="E12">
        <v>1</v>
      </c>
      <c r="F12">
        <v>200</v>
      </c>
      <c r="G12" t="s">
        <v>29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180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>
        <f t="shared" si="0"/>
        <v>9</v>
      </c>
      <c r="D13" t="s">
        <v>105</v>
      </c>
      <c r="E13">
        <v>3</v>
      </c>
      <c r="F13">
        <v>10</v>
      </c>
      <c r="G13" t="s">
        <v>29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27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>
        <f t="shared" si="0"/>
        <v>10</v>
      </c>
      <c r="D14" t="s">
        <v>106</v>
      </c>
      <c r="E14">
        <v>1</v>
      </c>
      <c r="F14">
        <v>150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150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>
        <f t="shared" si="0"/>
        <v>11</v>
      </c>
      <c r="D15" t="s">
        <v>107</v>
      </c>
      <c r="E15">
        <v>1</v>
      </c>
      <c r="F15">
        <v>362</v>
      </c>
      <c r="G15" t="s">
        <v>29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326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>
        <f t="shared" si="0"/>
        <v>12</v>
      </c>
      <c r="D16" t="s">
        <v>108</v>
      </c>
      <c r="E16">
        <v>4</v>
      </c>
      <c r="F16">
        <v>8</v>
      </c>
      <c r="G16" t="s">
        <v>29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29</v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>
        <f t="shared" si="0"/>
        <v>13</v>
      </c>
      <c r="D17" t="s">
        <v>109</v>
      </c>
      <c r="E17">
        <v>2</v>
      </c>
      <c r="F17">
        <v>52</v>
      </c>
      <c r="G17" t="s">
        <v>29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94</v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>
        <f t="shared" si="0"/>
        <v>14</v>
      </c>
      <c r="D18" t="s">
        <v>110</v>
      </c>
      <c r="E18">
        <v>1</v>
      </c>
      <c r="F18">
        <v>356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356</v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>
        <f t="shared" si="0"/>
        <v>15</v>
      </c>
      <c r="D19" t="s">
        <v>111</v>
      </c>
      <c r="E19">
        <v>1</v>
      </c>
      <c r="F19">
        <v>1200</v>
      </c>
      <c r="G19" t="s">
        <v>29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1080</v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>
        <f t="shared" si="0"/>
        <v>16</v>
      </c>
      <c r="D20" t="s">
        <v>112</v>
      </c>
      <c r="E20">
        <v>2</v>
      </c>
      <c r="F20">
        <v>5</v>
      </c>
      <c r="G20" t="s">
        <v>29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9</v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>
        <f t="shared" si="0"/>
        <v>17</v>
      </c>
      <c r="D21" t="s">
        <v>113</v>
      </c>
      <c r="E21">
        <v>1</v>
      </c>
      <c r="F21">
        <v>500</v>
      </c>
      <c r="G21" t="s">
        <v>29</v>
      </c>
      <c r="H21" s="5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>450</v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>
        <f t="shared" si="0"/>
        <v>18</v>
      </c>
      <c r="D22" t="s">
        <v>114</v>
      </c>
      <c r="E22">
        <v>1</v>
      </c>
      <c r="F22">
        <v>70</v>
      </c>
      <c r="H22" s="5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>70</v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>
        <f t="shared" si="0"/>
        <v>19</v>
      </c>
      <c r="D23" t="s">
        <v>115</v>
      </c>
      <c r="E23">
        <v>1</v>
      </c>
      <c r="F23">
        <v>177</v>
      </c>
      <c r="H23" s="5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>177</v>
      </c>
    </row>
    <row r="24" spans="2:18" ht="15" customHeight="1" x14ac:dyDescent="0.25">
      <c r="B24" s="18" t="str">
        <f ca="1">IF(Tabla1[[#This Row],['#]]&lt;&gt;"", NOW(), "")</f>
        <v/>
      </c>
      <c r="C24">
        <f t="shared" si="0"/>
        <v>20</v>
      </c>
      <c r="D24" t="s">
        <v>116</v>
      </c>
      <c r="E24">
        <v>1</v>
      </c>
      <c r="F24">
        <v>300</v>
      </c>
      <c r="H24" s="5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>300</v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>
        <f t="shared" si="0"/>
        <v>21</v>
      </c>
      <c r="D25" t="s">
        <v>117</v>
      </c>
      <c r="E25">
        <v>1</v>
      </c>
      <c r="F25">
        <v>25</v>
      </c>
      <c r="H25" s="5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>25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>
        <f t="shared" si="0"/>
        <v>22</v>
      </c>
      <c r="D26" t="s">
        <v>118</v>
      </c>
      <c r="E26">
        <v>1</v>
      </c>
      <c r="F26">
        <v>15</v>
      </c>
      <c r="H26" s="5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>15</v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>
        <f t="shared" si="0"/>
        <v>23</v>
      </c>
      <c r="D27" t="s">
        <v>120</v>
      </c>
      <c r="E27">
        <v>1</v>
      </c>
      <c r="F27">
        <v>75</v>
      </c>
      <c r="H27" s="5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>75</v>
      </c>
      <c r="M27" s="13" t="s">
        <v>92</v>
      </c>
      <c r="N27" s="15">
        <v>4395</v>
      </c>
      <c r="O27" s="40" t="s">
        <v>93</v>
      </c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>
        <f t="shared" si="0"/>
        <v>24</v>
      </c>
      <c r="D28" t="s">
        <v>121</v>
      </c>
      <c r="E28">
        <v>1</v>
      </c>
      <c r="F28">
        <v>75</v>
      </c>
      <c r="H28" s="5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>75</v>
      </c>
      <c r="M28" s="13" t="s">
        <v>94</v>
      </c>
      <c r="N28" s="15">
        <v>1500</v>
      </c>
      <c r="O28" s="40" t="s">
        <v>95</v>
      </c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96</v>
      </c>
      <c r="N29" s="15">
        <v>5895</v>
      </c>
      <c r="O29" s="40" t="s">
        <v>119</v>
      </c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123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" t="s">
        <v>18</v>
      </c>
      <c r="K3" s="6">
        <f>SUM(Tabla114[Importa])</f>
        <v>1264</v>
      </c>
      <c r="M3" s="24" t="s">
        <v>7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7</v>
      </c>
      <c r="M4" s="23" t="s">
        <v>131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46102.81276990741</v>
      </c>
      <c r="C5">
        <f t="shared" ref="C5:C68" si="0">IF(ISNUMBER(E5), IF(ISNUMBER(C4), C4+1, 1), "")</f>
        <v>1</v>
      </c>
      <c r="D5" t="s">
        <v>124</v>
      </c>
      <c r="E5">
        <v>1</v>
      </c>
      <c r="F5">
        <v>20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20</v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>
        <f t="shared" si="0"/>
        <v>2</v>
      </c>
      <c r="D6" t="s">
        <v>125</v>
      </c>
      <c r="E6">
        <v>1</v>
      </c>
      <c r="F6">
        <v>130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130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>
        <f t="shared" si="0"/>
        <v>3</v>
      </c>
      <c r="D7" t="s">
        <v>126</v>
      </c>
      <c r="E7">
        <v>1</v>
      </c>
      <c r="F7">
        <v>35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35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>
        <f t="shared" si="0"/>
        <v>4</v>
      </c>
      <c r="D8" t="s">
        <v>127</v>
      </c>
      <c r="E8">
        <v>1</v>
      </c>
      <c r="F8">
        <v>180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180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>
        <f t="shared" si="0"/>
        <v>5</v>
      </c>
      <c r="D9" t="s">
        <v>128</v>
      </c>
      <c r="E9">
        <v>1</v>
      </c>
      <c r="F9">
        <v>700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700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>
        <f t="shared" si="0"/>
        <v>6</v>
      </c>
      <c r="D10" t="s">
        <v>129</v>
      </c>
      <c r="E10">
        <v>2</v>
      </c>
      <c r="F10">
        <v>55</v>
      </c>
      <c r="G10" t="s">
        <v>29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99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>
        <f t="shared" si="0"/>
        <v>7</v>
      </c>
      <c r="D11" t="s">
        <v>130</v>
      </c>
      <c r="E11">
        <v>1</v>
      </c>
      <c r="F11">
        <v>100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100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 t="str">
        <f t="shared" si="0"/>
        <v/>
      </c>
      <c r="H12" s="5" t="str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 t="str">
        <f t="shared" si="0"/>
        <v/>
      </c>
      <c r="H13" s="5" t="str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 t="str">
        <f t="shared" si="0"/>
        <v/>
      </c>
      <c r="H14" s="5" t="str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 t="str">
        <f t="shared" si="0"/>
        <v/>
      </c>
      <c r="H15" s="5" t="str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 t="str">
        <f t="shared" si="0"/>
        <v/>
      </c>
      <c r="H16" s="5" t="str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3" priority="1">
      <formula>C5&gt;0&amp;ISBLANK(B5)</formula>
    </cfRule>
  </conditionalFormatting>
  <conditionalFormatting sqref="D5:D6">
    <cfRule type="expression" dxfId="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15</v>
      </c>
      <c r="D2" s="21"/>
      <c r="E2" s="22"/>
      <c r="F2" s="22"/>
      <c r="G2" s="22"/>
      <c r="H2" s="22"/>
      <c r="L2" s="8"/>
      <c r="M2" s="21" t="s">
        <v>6</v>
      </c>
      <c r="N2" s="22"/>
      <c r="O2" s="22"/>
      <c r="P2" s="22"/>
      <c r="Q2" s="22"/>
      <c r="R2" s="22"/>
    </row>
    <row r="3" spans="2:18" ht="26.25" x14ac:dyDescent="0.4">
      <c r="G3" t="s">
        <v>8</v>
      </c>
      <c r="J3" s="1" t="s">
        <v>18</v>
      </c>
      <c r="K3" s="6">
        <f>SUM(Tabla115[Importa])</f>
        <v>0</v>
      </c>
      <c r="M3" s="24" t="s">
        <v>7</v>
      </c>
      <c r="N3" s="24"/>
      <c r="O3" s="24"/>
      <c r="P3" s="24"/>
      <c r="Q3" s="24"/>
      <c r="R3" s="24"/>
    </row>
    <row r="4" spans="2:18" ht="33.75" x14ac:dyDescent="0.5">
      <c r="B4" s="17" t="s">
        <v>24</v>
      </c>
      <c r="C4" t="s">
        <v>16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19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12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46102.81276990741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46102.81276990741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46102.81276990741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46102.81276990741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46102.81276990741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46102.81276990741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46102.81276990741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46102.81276990741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46102.81276990741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46102.81276990741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46102.81276990741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 t="str">
        <f ca="1">IF(Tabla1[[#This Row],['#]]&lt;&gt;"", NOW(), "")</f>
        <v/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 t="str">
        <f ca="1">IF(Tabla1[[#This Row],['#]]&lt;&gt;"", NOW(), "")</f>
        <v/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 t="str">
        <f ca="1">IF(Tabla1[[#This Row],['#]]&lt;&gt;"", NOW(), "")</f>
        <v/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 t="str">
        <f ca="1">IF(Tabla1[[#This Row],['#]]&lt;&gt;"", NOW(), "")</f>
        <v/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 t="str">
        <f ca="1">IF(Tabla1[[#This Row],['#]]&lt;&gt;"", NOW(), "")</f>
        <v/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 t="str">
        <f ca="1">IF(Tabla1[[#This Row],['#]]&lt;&gt;"", NOW(), "")</f>
        <v/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 t="str">
        <f ca="1">IF(Tabla1[[#This Row],['#]]&lt;&gt;"", NOW(), "")</f>
        <v/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 t="str">
        <f ca="1">IF(Tabla1[[#This Row],['#]]&lt;&gt;"", NOW(), "")</f>
        <v/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20</v>
      </c>
      <c r="N24" s="39"/>
      <c r="O24" s="39"/>
      <c r="P24" s="39"/>
      <c r="Q24" s="39"/>
      <c r="R24" s="39"/>
    </row>
    <row r="25" spans="2:18" ht="15" customHeight="1" x14ac:dyDescent="0.25">
      <c r="B25" s="18" t="str">
        <f ca="1">IF(Tabla1[[#This Row],['#]]&lt;&gt;"", NOW(), "")</f>
        <v/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 t="str">
        <f ca="1">IF(Tabla1[[#This Row],['#]]&lt;&gt;"", NOW(), "")</f>
        <v/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21</v>
      </c>
      <c r="N26" s="14" t="s">
        <v>22</v>
      </c>
      <c r="O26" s="38" t="s">
        <v>23</v>
      </c>
      <c r="P26" s="38"/>
      <c r="Q26" s="38"/>
      <c r="R26" s="38"/>
    </row>
    <row r="27" spans="2:18" ht="15" customHeight="1" x14ac:dyDescent="0.25">
      <c r="B27" s="18" t="str">
        <f ca="1">IF(Tabla1[[#This Row],['#]]&lt;&gt;"", NOW(), "")</f>
        <v/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 t="str">
        <f ca="1">IF(Tabla1[[#This Row],['#]]&lt;&gt;"", NOW(), "")</f>
        <v/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9</v>
      </c>
      <c r="C3" t="s">
        <v>10</v>
      </c>
      <c r="D3" t="s">
        <v>11</v>
      </c>
    </row>
    <row r="4" spans="2:5" ht="30" x14ac:dyDescent="0.25">
      <c r="B4" s="4" t="s">
        <v>13</v>
      </c>
      <c r="C4" s="2">
        <v>45576</v>
      </c>
      <c r="D4" s="3">
        <v>1.1000000000000001</v>
      </c>
      <c r="E4" s="3"/>
    </row>
    <row r="5" spans="2:5" ht="45" x14ac:dyDescent="0.25">
      <c r="B5" s="7" t="s">
        <v>17</v>
      </c>
      <c r="C5" s="3" t="s">
        <v>14</v>
      </c>
      <c r="D5" s="3">
        <v>1.2</v>
      </c>
      <c r="E5" s="3"/>
    </row>
    <row r="6" spans="2:5" ht="30" x14ac:dyDescent="0.25">
      <c r="B6" s="7" t="s">
        <v>25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09-03-26</vt:lpstr>
      <vt:lpstr>Martes 10-03-26</vt:lpstr>
      <vt:lpstr>Miercoles 11-03-26</vt:lpstr>
      <vt:lpstr>Jueves 12-03-26</vt:lpstr>
      <vt:lpstr>Viernes 13-03-26</vt:lpstr>
      <vt:lpstr>Sabado 14 -03-26 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2026-03-22T01:31:04Z</dcterms:modified>
</cp:coreProperties>
</file>