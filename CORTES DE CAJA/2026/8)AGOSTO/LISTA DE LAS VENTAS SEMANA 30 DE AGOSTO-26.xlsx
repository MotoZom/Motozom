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187A1160-2E70-45F9-B0B9-A817E14F5771}" xr6:coauthVersionLast="47" xr6:coauthVersionMax="47" xr10:uidLastSave="{00000000-0000-0000-0000-000000000000}"/>
  <bookViews>
    <workbookView xWindow="-120" yWindow="-120" windowWidth="29040" windowHeight="17640" activeTab="5" xr2:uid="{00000000-000D-0000-FFFF-FFFF00000000}"/>
  </bookViews>
  <sheets>
    <sheet name="Lunes 17-08-26" sheetId="1" r:id="rId1"/>
    <sheet name="Martes 18-08-26" sheetId="2" r:id="rId2"/>
    <sheet name="Miercoles 19-08-26" sheetId="3" r:id="rId3"/>
    <sheet name="Jueves 20-08-26" sheetId="4" r:id="rId4"/>
    <sheet name="VIERNES 21 -08-26" sheetId="5" r:id="rId5"/>
    <sheet name="Sabado 22-08-26" sheetId="6" r:id="rId6"/>
    <sheet name="Domingo" sheetId="8" r:id="rId7"/>
    <sheet name="Cambios" sheetId="7" r:id="rId8"/>
  </sheets>
  <definedNames>
    <definedName name="_xlnm._FilterDatabase" localSheetId="0" hidden="1">'Lunes 17-08-26'!$B$4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3" l="1"/>
  <c r="B5" i="3" s="1"/>
  <c r="H5" i="2"/>
  <c r="H7" i="1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C5" i="1" l="1"/>
  <c r="C5" i="2"/>
  <c r="B5" i="2" s="1"/>
  <c r="C6" i="2"/>
  <c r="C6" i="3"/>
  <c r="C7" i="3"/>
  <c r="C5" i="4"/>
  <c r="B5" i="4" s="1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K3" i="8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B5" i="6" s="1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6" i="5"/>
  <c r="C7" i="5" s="1"/>
  <c r="K3" i="5"/>
  <c r="C5" i="5"/>
  <c r="B5" i="5" s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1"/>
  <c r="B6" i="2" s="1"/>
  <c r="C7" i="1"/>
  <c r="B7" i="2" s="1"/>
  <c r="C8" i="1"/>
  <c r="B8" i="2" s="1"/>
  <c r="C11" i="1"/>
  <c r="B11" i="2" s="1"/>
  <c r="C12" i="1"/>
  <c r="B12" i="2" s="1"/>
  <c r="C13" i="1"/>
  <c r="B13" i="2" s="1"/>
  <c r="C14" i="1"/>
  <c r="B14" i="2" s="1"/>
  <c r="C15" i="1"/>
  <c r="B15" i="2" s="1"/>
  <c r="C16" i="1"/>
  <c r="B16" i="2" s="1"/>
  <c r="C17" i="1"/>
  <c r="B17" i="2" s="1"/>
  <c r="C18" i="1"/>
  <c r="B18" i="2" s="1"/>
  <c r="C19" i="1"/>
  <c r="B19" i="2" s="1"/>
  <c r="C20" i="1"/>
  <c r="B20" i="2" s="1"/>
  <c r="C21" i="1"/>
  <c r="B21" i="2" s="1"/>
  <c r="B22" i="2"/>
  <c r="C23" i="1"/>
  <c r="B23" i="2" s="1"/>
  <c r="C24" i="1"/>
  <c r="B24" i="2" s="1"/>
  <c r="C25" i="1"/>
  <c r="B25" i="2" s="1"/>
  <c r="C26" i="1"/>
  <c r="B26" i="2" s="1"/>
  <c r="C27" i="1"/>
  <c r="B27" i="2" s="1"/>
  <c r="C28" i="1"/>
  <c r="B28" i="2" s="1"/>
  <c r="C29" i="1"/>
  <c r="B29" i="2" s="1"/>
  <c r="C30" i="1"/>
  <c r="B30" i="2" s="1"/>
  <c r="C31" i="1"/>
  <c r="B31" i="2" s="1"/>
  <c r="C32" i="1"/>
  <c r="B32" i="2" s="1"/>
  <c r="C33" i="1"/>
  <c r="B33" i="2" s="1"/>
  <c r="C34" i="1"/>
  <c r="B34" i="2" s="1"/>
  <c r="C35" i="1"/>
  <c r="B35" i="2" s="1"/>
  <c r="C36" i="1"/>
  <c r="B36" i="2" s="1"/>
  <c r="C37" i="1"/>
  <c r="B37" i="2" s="1"/>
  <c r="C38" i="1"/>
  <c r="B38" i="2" s="1"/>
  <c r="C39" i="1"/>
  <c r="B39" i="2" s="1"/>
  <c r="C40" i="1"/>
  <c r="B40" i="2" s="1"/>
  <c r="C41" i="1"/>
  <c r="B41" i="2" s="1"/>
  <c r="C42" i="1"/>
  <c r="B42" i="2" s="1"/>
  <c r="C43" i="1"/>
  <c r="B43" i="2" s="1"/>
  <c r="C44" i="1"/>
  <c r="B44" i="2" s="1"/>
  <c r="C45" i="1"/>
  <c r="B45" i="2" s="1"/>
  <c r="C46" i="1"/>
  <c r="B46" i="2" s="1"/>
  <c r="C47" i="1"/>
  <c r="B47" i="2" s="1"/>
  <c r="C48" i="1"/>
  <c r="B48" i="2" s="1"/>
  <c r="C49" i="1"/>
  <c r="B49" i="2" s="1"/>
  <c r="C50" i="1"/>
  <c r="B50" i="2" s="1"/>
  <c r="C51" i="1"/>
  <c r="B51" i="2" s="1"/>
  <c r="C52" i="1"/>
  <c r="B52" i="2" s="1"/>
  <c r="C53" i="1"/>
  <c r="B53" i="2" s="1"/>
  <c r="C54" i="1"/>
  <c r="B54" i="2" s="1"/>
  <c r="C55" i="1"/>
  <c r="B55" i="2" s="1"/>
  <c r="C56" i="1"/>
  <c r="B56" i="2" s="1"/>
  <c r="C57" i="1"/>
  <c r="B57" i="2" s="1"/>
  <c r="C58" i="1"/>
  <c r="B58" i="2" s="1"/>
  <c r="C59" i="1"/>
  <c r="B59" i="2" s="1"/>
  <c r="C60" i="1"/>
  <c r="B60" i="2" s="1"/>
  <c r="C61" i="1"/>
  <c r="B61" i="2" s="1"/>
  <c r="C62" i="1"/>
  <c r="B62" i="2" s="1"/>
  <c r="C63" i="1"/>
  <c r="B63" i="2" s="1"/>
  <c r="C64" i="1"/>
  <c r="B64" i="2" s="1"/>
  <c r="C65" i="1"/>
  <c r="B65" i="2" s="1"/>
  <c r="C66" i="1"/>
  <c r="B66" i="2" s="1"/>
  <c r="C67" i="1"/>
  <c r="B67" i="2" s="1"/>
  <c r="C68" i="1"/>
  <c r="B68" i="2" s="1"/>
  <c r="C69" i="1"/>
  <c r="B69" i="2" s="1"/>
  <c r="C70" i="1"/>
  <c r="B70" i="2" s="1"/>
  <c r="C71" i="1"/>
  <c r="B71" i="2" s="1"/>
  <c r="C72" i="1"/>
  <c r="B72" i="2" s="1"/>
  <c r="C73" i="1"/>
  <c r="B73" i="2" s="1"/>
  <c r="C74" i="1"/>
  <c r="B74" i="2" s="1"/>
  <c r="C75" i="1"/>
  <c r="B75" i="2" s="1"/>
  <c r="C76" i="1"/>
  <c r="B76" i="2" s="1"/>
  <c r="C77" i="1"/>
  <c r="B77" i="2" s="1"/>
  <c r="C78" i="1"/>
  <c r="B78" i="2" s="1"/>
  <c r="C79" i="1"/>
  <c r="B79" i="2" s="1"/>
  <c r="C80" i="1"/>
  <c r="B80" i="2" s="1"/>
  <c r="C81" i="1"/>
  <c r="B81" i="2" s="1"/>
  <c r="C82" i="1"/>
  <c r="B82" i="2" s="1"/>
  <c r="C83" i="1"/>
  <c r="B83" i="2" s="1"/>
  <c r="C84" i="1"/>
  <c r="B84" i="2" s="1"/>
  <c r="C85" i="1"/>
  <c r="B85" i="2" s="1"/>
  <c r="C86" i="1"/>
  <c r="B86" i="2" s="1"/>
  <c r="C87" i="1"/>
  <c r="B87" i="2" s="1"/>
  <c r="C88" i="1"/>
  <c r="B88" i="2" s="1"/>
  <c r="C89" i="1"/>
  <c r="B89" i="2" s="1"/>
  <c r="C90" i="1"/>
  <c r="B90" i="2" s="1"/>
  <c r="C91" i="1"/>
  <c r="B91" i="2" s="1"/>
  <c r="C92" i="1"/>
  <c r="B92" i="2" s="1"/>
  <c r="C93" i="1"/>
  <c r="B93" i="2" s="1"/>
  <c r="C94" i="1"/>
  <c r="B94" i="2" s="1"/>
  <c r="C95" i="1"/>
  <c r="B95" i="2" s="1"/>
  <c r="C96" i="1"/>
  <c r="B96" i="2" s="1"/>
  <c r="C97" i="1"/>
  <c r="B97" i="2" s="1"/>
  <c r="C98" i="1"/>
  <c r="B98" i="2" s="1"/>
  <c r="C99" i="1"/>
  <c r="B99" i="2" s="1"/>
  <c r="C100" i="1"/>
  <c r="B100" i="2" s="1"/>
  <c r="C101" i="1"/>
  <c r="B101" i="2" s="1"/>
  <c r="C102" i="1"/>
  <c r="B102" i="2" s="1"/>
  <c r="C103" i="1"/>
  <c r="B103" i="2" s="1"/>
  <c r="K4" i="8" l="1"/>
  <c r="B5" i="8"/>
  <c r="K4" i="4"/>
  <c r="B103" i="1"/>
  <c r="B103" i="8"/>
  <c r="B103" i="4"/>
  <c r="B103" i="5"/>
  <c r="B103" i="3"/>
  <c r="B103" i="6"/>
  <c r="B99" i="1"/>
  <c r="B99" i="8"/>
  <c r="B99" i="4"/>
  <c r="B99" i="5"/>
  <c r="B99" i="3"/>
  <c r="B99" i="6"/>
  <c r="B95" i="1"/>
  <c r="B95" i="8"/>
  <c r="B95" i="4"/>
  <c r="B95" i="5"/>
  <c r="B95" i="6"/>
  <c r="B95" i="3"/>
  <c r="B87" i="1"/>
  <c r="B87" i="8"/>
  <c r="B87" i="4"/>
  <c r="B87" i="5"/>
  <c r="B87" i="3"/>
  <c r="B87" i="6"/>
  <c r="B79" i="1"/>
  <c r="B79" i="8"/>
  <c r="B79" i="4"/>
  <c r="B79" i="5"/>
  <c r="B79" i="6"/>
  <c r="B79" i="3"/>
  <c r="B75" i="1"/>
  <c r="B75" i="8"/>
  <c r="B75" i="4"/>
  <c r="B75" i="5"/>
  <c r="B75" i="3"/>
  <c r="B75" i="6"/>
  <c r="B67" i="1"/>
  <c r="B67" i="8"/>
  <c r="B67" i="4"/>
  <c r="B67" i="5"/>
  <c r="B67" i="3"/>
  <c r="B67" i="6"/>
  <c r="B55" i="1"/>
  <c r="B55" i="8"/>
  <c r="B55" i="5"/>
  <c r="B55" i="3"/>
  <c r="B55" i="4"/>
  <c r="B55" i="6"/>
  <c r="B47" i="1"/>
  <c r="B47" i="8"/>
  <c r="B47" i="6"/>
  <c r="B47" i="3"/>
  <c r="B47" i="4"/>
  <c r="B47" i="5"/>
  <c r="B39" i="1"/>
  <c r="B39" i="8"/>
  <c r="B39" i="3"/>
  <c r="B39" i="4"/>
  <c r="B39" i="5"/>
  <c r="B39" i="6"/>
  <c r="B35" i="1"/>
  <c r="B35" i="8"/>
  <c r="B35" i="5"/>
  <c r="B35" i="3"/>
  <c r="B35" i="4"/>
  <c r="B35" i="6"/>
  <c r="B27" i="1"/>
  <c r="B27" i="8"/>
  <c r="B27" i="5"/>
  <c r="B27" i="3"/>
  <c r="B27" i="6"/>
  <c r="B27" i="4"/>
  <c r="B19" i="1"/>
  <c r="B19" i="8"/>
  <c r="B19" i="5"/>
  <c r="B19" i="3"/>
  <c r="B19" i="4"/>
  <c r="B19" i="6"/>
  <c r="B11" i="1"/>
  <c r="B11" i="8"/>
  <c r="B11" i="5"/>
  <c r="B11" i="3"/>
  <c r="B11" i="6"/>
  <c r="B11" i="4"/>
  <c r="B98" i="1"/>
  <c r="B98" i="6"/>
  <c r="B98" i="8"/>
  <c r="B98" i="5"/>
  <c r="B98" i="3"/>
  <c r="B98" i="4"/>
  <c r="B94" i="1"/>
  <c r="B94" i="6"/>
  <c r="B94" i="8"/>
  <c r="B94" i="4"/>
  <c r="B94" i="5"/>
  <c r="B94" i="3"/>
  <c r="B86" i="1"/>
  <c r="B86" i="6"/>
  <c r="B86" i="8"/>
  <c r="B86" i="4"/>
  <c r="B86" i="3"/>
  <c r="B86" i="5"/>
  <c r="B78" i="1"/>
  <c r="B78" i="6"/>
  <c r="B78" i="8"/>
  <c r="B78" i="5"/>
  <c r="B78" i="4"/>
  <c r="B78" i="3"/>
  <c r="B74" i="1"/>
  <c r="B74" i="6"/>
  <c r="B74" i="8"/>
  <c r="B74" i="4"/>
  <c r="B74" i="3"/>
  <c r="B74" i="5"/>
  <c r="B66" i="1"/>
  <c r="B66" i="6"/>
  <c r="B66" i="8"/>
  <c r="B66" i="5"/>
  <c r="B66" i="3"/>
  <c r="B66" i="4"/>
  <c r="B62" i="1"/>
  <c r="B62" i="6"/>
  <c r="B62" i="8"/>
  <c r="B62" i="5"/>
  <c r="B62" i="3"/>
  <c r="B62" i="4"/>
  <c r="B58" i="1"/>
  <c r="B58" i="6"/>
  <c r="B58" i="8"/>
  <c r="B58" i="3"/>
  <c r="B58" i="5"/>
  <c r="B58" i="4"/>
  <c r="B54" i="1"/>
  <c r="B54" i="6"/>
  <c r="B54" i="8"/>
  <c r="B54" i="3"/>
  <c r="B54" i="5"/>
  <c r="B54" i="4"/>
  <c r="B50" i="1"/>
  <c r="B50" i="6"/>
  <c r="B50" i="8"/>
  <c r="B50" i="5"/>
  <c r="B50" i="3"/>
  <c r="B50" i="4"/>
  <c r="B46" i="1"/>
  <c r="B46" i="6"/>
  <c r="B46" i="8"/>
  <c r="B46" i="3"/>
  <c r="B46" i="4"/>
  <c r="B46" i="5"/>
  <c r="B38" i="1"/>
  <c r="B38" i="6"/>
  <c r="B38" i="8"/>
  <c r="B38" i="3"/>
  <c r="B38" i="5"/>
  <c r="B38" i="4"/>
  <c r="B34" i="1"/>
  <c r="B34" i="6"/>
  <c r="B34" i="8"/>
  <c r="B34" i="5"/>
  <c r="B34" i="3"/>
  <c r="B34" i="4"/>
  <c r="B30" i="1"/>
  <c r="B30" i="6"/>
  <c r="B30" i="8"/>
  <c r="B30" i="3"/>
  <c r="B30" i="5"/>
  <c r="B30" i="4"/>
  <c r="B26" i="1"/>
  <c r="B26" i="6"/>
  <c r="B26" i="8"/>
  <c r="B26" i="5"/>
  <c r="B26" i="3"/>
  <c r="B26" i="4"/>
  <c r="B22" i="1"/>
  <c r="B22" i="6"/>
  <c r="B22" i="8"/>
  <c r="B22" i="3"/>
  <c r="B22" i="4"/>
  <c r="B22" i="5"/>
  <c r="B18" i="1"/>
  <c r="B18" i="6"/>
  <c r="B18" i="8"/>
  <c r="B18" i="5"/>
  <c r="B18" i="3"/>
  <c r="B18" i="4"/>
  <c r="B14" i="1"/>
  <c r="B14" i="6"/>
  <c r="B14" i="8"/>
  <c r="B14" i="3"/>
  <c r="B14" i="4"/>
  <c r="B14" i="5"/>
  <c r="B8" i="5"/>
  <c r="B8" i="6"/>
  <c r="B8" i="4"/>
  <c r="B8" i="8"/>
  <c r="B8" i="3"/>
  <c r="B101" i="1"/>
  <c r="B101" i="5"/>
  <c r="B101" i="6"/>
  <c r="B101" i="8"/>
  <c r="B101" i="4"/>
  <c r="B101" i="3"/>
  <c r="B97" i="1"/>
  <c r="B97" i="5"/>
  <c r="B97" i="6"/>
  <c r="B97" i="8"/>
  <c r="B97" i="4"/>
  <c r="B97" i="3"/>
  <c r="B93" i="1"/>
  <c r="B93" i="5"/>
  <c r="B93" i="6"/>
  <c r="B93" i="8"/>
  <c r="B93" i="4"/>
  <c r="B93" i="3"/>
  <c r="B89" i="1"/>
  <c r="B89" i="5"/>
  <c r="B89" i="6"/>
  <c r="B89" i="8"/>
  <c r="B89" i="4"/>
  <c r="B89" i="3"/>
  <c r="B85" i="1"/>
  <c r="B85" i="5"/>
  <c r="B85" i="6"/>
  <c r="B85" i="8"/>
  <c r="B85" i="4"/>
  <c r="B85" i="3"/>
  <c r="B81" i="1"/>
  <c r="B81" i="5"/>
  <c r="B81" i="6"/>
  <c r="B81" i="8"/>
  <c r="B81" i="3"/>
  <c r="B81" i="4"/>
  <c r="B77" i="1"/>
  <c r="B77" i="5"/>
  <c r="B77" i="6"/>
  <c r="B77" i="8"/>
  <c r="B77" i="4"/>
  <c r="B77" i="3"/>
  <c r="B73" i="1"/>
  <c r="B73" i="5"/>
  <c r="B73" i="6"/>
  <c r="B73" i="8"/>
  <c r="B73" i="4"/>
  <c r="B73" i="3"/>
  <c r="B69" i="1"/>
  <c r="B69" i="5"/>
  <c r="B69" i="6"/>
  <c r="B69" i="8"/>
  <c r="B69" i="4"/>
  <c r="B69" i="3"/>
  <c r="B65" i="1"/>
  <c r="B65" i="5"/>
  <c r="B65" i="6"/>
  <c r="B65" i="8"/>
  <c r="B65" i="3"/>
  <c r="B65" i="4"/>
  <c r="B61" i="1"/>
  <c r="B61" i="5"/>
  <c r="B61" i="6"/>
  <c r="B61" i="8"/>
  <c r="B61" i="3"/>
  <c r="B61" i="4"/>
  <c r="B57" i="1"/>
  <c r="B57" i="5"/>
  <c r="B57" i="6"/>
  <c r="B57" i="8"/>
  <c r="B57" i="4"/>
  <c r="B57" i="3"/>
  <c r="B53" i="1"/>
  <c r="B53" i="5"/>
  <c r="B53" i="6"/>
  <c r="B53" i="8"/>
  <c r="B53" i="3"/>
  <c r="B53" i="4"/>
  <c r="B49" i="1"/>
  <c r="B49" i="5"/>
  <c r="B49" i="6"/>
  <c r="B49" i="8"/>
  <c r="B49" i="4"/>
  <c r="B49" i="3"/>
  <c r="B45" i="1"/>
  <c r="B45" i="5"/>
  <c r="B45" i="6"/>
  <c r="B45" i="8"/>
  <c r="B45" i="3"/>
  <c r="B45" i="4"/>
  <c r="B41" i="1"/>
  <c r="B41" i="5"/>
  <c r="B41" i="6"/>
  <c r="B41" i="8"/>
  <c r="B41" i="3"/>
  <c r="B41" i="4"/>
  <c r="B37" i="1"/>
  <c r="B37" i="5"/>
  <c r="B37" i="6"/>
  <c r="B37" i="8"/>
  <c r="B37" i="3"/>
  <c r="B37" i="4"/>
  <c r="B33" i="1"/>
  <c r="B33" i="5"/>
  <c r="B33" i="6"/>
  <c r="B33" i="8"/>
  <c r="B33" i="4"/>
  <c r="B33" i="3"/>
  <c r="B29" i="1"/>
  <c r="B29" i="5"/>
  <c r="B29" i="6"/>
  <c r="B29" i="8"/>
  <c r="B29" i="3"/>
  <c r="B29" i="4"/>
  <c r="B25" i="1"/>
  <c r="B25" i="5"/>
  <c r="B25" i="6"/>
  <c r="B25" i="8"/>
  <c r="B25" i="3"/>
  <c r="B25" i="4"/>
  <c r="B21" i="1"/>
  <c r="B21" i="5"/>
  <c r="B21" i="6"/>
  <c r="B21" i="8"/>
  <c r="B21" i="3"/>
  <c r="B21" i="4"/>
  <c r="B17" i="1"/>
  <c r="B17" i="5"/>
  <c r="B17" i="6"/>
  <c r="B17" i="8"/>
  <c r="B17" i="4"/>
  <c r="B17" i="3"/>
  <c r="B13" i="1"/>
  <c r="B13" i="5"/>
  <c r="B13" i="6"/>
  <c r="B13" i="8"/>
  <c r="B13" i="3"/>
  <c r="B13" i="4"/>
  <c r="B7" i="1"/>
  <c r="B7" i="8"/>
  <c r="B7" i="3"/>
  <c r="B7" i="4"/>
  <c r="B7" i="5"/>
  <c r="B7" i="6"/>
  <c r="B91" i="1"/>
  <c r="B91" i="8"/>
  <c r="B91" i="4"/>
  <c r="B91" i="5"/>
  <c r="B91" i="3"/>
  <c r="B91" i="6"/>
  <c r="B83" i="1"/>
  <c r="B83" i="8"/>
  <c r="B83" i="4"/>
  <c r="B83" i="5"/>
  <c r="B83" i="3"/>
  <c r="B83" i="6"/>
  <c r="B71" i="1"/>
  <c r="B71" i="8"/>
  <c r="B71" i="4"/>
  <c r="B71" i="5"/>
  <c r="B71" i="3"/>
  <c r="B71" i="6"/>
  <c r="B63" i="1"/>
  <c r="B63" i="8"/>
  <c r="B63" i="5"/>
  <c r="B63" i="6"/>
  <c r="B63" i="3"/>
  <c r="B63" i="4"/>
  <c r="B59" i="1"/>
  <c r="B59" i="8"/>
  <c r="B59" i="5"/>
  <c r="B59" i="3"/>
  <c r="B59" i="6"/>
  <c r="B59" i="4"/>
  <c r="B51" i="1"/>
  <c r="B51" i="8"/>
  <c r="B51" i="5"/>
  <c r="B51" i="3"/>
  <c r="B51" i="4"/>
  <c r="B51" i="6"/>
  <c r="B43" i="1"/>
  <c r="B43" i="8"/>
  <c r="B43" i="5"/>
  <c r="B43" i="3"/>
  <c r="B43" i="6"/>
  <c r="B43" i="4"/>
  <c r="B31" i="1"/>
  <c r="B31" i="8"/>
  <c r="B31" i="6"/>
  <c r="B31" i="3"/>
  <c r="B31" i="4"/>
  <c r="B31" i="5"/>
  <c r="B23" i="1"/>
  <c r="B23" i="8"/>
  <c r="B23" i="3"/>
  <c r="B23" i="4"/>
  <c r="B23" i="6"/>
  <c r="B23" i="5"/>
  <c r="B15" i="1"/>
  <c r="B15" i="8"/>
  <c r="B15" i="6"/>
  <c r="B15" i="3"/>
  <c r="B15" i="4"/>
  <c r="B15" i="5"/>
  <c r="B102" i="1"/>
  <c r="B102" i="6"/>
  <c r="B102" i="8"/>
  <c r="B102" i="4"/>
  <c r="B102" i="3"/>
  <c r="B102" i="5"/>
  <c r="B90" i="1"/>
  <c r="B90" i="6"/>
  <c r="B90" i="8"/>
  <c r="B90" i="3"/>
  <c r="B90" i="5"/>
  <c r="B90" i="4"/>
  <c r="B82" i="1"/>
  <c r="B82" i="6"/>
  <c r="B82" i="8"/>
  <c r="B82" i="5"/>
  <c r="B82" i="3"/>
  <c r="B82" i="4"/>
  <c r="B70" i="1"/>
  <c r="B70" i="6"/>
  <c r="B70" i="8"/>
  <c r="B70" i="3"/>
  <c r="B70" i="5"/>
  <c r="B70" i="4"/>
  <c r="B42" i="1"/>
  <c r="B42" i="6"/>
  <c r="B42" i="8"/>
  <c r="B42" i="5"/>
  <c r="B42" i="3"/>
  <c r="B42" i="4"/>
  <c r="B100" i="1"/>
  <c r="B100" i="4"/>
  <c r="B100" i="5"/>
  <c r="B100" i="6"/>
  <c r="B100" i="3"/>
  <c r="B100" i="8"/>
  <c r="B96" i="1"/>
  <c r="B96" i="4"/>
  <c r="B96" i="5"/>
  <c r="B96" i="6"/>
  <c r="B96" i="8"/>
  <c r="B96" i="3"/>
  <c r="B92" i="1"/>
  <c r="B92" i="4"/>
  <c r="B92" i="5"/>
  <c r="B92" i="6"/>
  <c r="B92" i="8"/>
  <c r="B92" i="3"/>
  <c r="B88" i="1"/>
  <c r="B88" i="4"/>
  <c r="B88" i="5"/>
  <c r="B88" i="6"/>
  <c r="B88" i="8"/>
  <c r="B88" i="3"/>
  <c r="B84" i="1"/>
  <c r="B84" i="4"/>
  <c r="B84" i="5"/>
  <c r="B84" i="6"/>
  <c r="B84" i="8"/>
  <c r="B84" i="3"/>
  <c r="B80" i="1"/>
  <c r="B80" i="5"/>
  <c r="B80" i="6"/>
  <c r="B80" i="4"/>
  <c r="B80" i="3"/>
  <c r="B80" i="8"/>
  <c r="B76" i="1"/>
  <c r="B76" i="5"/>
  <c r="B76" i="6"/>
  <c r="B76" i="8"/>
  <c r="B76" i="4"/>
  <c r="B76" i="3"/>
  <c r="B72" i="1"/>
  <c r="B72" i="5"/>
  <c r="B72" i="6"/>
  <c r="B72" i="8"/>
  <c r="B72" i="4"/>
  <c r="B72" i="3"/>
  <c r="B68" i="1"/>
  <c r="B68" i="5"/>
  <c r="B68" i="6"/>
  <c r="B68" i="4"/>
  <c r="B68" i="8"/>
  <c r="B68" i="3"/>
  <c r="B64" i="1"/>
  <c r="B64" i="5"/>
  <c r="B64" i="6"/>
  <c r="B64" i="4"/>
  <c r="B64" i="3"/>
  <c r="B64" i="8"/>
  <c r="B60" i="1"/>
  <c r="B60" i="5"/>
  <c r="B60" i="6"/>
  <c r="B60" i="8"/>
  <c r="B60" i="4"/>
  <c r="B60" i="3"/>
  <c r="B56" i="1"/>
  <c r="B56" i="5"/>
  <c r="B56" i="6"/>
  <c r="B56" i="4"/>
  <c r="B56" i="8"/>
  <c r="B56" i="3"/>
  <c r="B52" i="1"/>
  <c r="B52" i="5"/>
  <c r="B52" i="6"/>
  <c r="B52" i="4"/>
  <c r="B52" i="8"/>
  <c r="B52" i="3"/>
  <c r="B48" i="1"/>
  <c r="B48" i="5"/>
  <c r="B48" i="6"/>
  <c r="B48" i="4"/>
  <c r="B48" i="8"/>
  <c r="B48" i="3"/>
  <c r="B44" i="1"/>
  <c r="B44" i="5"/>
  <c r="B44" i="6"/>
  <c r="B44" i="8"/>
  <c r="B44" i="4"/>
  <c r="B44" i="3"/>
  <c r="B40" i="1"/>
  <c r="B40" i="5"/>
  <c r="B40" i="6"/>
  <c r="B40" i="4"/>
  <c r="B40" i="8"/>
  <c r="B40" i="3"/>
  <c r="B36" i="1"/>
  <c r="B36" i="5"/>
  <c r="B36" i="6"/>
  <c r="B36" i="4"/>
  <c r="B36" i="3"/>
  <c r="B36" i="8"/>
  <c r="B32" i="1"/>
  <c r="B32" i="5"/>
  <c r="B32" i="6"/>
  <c r="B32" i="4"/>
  <c r="B32" i="8"/>
  <c r="B32" i="3"/>
  <c r="B28" i="1"/>
  <c r="B28" i="5"/>
  <c r="B28" i="6"/>
  <c r="B28" i="8"/>
  <c r="B28" i="4"/>
  <c r="B28" i="3"/>
  <c r="B24" i="1"/>
  <c r="B24" i="5"/>
  <c r="B24" i="6"/>
  <c r="B24" i="4"/>
  <c r="B24" i="8"/>
  <c r="B24" i="3"/>
  <c r="B20" i="1"/>
  <c r="B20" i="5"/>
  <c r="B20" i="6"/>
  <c r="B20" i="4"/>
  <c r="B20" i="8"/>
  <c r="B20" i="3"/>
  <c r="B16" i="1"/>
  <c r="B16" i="5"/>
  <c r="B16" i="6"/>
  <c r="B16" i="4"/>
  <c r="B16" i="8"/>
  <c r="B16" i="3"/>
  <c r="B12" i="1"/>
  <c r="B12" i="5"/>
  <c r="B12" i="6"/>
  <c r="B12" i="8"/>
  <c r="B12" i="4"/>
  <c r="B12" i="3"/>
  <c r="B6" i="1"/>
  <c r="B6" i="6"/>
  <c r="B6" i="8"/>
  <c r="B6" i="3"/>
  <c r="B6" i="4"/>
  <c r="B6" i="5"/>
  <c r="B5" i="1"/>
  <c r="C9" i="1"/>
  <c r="B9" i="2" s="1"/>
  <c r="B8" i="1"/>
  <c r="K3" i="2"/>
  <c r="K4" i="2"/>
  <c r="K3" i="6"/>
  <c r="K4" i="5"/>
  <c r="K3" i="4"/>
  <c r="K3" i="3"/>
  <c r="K4" i="3"/>
  <c r="K4" i="6"/>
  <c r="B9" i="5" l="1"/>
  <c r="B9" i="6"/>
  <c r="B9" i="8"/>
  <c r="B9" i="3"/>
  <c r="B9" i="4"/>
  <c r="C10" i="1"/>
  <c r="B10" i="2" s="1"/>
  <c r="B9" i="1"/>
  <c r="K3" i="1"/>
  <c r="B10" i="1" l="1"/>
  <c r="B10" i="6"/>
  <c r="B10" i="8"/>
  <c r="B10" i="5"/>
  <c r="B10" i="3"/>
  <c r="B10" i="4"/>
  <c r="K4" i="1"/>
</calcChain>
</file>

<file path=xl/sharedStrings.xml><?xml version="1.0" encoding="utf-8"?>
<sst xmlns="http://schemas.openxmlformats.org/spreadsheetml/2006/main" count="333" uniqueCount="156">
  <si>
    <t>Producto</t>
  </si>
  <si>
    <t>Cantidad</t>
  </si>
  <si>
    <t>Precio</t>
  </si>
  <si>
    <t>Descuento</t>
  </si>
  <si>
    <t>Importa</t>
  </si>
  <si>
    <t>Notas del dia</t>
  </si>
  <si>
    <t>Para dar un salto de linea presionar alt. + enter</t>
  </si>
  <si>
    <t>Colocar x si descuento</t>
  </si>
  <si>
    <t>Cambio</t>
  </si>
  <si>
    <t>Fecha</t>
  </si>
  <si>
    <t>version</t>
  </si>
  <si>
    <r>
      <t>Nota:</t>
    </r>
    <r>
      <rPr>
        <sz val="11"/>
        <color rgb="FFFF0000"/>
        <rFont val="Calibri"/>
        <family val="2"/>
        <scheme val="minor"/>
      </rPr>
      <t xml:space="preserve"> Si hay descuento es </t>
    </r>
    <r>
      <rPr>
        <b/>
        <sz val="11"/>
        <color rgb="FFFF0000"/>
        <rFont val="Calibri"/>
        <family val="2"/>
        <scheme val="minor"/>
      </rPr>
      <t>importante escribir</t>
    </r>
    <r>
      <rPr>
        <sz val="11"/>
        <color rgb="FFFF0000"/>
        <rFont val="Calibri"/>
        <family val="2"/>
        <scheme val="minor"/>
      </rPr>
      <t xml:space="preserve"> si el articulo </t>
    </r>
    <r>
      <rPr>
        <b/>
        <sz val="11"/>
        <color rgb="FFFF0000"/>
        <rFont val="Calibri"/>
        <family val="2"/>
        <scheme val="minor"/>
      </rPr>
      <t>es aceite</t>
    </r>
    <r>
      <rPr>
        <sz val="11"/>
        <color rgb="FFFF0000"/>
        <rFont val="Calibri"/>
        <family val="2"/>
        <scheme val="minor"/>
      </rPr>
      <t xml:space="preserve">, para aplicar un descuento de </t>
    </r>
    <r>
      <rPr>
        <b/>
        <sz val="11"/>
        <color rgb="FFFF0000"/>
        <rFont val="Calibri"/>
        <family val="2"/>
        <scheme val="minor"/>
      </rPr>
      <t>solo el 5%</t>
    </r>
  </si>
  <si>
    <t>Cambio en la formula de descuento para solo dar el 5% de descuento cuando se trata de aceites</t>
  </si>
  <si>
    <t>16/11/2024</t>
  </si>
  <si>
    <t>Domingo 01-02-03</t>
  </si>
  <si>
    <t>#</t>
  </si>
  <si>
    <t>• Se aplicaron funciones de redondeo
• Corrección de formatos para la venta total en todas las pestañas
• Se agrego una nueva columna para el numero de articulos</t>
  </si>
  <si>
    <t>Venta Total:</t>
  </si>
  <si>
    <t>Num. 
Productos:</t>
  </si>
  <si>
    <t>Egresos</t>
  </si>
  <si>
    <t>Egreso</t>
  </si>
  <si>
    <t>Costo</t>
  </si>
  <si>
    <t>Comentarios</t>
  </si>
  <si>
    <t>Hora</t>
  </si>
  <si>
    <t>• Se agrego una nueva tabla para los egresos
• Nueva columna automatica para la colocar la hora de la venta</t>
  </si>
  <si>
    <t>Lunes 17 DE AGOSTO-26</t>
  </si>
  <si>
    <t>FILTRO DE GASOLINA CARTON</t>
  </si>
  <si>
    <t xml:space="preserve">MATERIAL </t>
  </si>
  <si>
    <t xml:space="preserve">MANIJAS DE LUJO </t>
  </si>
  <si>
    <t xml:space="preserve">AUXILIAR DE LUPA </t>
  </si>
  <si>
    <t>X</t>
  </si>
  <si>
    <t xml:space="preserve">POSAPIE DE PULSAR </t>
  </si>
  <si>
    <t xml:space="preserve">LIQUIDO </t>
  </si>
  <si>
    <t xml:space="preserve">ANTICONGELANTE </t>
  </si>
  <si>
    <t xml:space="preserve">BALATA DE </t>
  </si>
  <si>
    <t>PUÑOS DE FT150</t>
  </si>
  <si>
    <t>MANIJA DE 200Z</t>
  </si>
  <si>
    <t xml:space="preserve">BUJIA DE IRIDIUM </t>
  </si>
  <si>
    <t xml:space="preserve">CAPUCHON DE BUJIA </t>
  </si>
  <si>
    <t>CADENA 520</t>
  </si>
  <si>
    <t xml:space="preserve">ESPEJOS DE FT150 </t>
  </si>
  <si>
    <t>FOCO H4 LED</t>
  </si>
  <si>
    <t>PORTA PLACA</t>
  </si>
  <si>
    <t>STIKER</t>
  </si>
  <si>
    <t>BALERO 6301 WAPEMEX</t>
  </si>
  <si>
    <t>ACEITE AKRON</t>
  </si>
  <si>
    <t>PARCHE RAPIDO</t>
  </si>
  <si>
    <t>PRODUCTO</t>
  </si>
  <si>
    <t>BUJIA D8</t>
  </si>
  <si>
    <t>LIMPIADOR DE CARBURADOR AXPRO</t>
  </si>
  <si>
    <t xml:space="preserve">RENTA </t>
  </si>
  <si>
    <t xml:space="preserve">TOTAL </t>
  </si>
  <si>
    <t xml:space="preserve">CUENTA SEMANA PASADA $30953 MENOS $4070 DE MATERIAL Y RENTA QUEDA $ 26883 </t>
  </si>
  <si>
    <t xml:space="preserve">STRACTOR DE MAGNETO </t>
  </si>
  <si>
    <t>FOCO H6 HALOGENO</t>
  </si>
  <si>
    <t>PIPETA DE 250Z</t>
  </si>
  <si>
    <t>MANDO DERECHO DM200</t>
  </si>
  <si>
    <t>Martes 18 DE AGOSTO-26</t>
  </si>
  <si>
    <t xml:space="preserve">PEDIDO OSCAR </t>
  </si>
  <si>
    <t>MANGUERA DE FRENO ZS250</t>
  </si>
  <si>
    <t>CAMARA 3.00.17 MAYA</t>
  </si>
  <si>
    <t>JUNTAS DE MOTOR HONDA CARGO 150</t>
  </si>
  <si>
    <t>PASTAS DE CLUTH FT150</t>
  </si>
  <si>
    <t>CAMARA 3.00.18</t>
  </si>
  <si>
    <t>LLANTA 3.00.18</t>
  </si>
  <si>
    <t>LLANTA 120-80-18</t>
  </si>
  <si>
    <t xml:space="preserve">ACEITE AKRON </t>
  </si>
  <si>
    <t>FILTRO DE AIRE DM 200</t>
  </si>
  <si>
    <t>RODILLO DE CENTRIFUJO DS150</t>
  </si>
  <si>
    <t>RETEN DE MOTOR DS150</t>
  </si>
  <si>
    <t>ACEITE YAMALUBE</t>
  </si>
  <si>
    <t>CAMARA 3.00.17</t>
  </si>
  <si>
    <t>SELENOIDE FT150</t>
  </si>
  <si>
    <t xml:space="preserve">BALLANETA </t>
  </si>
  <si>
    <t>PARADOR LATERAL DE 125Z</t>
  </si>
  <si>
    <t xml:space="preserve">CUENTA DE AYER $ 26883 MENOS $ 4100 DE PEDIDO QUEDA $22783 </t>
  </si>
  <si>
    <t>Miercoles 19- DE AGOSTO-26</t>
  </si>
  <si>
    <t>JUNTAS DE MOTOR DM150</t>
  </si>
  <si>
    <t>ESTRACTOR DE MAGNETO FT150</t>
  </si>
  <si>
    <t>MANIJA IZQUIERDA DM200</t>
  </si>
  <si>
    <t>EJE DELANTERO FT150</t>
  </si>
  <si>
    <t>LLANTA 120-90-10</t>
  </si>
  <si>
    <t>LLANTA 80-100-21</t>
  </si>
  <si>
    <t>ROLLO</t>
  </si>
  <si>
    <t>KID DE ARRASTRE 250Z</t>
  </si>
  <si>
    <t xml:space="preserve">SEGURO DE PIÑON </t>
  </si>
  <si>
    <t>CAMARA 4.10-18</t>
  </si>
  <si>
    <t>PROTECTOR DE SLAIDER</t>
  </si>
  <si>
    <t>BOMBA DE FRENO DELANTERO WS150</t>
  </si>
  <si>
    <t xml:space="preserve">LIQUIDO DE FRENO </t>
  </si>
  <si>
    <t>SELLO DE ESCAPE FT150</t>
  </si>
  <si>
    <t>PEDIDO NASAKI</t>
  </si>
  <si>
    <t>FOCO DE DIRECCIONAL</t>
  </si>
  <si>
    <t>CHICOTE DE ACELRADOR DM200</t>
  </si>
  <si>
    <t>BALATA DE RC150</t>
  </si>
  <si>
    <t xml:space="preserve">RESORTE DE PARADOR </t>
  </si>
  <si>
    <t>LEVA DE FRENO FT150</t>
  </si>
  <si>
    <t>CUENTA DE AYER $ 22783 MENOS 2056 DE PEDIDO NASAKI Y ROLLO QUEDA $ 20727</t>
  </si>
  <si>
    <t>Jueves 20 DE AGOSTO-26</t>
  </si>
  <si>
    <t>Viernes 21 DE AGOSTO-26</t>
  </si>
  <si>
    <t>MATERIAL</t>
  </si>
  <si>
    <t>LUNES 17 DE AGOSTO-26</t>
  </si>
  <si>
    <t>RENTA</t>
  </si>
  <si>
    <t>P.OSCAR</t>
  </si>
  <si>
    <t>MARTES 18 DE AGOSTO-26</t>
  </si>
  <si>
    <t>MIERCOLES 19 DE AGOSTO-26</t>
  </si>
  <si>
    <t>P,NASAKI</t>
  </si>
  <si>
    <t>PAGOYAS</t>
  </si>
  <si>
    <t>TOTAL DE EGRESOS</t>
  </si>
  <si>
    <t>VIERNES 21 DE AGOSTO-26</t>
  </si>
  <si>
    <t>TIRAS LED AZUL</t>
  </si>
  <si>
    <t>AMORTIGUADOR DE LA VENTO NITROX</t>
  </si>
  <si>
    <t xml:space="preserve">ARNE DE 2 CABLES </t>
  </si>
  <si>
    <t>TAZAS DE DIRECCION DE DM200</t>
  </si>
  <si>
    <t>GUIA DE CADENA DS150</t>
  </si>
  <si>
    <t>KID DE CILINDRO DS150</t>
  </si>
  <si>
    <t>CABEZA DE DS150</t>
  </si>
  <si>
    <t>CIGÜEÑAL DE DS150</t>
  </si>
  <si>
    <t>CADENA BOMBA DE ACE DS150</t>
  </si>
  <si>
    <t>CADENA DE DISTRIBUCCION DS150</t>
  </si>
  <si>
    <t>JUNTAS DE MOTOR DS150</t>
  </si>
  <si>
    <t>ARBOLDE LEVAS DS150</t>
  </si>
  <si>
    <t>CABEZA DE CILINDRO DM200</t>
  </si>
  <si>
    <t xml:space="preserve">PILA QLINK DE MOTONETA </t>
  </si>
  <si>
    <t>TENSOR DE CADENA ATV</t>
  </si>
  <si>
    <t>AMORTIGUADOR DE DS150</t>
  </si>
  <si>
    <t>ACEITE MOTUL 7100-10W-40</t>
  </si>
  <si>
    <t>TAZAS DE DIRECCION DM200</t>
  </si>
  <si>
    <t>FILTRO DE AIRE DM200</t>
  </si>
  <si>
    <t xml:space="preserve">RED DE CASCO ALESSIA </t>
  </si>
  <si>
    <t>POSAPIE TRASERO FT125 YOG</t>
  </si>
  <si>
    <t xml:space="preserve">PROTECTOR DE PEDAL </t>
  </si>
  <si>
    <t>CADENA 428 X136</t>
  </si>
  <si>
    <t>GOMAS DE IMPACTO FT125</t>
  </si>
  <si>
    <t>BALATA DE DOSCO ATV150</t>
  </si>
  <si>
    <t xml:space="preserve">BALATA DELANTERA DISCO XR </t>
  </si>
  <si>
    <t>MANGUERA DE FRENO UNIVERSAL</t>
  </si>
  <si>
    <t>BALATA TRASERA VENTO REPTIL</t>
  </si>
  <si>
    <t>BIRLOS DE DS150</t>
  </si>
  <si>
    <t>SELLO DE ESCAPE DS150</t>
  </si>
  <si>
    <t>NOTA 3</t>
  </si>
  <si>
    <t>JUNTAS DE MOTOR FZ16</t>
  </si>
  <si>
    <t>COPLE PARA MOTOS FT180</t>
  </si>
  <si>
    <t>TIRA LED AZUL</t>
  </si>
  <si>
    <t>TORNILLO</t>
  </si>
  <si>
    <r>
      <rPr>
        <b/>
        <sz val="14"/>
        <color theme="1"/>
        <rFont val="Calibri"/>
        <family val="2"/>
        <scheme val="minor"/>
      </rPr>
      <t>CORTES DE LA SEMANA        SEMANA PASADA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LUNES 17 DE AGOSTO-26                $30953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 xml:space="preserve">VENTA $ 2936              MENOS$13632  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MARTES 18 DE AGOSTO-26            $ 17321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$ 2667.5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MIERCOLES 19 DE AGOSTO-26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$ 4109.5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JUEVES 20 DE AGOSTO-26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$ 1233.5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VIERNES 21 DE AGOSTO-26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$ 6732.5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20"/>
        <color theme="1"/>
        <rFont val="Calibri"/>
        <family val="2"/>
        <scheme val="minor"/>
      </rPr>
      <t>TOTAL $17679
TOTAL EN CAJA $35000</t>
    </r>
  </si>
  <si>
    <t>Sabado 22 DE AGOSTO-26</t>
  </si>
  <si>
    <t>BARRAS DE WS150</t>
  </si>
  <si>
    <t>ACEITE DIKAL</t>
  </si>
  <si>
    <t xml:space="preserve">TORNILLO </t>
  </si>
  <si>
    <t xml:space="preserve">CADENA 428 X 136 CON ORING </t>
  </si>
  <si>
    <t xml:space="preserve">MANGUERA DE GASOLINA </t>
  </si>
  <si>
    <t xml:space="preserve">ESPEJOS DE ALERON </t>
  </si>
  <si>
    <t>CAMARA 3.50.18</t>
  </si>
  <si>
    <t>ARNES DE CDI  FT150</t>
  </si>
  <si>
    <t xml:space="preserve">CUENTA DE HOY SABADO $ 2191.5 MENOS $ 300 DE PAGO DE YAS QUEDA $1891.5 MAS LO DE AYER EN CAJA $35000
TOTAL EN CAJA $ 36891.5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</si>
</sst>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[$-409]h:mm\ AM/PM;@"/>
  </numFmts>
  <fonts count="13" x14ac:knownFonts="1">
    <font>
      <sz val="11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3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1" applyFont="1" applyFill="1" applyBorder="1" applyAlignment="1">
      <alignment vertical="top" wrapText="1"/>
    </xf>
    <xf numFmtId="167" fontId="0" fillId="0" borderId="0" xfId="0" applyNumberFormat="1"/>
    <xf numFmtId="167" fontId="8" fillId="6" borderId="1" xfId="0" applyNumberFormat="1" applyFont="1" applyFill="1" applyBorder="1"/>
    <xf numFmtId="167" fontId="7" fillId="5" borderId="1" xfId="2" applyNumberFormat="1" applyBorder="1"/>
    <xf numFmtId="0" fontId="0" fillId="4" borderId="9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</cellXfs>
  <cellStyles count="3">
    <cellStyle name="20% - Énfasis1" xfId="2" builtinId="30"/>
    <cellStyle name="Moneda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4:H103" totalsRowShown="0">
  <autoFilter ref="C4:H103" xr:uid="{00000000-0009-0000-0100-000001000000}"/>
  <tableColumns count="6">
    <tableColumn id="1" xr3:uid="{00000000-0010-0000-0000-000001000000}" name="#" dataDxfId="27">
      <calculatedColumnFormula>IF(ISNUMBER(E5), IF(ISNUMBER(C4), C4+1, 1), "")</calculatedColumnFormula>
    </tableColumn>
    <tableColumn id="6" xr3:uid="{00000000-0010-0000-0000-000006000000}" name="PRODUCTO"/>
    <tableColumn id="2" xr3:uid="{00000000-0010-0000-0000-000002000000}" name="Cantidad"/>
    <tableColumn id="3" xr3:uid="{00000000-0010-0000-0000-000003000000}" name="Precio"/>
    <tableColumn id="4" xr3:uid="{00000000-0010-0000-0000-000004000000}" name="Descuento"/>
    <tableColumn id="5" xr3:uid="{00000000-0010-0000-0000-000005000000}" name="Importa" dataDxfId="26">
      <calculatedColumnFormula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10" displayName="Tabla110" ref="C4:H103" totalsRowShown="0">
  <autoFilter ref="C4:H103" xr:uid="{00000000-0009-0000-0100-000009000000}"/>
  <tableColumns count="6">
    <tableColumn id="1" xr3:uid="{00000000-0010-0000-0100-000001000000}" name="#" dataDxfId="25">
      <calculatedColumnFormula>IF(ISNUMBER(E5), IF(ISNUMBER(C4), C4+1, 1), "")</calculatedColumnFormula>
    </tableColumn>
    <tableColumn id="6" xr3:uid="{00000000-0010-0000-0100-000006000000}" name="Producto"/>
    <tableColumn id="2" xr3:uid="{00000000-0010-0000-0100-000002000000}" name="Cantidad"/>
    <tableColumn id="3" xr3:uid="{00000000-0010-0000-0100-000003000000}" name="Precio"/>
    <tableColumn id="4" xr3:uid="{00000000-0010-0000-0100-000004000000}" name="Descuento"/>
    <tableColumn id="5" xr3:uid="{00000000-0010-0000-0100-000005000000}" name="Importa" dataDxfId="24">
      <calculatedColumnFormula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11" displayName="Tabla111" ref="C4:H103" totalsRowShown="0">
  <autoFilter ref="C4:H103" xr:uid="{00000000-0009-0000-0100-00000A000000}"/>
  <tableColumns count="6">
    <tableColumn id="1" xr3:uid="{00000000-0010-0000-0200-000001000000}" name="#" dataDxfId="23">
      <calculatedColumnFormula>IF(ISNUMBER(E5), IF(ISNUMBER(C4), C4+1, 1), "")</calculatedColumnFormula>
    </tableColumn>
    <tableColumn id="6" xr3:uid="{00000000-0010-0000-0200-000006000000}" name="Producto"/>
    <tableColumn id="2" xr3:uid="{00000000-0010-0000-0200-000002000000}" name="Cantidad"/>
    <tableColumn id="3" xr3:uid="{00000000-0010-0000-0200-000003000000}" name="Precio"/>
    <tableColumn id="4" xr3:uid="{00000000-0010-0000-0200-000004000000}" name="Descuento"/>
    <tableColumn id="5" xr3:uid="{00000000-0010-0000-0200-000005000000}" name="Importa" dataDxfId="22">
      <calculatedColumnFormula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2" displayName="Tabla112" ref="C4:H103" totalsRowShown="0">
  <autoFilter ref="C4:H103" xr:uid="{00000000-0009-0000-0100-00000B000000}"/>
  <tableColumns count="6">
    <tableColumn id="1" xr3:uid="{00000000-0010-0000-0300-000001000000}" name="#" dataDxfId="21">
      <calculatedColumnFormula>IF(ISNUMBER(E5), IF(ISNUMBER(C4), C4+1, 1), "")</calculatedColumnFormula>
    </tableColumn>
    <tableColumn id="6" xr3:uid="{00000000-0010-0000-0300-000006000000}" name="Producto"/>
    <tableColumn id="2" xr3:uid="{00000000-0010-0000-0300-000002000000}" name="Cantidad"/>
    <tableColumn id="3" xr3:uid="{00000000-0010-0000-0300-000003000000}" name="Precio"/>
    <tableColumn id="4" xr3:uid="{00000000-0010-0000-0300-000004000000}" name="Descuento"/>
    <tableColumn id="5" xr3:uid="{00000000-0010-0000-0300-000005000000}" name="Importa" dataDxfId="20">
      <calculatedColumnFormula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a113" displayName="Tabla113" ref="C4:H103" totalsRowShown="0">
  <autoFilter ref="C4:H103" xr:uid="{00000000-0009-0000-0100-00000C000000}"/>
  <tableColumns count="6">
    <tableColumn id="1" xr3:uid="{00000000-0010-0000-0400-000001000000}" name="#" dataDxfId="19">
      <calculatedColumnFormula>IF(ISNUMBER(E5), IF(ISNUMBER(C4), C4+1, 1), "")</calculatedColumnFormula>
    </tableColumn>
    <tableColumn id="6" xr3:uid="{00000000-0010-0000-0400-000006000000}" name="Producto"/>
    <tableColumn id="2" xr3:uid="{00000000-0010-0000-0400-000002000000}" name="Cantidad"/>
    <tableColumn id="3" xr3:uid="{00000000-0010-0000-0400-000003000000}" name="Precio"/>
    <tableColumn id="4" xr3:uid="{00000000-0010-0000-0400-000004000000}" name="Descuento"/>
    <tableColumn id="5" xr3:uid="{00000000-0010-0000-0400-000005000000}" name="Importa" dataDxfId="18">
      <calculatedColumnFormula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a114" displayName="Tabla114" ref="C4:H103" totalsRowShown="0">
  <autoFilter ref="C4:H103" xr:uid="{00000000-0009-0000-0100-00000D000000}"/>
  <tableColumns count="6">
    <tableColumn id="1" xr3:uid="{00000000-0010-0000-0500-000001000000}" name="#" dataDxfId="17">
      <calculatedColumnFormula>IF(ISNUMBER(E5), IF(ISNUMBER(C4), C4+1, 1), "")</calculatedColumnFormula>
    </tableColumn>
    <tableColumn id="6" xr3:uid="{00000000-0010-0000-0500-000006000000}" name="Producto"/>
    <tableColumn id="2" xr3:uid="{00000000-0010-0000-0500-000002000000}" name="Cantidad"/>
    <tableColumn id="3" xr3:uid="{00000000-0010-0000-0500-000003000000}" name="Precio"/>
    <tableColumn id="4" xr3:uid="{00000000-0010-0000-0500-000004000000}" name="Descuento"/>
    <tableColumn id="5" xr3:uid="{00000000-0010-0000-0500-000005000000}" name="Importa" dataDxfId="16">
      <calculatedColumnFormula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a115" displayName="Tabla115" ref="C4:H103" totalsRowShown="0">
  <autoFilter ref="C4:H103" xr:uid="{00000000-0009-0000-0100-00000E000000}"/>
  <tableColumns count="6">
    <tableColumn id="1" xr3:uid="{00000000-0010-0000-0600-000001000000}" name="#" dataDxfId="15">
      <calculatedColumnFormula>IF(ISNUMBER(E5), IF(ISNUMBER(C4), C4+1, 1), "")</calculatedColumnFormula>
    </tableColumn>
    <tableColumn id="6" xr3:uid="{00000000-0010-0000-0600-000006000000}" name="Producto"/>
    <tableColumn id="2" xr3:uid="{00000000-0010-0000-0600-000002000000}" name="Cantidad"/>
    <tableColumn id="3" xr3:uid="{00000000-0010-0000-0600-000003000000}" name="Precio"/>
    <tableColumn id="4" xr3:uid="{00000000-0010-0000-0600-000004000000}" name="Descuento"/>
    <tableColumn id="5" xr3:uid="{00000000-0010-0000-0600-000005000000}" name="Importa" dataDxfId="14">
      <calculatedColumnFormula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B3:D22" totalsRowShown="0">
  <autoFilter ref="B3:D22" xr:uid="{00000000-0009-0000-0100-000007000000}"/>
  <tableColumns count="3">
    <tableColumn id="1" xr3:uid="{00000000-0010-0000-0700-000001000000}" name="Cambio"/>
    <tableColumn id="2" xr3:uid="{00000000-0010-0000-0700-000002000000}" name="Fecha"/>
    <tableColumn id="3" xr3:uid="{00000000-0010-0000-0700-000003000000}" name="vers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3"/>
  <sheetViews>
    <sheetView workbookViewId="0">
      <selection activeCell="D32" sqref="D3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3" max="13" width="9.140625" customWidth="1"/>
    <col min="18" max="18" width="12" customWidth="1"/>
  </cols>
  <sheetData>
    <row r="2" spans="2:18" ht="28.5" x14ac:dyDescent="0.45">
      <c r="C2" s="34" t="s">
        <v>25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2" t="s">
        <v>17</v>
      </c>
      <c r="K3" s="6">
        <f>SUM(Tabla1[Importa])</f>
        <v>2936</v>
      </c>
      <c r="M3" s="37" t="s">
        <v>6</v>
      </c>
      <c r="N3" s="37"/>
      <c r="O3" s="37"/>
      <c r="P3" s="37"/>
      <c r="Q3" s="37"/>
      <c r="R3" s="37"/>
    </row>
    <row r="4" spans="2:18" ht="31.5" x14ac:dyDescent="0.5">
      <c r="B4" s="17" t="s">
        <v>23</v>
      </c>
      <c r="C4" t="s">
        <v>15</v>
      </c>
      <c r="D4" t="s">
        <v>47</v>
      </c>
      <c r="E4" t="s">
        <v>1</v>
      </c>
      <c r="F4" t="s">
        <v>2</v>
      </c>
      <c r="G4" t="s">
        <v>3</v>
      </c>
      <c r="H4" t="s">
        <v>4</v>
      </c>
      <c r="J4" s="11" t="s">
        <v>18</v>
      </c>
      <c r="K4" s="10">
        <f>COUNTIF(C5:C103,"&gt;0")</f>
        <v>26</v>
      </c>
      <c r="M4" s="36" t="s">
        <v>52</v>
      </c>
      <c r="N4" s="36"/>
      <c r="O4" s="36"/>
      <c r="P4" s="36"/>
      <c r="Q4" s="36"/>
      <c r="R4" s="36"/>
    </row>
    <row r="5" spans="2:18" x14ac:dyDescent="0.25">
      <c r="B5" s="18">
        <f ca="1">IF(Tabla1[[#This Row],['#]]&lt;&gt;"", NOW(), "")</f>
        <v>46256.753102893519</v>
      </c>
      <c r="C5">
        <f>IF(ISNUMBER(E5), IF(ISNUMBER(C4), C4+1, 1), "")</f>
        <v>1</v>
      </c>
      <c r="D5" t="s">
        <v>26</v>
      </c>
      <c r="E5">
        <v>1</v>
      </c>
      <c r="F5">
        <v>15</v>
      </c>
      <c r="H5" s="5">
        <f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f>
        <v>15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46256.753102893519</v>
      </c>
      <c r="C6">
        <f t="shared" ref="C6:C36" si="0">IF(ISNUMBER(E6), IF(ISNUMBER(C5), C5+1, 1), "")</f>
        <v>2</v>
      </c>
      <c r="D6" t="s">
        <v>28</v>
      </c>
      <c r="E6">
        <v>1</v>
      </c>
      <c r="F6">
        <v>359</v>
      </c>
      <c r="H6" s="5">
        <f>IF(Tabla1[[#This Row],[Cantidad]] &gt; 0,CEILING(( Tabla1[[#This Row],[Cantidad]]*Tabla1[[#This Row],[Precio]]) - IF(ISNUMBER(FIND("x", LOWER(G6))), ( Tabla1[[#This Row],[Cantidad]]* Tabla1[[#This Row],[Precio]] * IF(ISNUMBER(FIND("aceite", LOWER(Tabla1[[#This Row],[PRODUCTO]]))), 0.05, 0.1)), 0), 0.5), "")</f>
        <v>359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46256.753102893519</v>
      </c>
      <c r="C7">
        <f t="shared" si="0"/>
        <v>3</v>
      </c>
      <c r="D7" t="s">
        <v>29</v>
      </c>
      <c r="E7">
        <v>1</v>
      </c>
      <c r="F7">
        <v>280</v>
      </c>
      <c r="G7" t="s">
        <v>30</v>
      </c>
      <c r="H7" s="5">
        <f>IF(Tabla1[[#This Row],[Cantidad]] &gt; 0,CEILING(( Tabla1[[#This Row],[Cantidad]]*Tabla1[[#This Row],[Precio]]) - IF(ISNUMBER(FIND("x", LOWER(G7))), ( Tabla1[[#This Row],[Cantidad]]* Tabla1[[#This Row],[Precio]] * IF(ISNUMBER(FIND("aceite", LOWER(Tabla1[[#This Row],[PRODUCTO]]))), 0.05, 0.1)), 0), 0.5), "")</f>
        <v>252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46256.753102893519</v>
      </c>
      <c r="C8">
        <f t="shared" si="0"/>
        <v>4</v>
      </c>
      <c r="D8" t="s">
        <v>31</v>
      </c>
      <c r="E8">
        <v>1</v>
      </c>
      <c r="F8">
        <v>180</v>
      </c>
      <c r="H8" s="5">
        <f>IF(Tabla1[[#This Row],[Cantidad]] &gt; 0,CEILING(( Tabla1[[#This Row],[Cantidad]]*Tabla1[[#This Row],[Precio]]) - IF(ISNUMBER(FIND("x", LOWER(G8))), ( Tabla1[[#This Row],[Cantidad]]* Tabla1[[#This Row],[Precio]] * IF(ISNUMBER(FIND("aceite", LOWER(Tabla1[[#This Row],[PRODUCTO]]))), 0.05, 0.1)), 0), 0.5), "")</f>
        <v>180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46256.753102893519</v>
      </c>
      <c r="C9">
        <f t="shared" si="0"/>
        <v>5</v>
      </c>
      <c r="D9" t="s">
        <v>32</v>
      </c>
      <c r="E9">
        <v>1</v>
      </c>
      <c r="F9">
        <v>50</v>
      </c>
      <c r="H9" s="5">
        <f>IF(Tabla1[[#This Row],[Cantidad]] &gt; 0,CEILING(( Tabla1[[#This Row],[Cantidad]]*Tabla1[[#This Row],[Precio]]) - IF(ISNUMBER(FIND("x", LOWER(G9))), ( Tabla1[[#This Row],[Cantidad]]* Tabla1[[#This Row],[Precio]] * IF(ISNUMBER(FIND("aceite", LOWER(Tabla1[[#This Row],[PRODUCTO]]))), 0.05, 0.1)), 0), 0.5), "")</f>
        <v>50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46256.753102893519</v>
      </c>
      <c r="C10">
        <f t="shared" si="0"/>
        <v>6</v>
      </c>
      <c r="D10" t="s">
        <v>33</v>
      </c>
      <c r="E10">
        <v>1</v>
      </c>
      <c r="F10">
        <v>46</v>
      </c>
      <c r="H10" s="5">
        <f>IF(Tabla1[[#This Row],[Cantidad]] &gt; 0,CEILING(( Tabla1[[#This Row],[Cantidad]]*Tabla1[[#This Row],[Precio]]) - IF(ISNUMBER(FIND("x", LOWER(G10))), ( Tabla1[[#This Row],[Cantidad]]* Tabla1[[#This Row],[Precio]] * IF(ISNUMBER(FIND("aceite", LOWER(Tabla1[[#This Row],[PRODUCTO]]))), 0.05, 0.1)), 0), 0.5), "")</f>
        <v>46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46256.753102893519</v>
      </c>
      <c r="C11">
        <f t="shared" si="0"/>
        <v>7</v>
      </c>
      <c r="D11" t="s">
        <v>34</v>
      </c>
      <c r="E11">
        <v>1</v>
      </c>
      <c r="F11">
        <v>70</v>
      </c>
      <c r="H11" s="5">
        <f>IF(Tabla1[[#This Row],[Cantidad]] &gt; 0,CEILING(( Tabla1[[#This Row],[Cantidad]]*Tabla1[[#This Row],[Precio]]) - IF(ISNUMBER(FIND("x", LOWER(G11))), ( Tabla1[[#This Row],[Cantidad]]* Tabla1[[#This Row],[Precio]] * IF(ISNUMBER(FIND("aceite", LOWER(Tabla1[[#This Row],[PRODUCTO]]))), 0.05, 0.1)), 0), 0.5), "")</f>
        <v>70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46256.753102893519</v>
      </c>
      <c r="C12">
        <f t="shared" si="0"/>
        <v>8</v>
      </c>
      <c r="D12" t="s">
        <v>34</v>
      </c>
      <c r="E12">
        <v>1</v>
      </c>
      <c r="F12">
        <v>87</v>
      </c>
      <c r="H12" s="5">
        <f>IF(Tabla1[[#This Row],[Cantidad]] &gt; 0,CEILING(( Tabla1[[#This Row],[Cantidad]]*Tabla1[[#This Row],[Precio]]) - IF(ISNUMBER(FIND("x", LOWER(G12))), ( Tabla1[[#This Row],[Cantidad]]* Tabla1[[#This Row],[Precio]] * IF(ISNUMBER(FIND("aceite", LOWER(Tabla1[[#This Row],[PRODUCTO]]))), 0.05, 0.1)), 0), 0.5), "")</f>
        <v>87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46256.753102893519</v>
      </c>
      <c r="C13">
        <f t="shared" si="0"/>
        <v>9</v>
      </c>
      <c r="D13" t="s">
        <v>35</v>
      </c>
      <c r="E13">
        <v>1</v>
      </c>
      <c r="F13">
        <v>65</v>
      </c>
      <c r="G13" t="s">
        <v>30</v>
      </c>
      <c r="H13" s="5">
        <f>IF(Tabla1[[#This Row],[Cantidad]] &gt; 0,CEILING(( Tabla1[[#This Row],[Cantidad]]*Tabla1[[#This Row],[Precio]]) - IF(ISNUMBER(FIND("x", LOWER(G13))), ( Tabla1[[#This Row],[Cantidad]]* Tabla1[[#This Row],[Precio]] * IF(ISNUMBER(FIND("aceite", LOWER(Tabla1[[#This Row],[PRODUCTO]]))), 0.05, 0.1)), 0), 0.5), "")</f>
        <v>58.5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46256.753102893519</v>
      </c>
      <c r="C14">
        <f t="shared" si="0"/>
        <v>10</v>
      </c>
      <c r="D14" t="s">
        <v>36</v>
      </c>
      <c r="E14">
        <v>1</v>
      </c>
      <c r="F14">
        <v>108</v>
      </c>
      <c r="H14" s="5">
        <f>IF(Tabla1[[#This Row],[Cantidad]] &gt; 0,CEILING(( Tabla1[[#This Row],[Cantidad]]*Tabla1[[#This Row],[Precio]]) - IF(ISNUMBER(FIND("x", LOWER(G14))), ( Tabla1[[#This Row],[Cantidad]]* Tabla1[[#This Row],[Precio]] * IF(ISNUMBER(FIND("aceite", LOWER(Tabla1[[#This Row],[PRODUCTO]]))), 0.05, 0.1)), 0), 0.5), "")</f>
        <v>108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46256.753102893519</v>
      </c>
      <c r="C15">
        <f t="shared" si="0"/>
        <v>11</v>
      </c>
      <c r="D15" t="s">
        <v>37</v>
      </c>
      <c r="E15">
        <v>1</v>
      </c>
      <c r="F15">
        <v>250</v>
      </c>
      <c r="G15" t="s">
        <v>30</v>
      </c>
      <c r="H15" s="5">
        <f>IF(Tabla1[[#This Row],[Cantidad]] &gt; 0,CEILING(( Tabla1[[#This Row],[Cantidad]]*Tabla1[[#This Row],[Precio]]) - IF(ISNUMBER(FIND("x", LOWER(G15))), ( Tabla1[[#This Row],[Cantidad]]* Tabla1[[#This Row],[Precio]] * IF(ISNUMBER(FIND("aceite", LOWER(Tabla1[[#This Row],[PRODUCTO]]))), 0.05, 0.1)), 0), 0.5), "")</f>
        <v>225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46256.753102893519</v>
      </c>
      <c r="C16">
        <f t="shared" si="0"/>
        <v>12</v>
      </c>
      <c r="D16" t="s">
        <v>38</v>
      </c>
      <c r="E16">
        <v>1</v>
      </c>
      <c r="F16">
        <v>20</v>
      </c>
      <c r="G16" t="s">
        <v>30</v>
      </c>
      <c r="H16" s="5">
        <f>IF(Tabla1[[#This Row],[Cantidad]] &gt; 0,CEILING(( Tabla1[[#This Row],[Cantidad]]*Tabla1[[#This Row],[Precio]]) - IF(ISNUMBER(FIND("x", LOWER(G16))), ( Tabla1[[#This Row],[Cantidad]]* Tabla1[[#This Row],[Precio]] * IF(ISNUMBER(FIND("aceite", LOWER(Tabla1[[#This Row],[PRODUCTO]]))), 0.05, 0.1)), 0), 0.5), "")</f>
        <v>18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46256.753102893519</v>
      </c>
      <c r="C17">
        <f t="shared" si="0"/>
        <v>13</v>
      </c>
      <c r="D17" t="s">
        <v>39</v>
      </c>
      <c r="E17">
        <v>1</v>
      </c>
      <c r="F17">
        <v>294</v>
      </c>
      <c r="G17" t="s">
        <v>30</v>
      </c>
      <c r="H17" s="5">
        <f>IF(Tabla1[[#This Row],[Cantidad]] &gt; 0,CEILING(( Tabla1[[#This Row],[Cantidad]]*Tabla1[[#This Row],[Precio]]) - IF(ISNUMBER(FIND("x", LOWER(G17))), ( Tabla1[[#This Row],[Cantidad]]* Tabla1[[#This Row],[Precio]] * IF(ISNUMBER(FIND("aceite", LOWER(Tabla1[[#This Row],[PRODUCTO]]))), 0.05, 0.1)), 0), 0.5), "")</f>
        <v>265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46256.753102893519</v>
      </c>
      <c r="C18">
        <f t="shared" si="0"/>
        <v>14</v>
      </c>
      <c r="D18" t="s">
        <v>40</v>
      </c>
      <c r="E18">
        <v>1</v>
      </c>
      <c r="F18">
        <v>170</v>
      </c>
      <c r="G18" t="s">
        <v>30</v>
      </c>
      <c r="H18" s="5">
        <f>IF(Tabla1[[#This Row],[Cantidad]] &gt; 0,CEILING(( Tabla1[[#This Row],[Cantidad]]*Tabla1[[#This Row],[Precio]]) - IF(ISNUMBER(FIND("x", LOWER(G18))), ( Tabla1[[#This Row],[Cantidad]]* Tabla1[[#This Row],[Precio]] * IF(ISNUMBER(FIND("aceite", LOWER(Tabla1[[#This Row],[PRODUCTO]]))), 0.05, 0.1)), 0), 0.5), "")</f>
        <v>153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46256.753102893519</v>
      </c>
      <c r="C19">
        <f t="shared" si="0"/>
        <v>15</v>
      </c>
      <c r="D19" t="s">
        <v>41</v>
      </c>
      <c r="E19">
        <v>1</v>
      </c>
      <c r="F19">
        <v>150</v>
      </c>
      <c r="G19" t="s">
        <v>30</v>
      </c>
      <c r="H19" s="5">
        <f>IF(Tabla1[[#This Row],[Cantidad]] &gt; 0,CEILING(( Tabla1[[#This Row],[Cantidad]]*Tabla1[[#This Row],[Precio]]) - IF(ISNUMBER(FIND("x", LOWER(G19))), ( Tabla1[[#This Row],[Cantidad]]* Tabla1[[#This Row],[Precio]] * IF(ISNUMBER(FIND("aceite", LOWER(Tabla1[[#This Row],[PRODUCTO]]))), 0.05, 0.1)), 0), 0.5), "")</f>
        <v>135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46256.753102893519</v>
      </c>
      <c r="C20">
        <f t="shared" si="0"/>
        <v>16</v>
      </c>
      <c r="D20" t="s">
        <v>42</v>
      </c>
      <c r="E20">
        <v>1</v>
      </c>
      <c r="F20">
        <v>195</v>
      </c>
      <c r="H20" s="5">
        <f>IF(Tabla1[[#This Row],[Cantidad]] &gt; 0,CEILING(( Tabla1[[#This Row],[Cantidad]]*Tabla1[[#This Row],[Precio]]) - IF(ISNUMBER(FIND("x", LOWER(G20))), ( Tabla1[[#This Row],[Cantidad]]* Tabla1[[#This Row],[Precio]] * IF(ISNUMBER(FIND("aceite", LOWER(Tabla1[[#This Row],[PRODUCTO]]))), 0.05, 0.1)), 0), 0.5), "")</f>
        <v>195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46256.753102893519</v>
      </c>
      <c r="C21">
        <f t="shared" si="0"/>
        <v>17</v>
      </c>
      <c r="D21" t="s">
        <v>43</v>
      </c>
      <c r="E21">
        <v>3</v>
      </c>
      <c r="F21">
        <v>5</v>
      </c>
      <c r="H21" s="5">
        <f>IF(Tabla1[[#This Row],[Cantidad]] &gt; 0,CEILING(( Tabla1[[#This Row],[Cantidad]]*Tabla1[[#This Row],[Precio]]) - IF(ISNUMBER(FIND("x", LOWER(G21))), ( Tabla1[[#This Row],[Cantidad]]* Tabla1[[#This Row],[Precio]] * IF(ISNUMBER(FIND("aceite", LOWER(Tabla1[[#This Row],[PRODUCTO]]))), 0.05, 0.1)), 0), 0.5), "")</f>
        <v>15</v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D22" t="s">
        <v>43</v>
      </c>
      <c r="E22">
        <v>1</v>
      </c>
      <c r="F22">
        <v>5</v>
      </c>
      <c r="H22" s="5">
        <f>IF(Tabla1[[#This Row],[Cantidad]] &gt; 0,CEILING(( Tabla1[[#This Row],[Cantidad]]*Tabla1[[#This Row],[Precio]]) - IF(ISNUMBER(FIND("x", LOWER(G22))), ( Tabla1[[#This Row],[Cantidad]]* Tabla1[[#This Row],[Precio]] * IF(ISNUMBER(FIND("aceite", LOWER(Tabla1[[#This Row],[PRODUCTO]]))), 0.05, 0.1)), 0), 0.5), "")</f>
        <v>5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46256.753102893519</v>
      </c>
      <c r="C23">
        <f t="shared" si="0"/>
        <v>1</v>
      </c>
      <c r="D23" t="s">
        <v>44</v>
      </c>
      <c r="E23">
        <v>1</v>
      </c>
      <c r="F23">
        <v>20</v>
      </c>
      <c r="H23" s="5">
        <f>IF(Tabla1[[#This Row],[Cantidad]] &gt; 0,CEILING(( Tabla1[[#This Row],[Cantidad]]*Tabla1[[#This Row],[Precio]]) - IF(ISNUMBER(FIND("x", LOWER(G23))), ( Tabla1[[#This Row],[Cantidad]]* Tabla1[[#This Row],[Precio]] * IF(ISNUMBER(FIND("aceite", LOWER(Tabla1[[#This Row],[PRODUCTO]]))), 0.05, 0.1)), 0), 0.5), "")</f>
        <v>20</v>
      </c>
    </row>
    <row r="24" spans="2:18" ht="15" customHeight="1" x14ac:dyDescent="0.25">
      <c r="B24" s="18">
        <f ca="1">IF(Tabla1[[#This Row],['#]]&lt;&gt;"", NOW(), "")</f>
        <v>46256.753102893519</v>
      </c>
      <c r="C24">
        <f t="shared" si="0"/>
        <v>2</v>
      </c>
      <c r="D24" t="s">
        <v>45</v>
      </c>
      <c r="E24">
        <v>1</v>
      </c>
      <c r="F24">
        <v>130</v>
      </c>
      <c r="G24" t="s">
        <v>30</v>
      </c>
      <c r="H24" s="5">
        <f>IF(Tabla1[[#This Row],[Cantidad]] &gt; 0,CEILING(( Tabla1[[#This Row],[Cantidad]]*Tabla1[[#This Row],[Precio]]) - IF(ISNUMBER(FIND("x", LOWER(G24))), ( Tabla1[[#This Row],[Cantidad]]* Tabla1[[#This Row],[Precio]] * IF(ISNUMBER(FIND("aceite", LOWER(Tabla1[[#This Row],[PRODUCTO]]))), 0.05, 0.1)), 0), 0.5), "")</f>
        <v>123.5</v>
      </c>
      <c r="M24" s="32" t="s">
        <v>19</v>
      </c>
      <c r="N24" s="32"/>
      <c r="O24" s="32"/>
      <c r="P24" s="32"/>
      <c r="Q24" s="32"/>
      <c r="R24" s="32"/>
    </row>
    <row r="25" spans="2:18" x14ac:dyDescent="0.25">
      <c r="B25" s="18">
        <f ca="1">IF(Tabla1[[#This Row],['#]]&lt;&gt;"", NOW(), "")</f>
        <v>46256.753102893519</v>
      </c>
      <c r="C25">
        <f t="shared" si="0"/>
        <v>3</v>
      </c>
      <c r="D25" t="s">
        <v>46</v>
      </c>
      <c r="E25">
        <v>1</v>
      </c>
      <c r="F25">
        <v>35</v>
      </c>
      <c r="H25" s="5">
        <f>IF(Tabla1[[#This Row],[Cantidad]] &gt; 0,CEILING(( Tabla1[[#This Row],[Cantidad]]*Tabla1[[#This Row],[Precio]]) - IF(ISNUMBER(FIND("x", LOWER(G25))), ( Tabla1[[#This Row],[Cantidad]]* Tabla1[[#This Row],[Precio]] * IF(ISNUMBER(FIND("aceite", LOWER(Tabla1[[#This Row],[PRODUCTO]]))), 0.05, 0.1)), 0), 0.5), "")</f>
        <v>35</v>
      </c>
      <c r="M25" s="33"/>
      <c r="N25" s="33"/>
      <c r="O25" s="33"/>
      <c r="P25" s="33"/>
      <c r="Q25" s="33"/>
      <c r="R25" s="33"/>
    </row>
    <row r="26" spans="2:18" ht="15" customHeight="1" x14ac:dyDescent="0.25">
      <c r="B26" s="18">
        <f ca="1">IF(Tabla1[[#This Row],['#]]&lt;&gt;"", NOW(), "")</f>
        <v>46256.753102893519</v>
      </c>
      <c r="C26">
        <f t="shared" si="0"/>
        <v>4</v>
      </c>
      <c r="D26" t="s">
        <v>48</v>
      </c>
      <c r="E26">
        <v>1</v>
      </c>
      <c r="F26">
        <v>50</v>
      </c>
      <c r="H26" s="5">
        <f>IF(Tabla1[[#This Row],[Cantidad]] &gt; 0,CEILING(( Tabla1[[#This Row],[Cantidad]]*Tabla1[[#This Row],[Precio]]) - IF(ISNUMBER(FIND("x", LOWER(G26))), ( Tabla1[[#This Row],[Cantidad]]* Tabla1[[#This Row],[Precio]] * IF(ISNUMBER(FIND("aceite", LOWER(Tabla1[[#This Row],[PRODUCTO]]))), 0.05, 0.1)), 0), 0.5), "")</f>
        <v>50</v>
      </c>
      <c r="M26" s="31" t="s">
        <v>20</v>
      </c>
      <c r="N26" s="31"/>
      <c r="O26" s="14" t="s">
        <v>21</v>
      </c>
      <c r="P26" s="31" t="s">
        <v>22</v>
      </c>
      <c r="Q26" s="31"/>
      <c r="R26" s="31"/>
    </row>
    <row r="27" spans="2:18" x14ac:dyDescent="0.25">
      <c r="B27" s="18">
        <f ca="1">IF(Tabla1[[#This Row],['#]]&lt;&gt;"", NOW(), "")</f>
        <v>46256.753102893519</v>
      </c>
      <c r="C27">
        <f t="shared" si="0"/>
        <v>5</v>
      </c>
      <c r="D27" t="s">
        <v>49</v>
      </c>
      <c r="E27">
        <v>1</v>
      </c>
      <c r="F27">
        <v>75</v>
      </c>
      <c r="H27" s="5">
        <f>IF(Tabla1[[#This Row],[Cantidad]] &gt; 0,CEILING(( Tabla1[[#This Row],[Cantidad]]*Tabla1[[#This Row],[Precio]]) - IF(ISNUMBER(FIND("x", LOWER(G27))), ( Tabla1[[#This Row],[Cantidad]]* Tabla1[[#This Row],[Precio]] * IF(ISNUMBER(FIND("aceite", LOWER(Tabla1[[#This Row],[PRODUCTO]]))), 0.05, 0.1)), 0), 0.5), "")</f>
        <v>75</v>
      </c>
      <c r="M27" s="19" t="s">
        <v>27</v>
      </c>
      <c r="N27" s="20"/>
      <c r="O27" s="23">
        <v>2320</v>
      </c>
      <c r="P27" s="25"/>
      <c r="Q27" s="26"/>
      <c r="R27" s="27"/>
    </row>
    <row r="28" spans="2:18" x14ac:dyDescent="0.25">
      <c r="B28" s="18">
        <f ca="1">IF(Tabla1[[#This Row],['#]]&lt;&gt;"", NOW(), "")</f>
        <v>46256.753102893519</v>
      </c>
      <c r="C28">
        <f t="shared" si="0"/>
        <v>6</v>
      </c>
      <c r="D28" t="s">
        <v>53</v>
      </c>
      <c r="E28">
        <v>1</v>
      </c>
      <c r="F28">
        <v>115</v>
      </c>
      <c r="H28" s="5">
        <f>IF(Tabla1[[#This Row],[Cantidad]] &gt; 0,CEILING(( Tabla1[[#This Row],[Cantidad]]*Tabla1[[#This Row],[Precio]]) - IF(ISNUMBER(FIND("x", LOWER(G28))), ( Tabla1[[#This Row],[Cantidad]]* Tabla1[[#This Row],[Precio]] * IF(ISNUMBER(FIND("aceite", LOWER(Tabla1[[#This Row],[PRODUCTO]]))), 0.05, 0.1)), 0), 0.5), "")</f>
        <v>115</v>
      </c>
      <c r="M28" s="21"/>
      <c r="N28" s="22"/>
      <c r="O28" s="24"/>
      <c r="P28" s="28"/>
      <c r="Q28" s="29"/>
      <c r="R28" s="30"/>
    </row>
    <row r="29" spans="2:18" x14ac:dyDescent="0.25">
      <c r="B29" s="18">
        <f ca="1">IF(Tabla1[[#This Row],['#]]&lt;&gt;"", NOW(), "")</f>
        <v>46256.753102893519</v>
      </c>
      <c r="C29">
        <f t="shared" si="0"/>
        <v>7</v>
      </c>
      <c r="D29" t="s">
        <v>54</v>
      </c>
      <c r="E29">
        <v>1</v>
      </c>
      <c r="F29">
        <v>50</v>
      </c>
      <c r="H29" s="5">
        <f>IF(Tabla1[[#This Row],[Cantidad]] &gt; 0,CEILING(( Tabla1[[#This Row],[Cantidad]]*Tabla1[[#This Row],[Precio]]) - IF(ISNUMBER(FIND("x", LOWER(G29))), ( Tabla1[[#This Row],[Cantidad]]* Tabla1[[#This Row],[Precio]] * IF(ISNUMBER(FIND("aceite", LOWER(Tabla1[[#This Row],[PRODUCTO]]))), 0.05, 0.1)), 0), 0.5), "")</f>
        <v>50</v>
      </c>
      <c r="M29" s="19" t="s">
        <v>50</v>
      </c>
      <c r="N29" s="20"/>
      <c r="O29" s="23">
        <v>1750</v>
      </c>
      <c r="P29" s="25"/>
      <c r="Q29" s="26"/>
      <c r="R29" s="27"/>
    </row>
    <row r="30" spans="2:18" x14ac:dyDescent="0.25">
      <c r="B30" s="18">
        <f ca="1">IF(Tabla1[[#This Row],['#]]&lt;&gt;"", NOW(), "")</f>
        <v>46256.753102893519</v>
      </c>
      <c r="C30">
        <f t="shared" si="0"/>
        <v>8</v>
      </c>
      <c r="D30" t="s">
        <v>55</v>
      </c>
      <c r="E30">
        <v>1</v>
      </c>
      <c r="F30">
        <v>160</v>
      </c>
      <c r="G30" t="s">
        <v>30</v>
      </c>
      <c r="H30" s="5">
        <f>IF(Tabla1[[#This Row],[Cantidad]] &gt; 0,CEILING(( Tabla1[[#This Row],[Cantidad]]*Tabla1[[#This Row],[Precio]]) - IF(ISNUMBER(FIND("x", LOWER(G30))), ( Tabla1[[#This Row],[Cantidad]]* Tabla1[[#This Row],[Precio]] * IF(ISNUMBER(FIND("aceite", LOWER(Tabla1[[#This Row],[PRODUCTO]]))), 0.05, 0.1)), 0), 0.5), "")</f>
        <v>144</v>
      </c>
      <c r="M30" s="21"/>
      <c r="N30" s="22"/>
      <c r="O30" s="24"/>
      <c r="P30" s="28"/>
      <c r="Q30" s="29"/>
      <c r="R30" s="30"/>
    </row>
    <row r="31" spans="2:18" x14ac:dyDescent="0.25">
      <c r="B31" s="18">
        <f ca="1">IF(Tabla1[[#This Row],['#]]&lt;&gt;"", NOW(), "")</f>
        <v>46256.753102893519</v>
      </c>
      <c r="C31">
        <f t="shared" si="0"/>
        <v>9</v>
      </c>
      <c r="D31" t="s">
        <v>56</v>
      </c>
      <c r="E31">
        <v>1</v>
      </c>
      <c r="F31">
        <v>87</v>
      </c>
      <c r="H31" s="5">
        <f>IF(Tabla1[[#This Row],[Cantidad]] &gt; 0,CEILING(( Tabla1[[#This Row],[Cantidad]]*Tabla1[[#This Row],[Precio]]) - IF(ISNUMBER(FIND("x", LOWER(G31))), ( Tabla1[[#This Row],[Cantidad]]* Tabla1[[#This Row],[Precio]] * IF(ISNUMBER(FIND("aceite", LOWER(Tabla1[[#This Row],[PRODUCTO]]))), 0.05, 0.1)), 0), 0.5), "")</f>
        <v>87</v>
      </c>
      <c r="M31" s="19" t="s">
        <v>51</v>
      </c>
      <c r="N31" s="20"/>
      <c r="O31" s="23">
        <v>4070</v>
      </c>
      <c r="P31" s="25"/>
      <c r="Q31" s="26"/>
      <c r="R31" s="27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IF(Tabla1[[#This Row],[Cantidad]] &gt; 0,CEILING(( Tabla1[[#This Row],[Cantidad]]*Tabla1[[#This Row],[Precio]]) - IF(ISNUMBER(FIND("x", LOWER(G32))), ( Tabla1[[#This Row],[Cantidad]]* Tabla1[[#This Row],[Precio]] * IF(ISNUMBER(FIND("aceite", LOWER(Tabla1[[#This Row],[PRODUCTO]]))), 0.05, 0.1)), 0), 0.5), "")</f>
        <v/>
      </c>
      <c r="M32" s="21"/>
      <c r="N32" s="22"/>
      <c r="O32" s="24"/>
      <c r="P32" s="28"/>
      <c r="Q32" s="29"/>
      <c r="R32" s="30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IF(Tabla1[[#This Row],[Cantidad]] &gt; 0,CEILING(( Tabla1[[#This Row],[Cantidad]]*Tabla1[[#This Row],[Precio]]) - IF(ISNUMBER(FIND("x", LOWER(G33))), ( Tabla1[[#This Row],[Cantidad]]* Tabla1[[#This Row],[Precio]] * IF(ISNUMBER(FIND("aceite", LOWER(Tabla1[[#This Row],[PRODUCTO]]))), 0.05, 0.1)), 0), 0.5), "")</f>
        <v/>
      </c>
      <c r="M33" s="19"/>
      <c r="N33" s="20"/>
      <c r="O33" s="23"/>
      <c r="P33" s="25"/>
      <c r="Q33" s="26"/>
      <c r="R33" s="27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IF(Tabla1[[#This Row],[Cantidad]] &gt; 0,CEILING(( Tabla1[[#This Row],[Cantidad]]*Tabla1[[#This Row],[Precio]]) - IF(ISNUMBER(FIND("x", LOWER(G34))), ( Tabla1[[#This Row],[Cantidad]]* Tabla1[[#This Row],[Precio]] * IF(ISNUMBER(FIND("aceite", LOWER(Tabla1[[#This Row],[PRODUCTO]]))), 0.05, 0.1)), 0), 0.5), "")</f>
        <v/>
      </c>
      <c r="M34" s="21"/>
      <c r="N34" s="22"/>
      <c r="O34" s="24"/>
      <c r="P34" s="28"/>
      <c r="Q34" s="29"/>
      <c r="R34" s="30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IF(Tabla1[[#This Row],[Cantidad]] &gt; 0,CEILING(( Tabla1[[#This Row],[Cantidad]]*Tabla1[[#This Row],[Precio]]) - IF(ISNUMBER(FIND("x", LOWER(G35))), ( Tabla1[[#This Row],[Cantidad]]* Tabla1[[#This Row],[Precio]] * IF(ISNUMBER(FIND("aceite", LOWER(Tabla1[[#This Row],[PRODUCTO]]))), 0.05, 0.1)), 0), 0.5), "")</f>
        <v/>
      </c>
      <c r="M35" s="19"/>
      <c r="N35" s="20"/>
      <c r="O35" s="23"/>
      <c r="P35" s="25"/>
      <c r="Q35" s="26"/>
      <c r="R35" s="27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IF(Tabla1[[#This Row],[Cantidad]] &gt; 0,CEILING(( Tabla1[[#This Row],[Cantidad]]*Tabla1[[#This Row],[Precio]]) - IF(ISNUMBER(FIND("x", LOWER(G36))), ( Tabla1[[#This Row],[Cantidad]]* Tabla1[[#This Row],[Precio]] * IF(ISNUMBER(FIND("aceite", LOWER(Tabla1[[#This Row],[PRODUCTO]]))), 0.05, 0.1)), 0), 0.5), "")</f>
        <v/>
      </c>
      <c r="M36" s="21"/>
      <c r="N36" s="22"/>
      <c r="O36" s="24"/>
      <c r="P36" s="28"/>
      <c r="Q36" s="29"/>
      <c r="R36" s="30"/>
    </row>
    <row r="37" spans="2:18" x14ac:dyDescent="0.25">
      <c r="B37" s="18" t="str">
        <f ca="1">IF(Tabla1[[#This Row],['#]]&lt;&gt;"", NOW(), "")</f>
        <v/>
      </c>
      <c r="C37" t="str">
        <f t="shared" ref="C37:C68" si="1">IF(ISNUMBER(E37), IF(ISNUMBER(C36), C36+1, 1), "")</f>
        <v/>
      </c>
      <c r="H37" s="5" t="str">
        <f>IF(Tabla1[[#This Row],[Cantidad]] &gt; 0,CEILING(( Tabla1[[#This Row],[Cantidad]]*Tabla1[[#This Row],[Precio]]) - IF(ISNUMBER(FIND("x", LOWER(G37))), ( Tabla1[[#This Row],[Cantidad]]* Tabla1[[#This Row],[Precio]] * IF(ISNUMBER(FIND("aceite", LOWER(Tabla1[[#This Row],[PRODUCTO]]))), 0.05, 0.1)), 0), 0.5), "")</f>
        <v/>
      </c>
      <c r="M37" s="19"/>
      <c r="N37" s="20"/>
      <c r="O37" s="23"/>
      <c r="P37" s="25"/>
      <c r="Q37" s="26"/>
      <c r="R37" s="27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IF(Tabla1[[#This Row],[Cantidad]] &gt; 0,CEILING(( Tabla1[[#This Row],[Cantidad]]*Tabla1[[#This Row],[Precio]]) - IF(ISNUMBER(FIND("x", LOWER(G38))), ( Tabla1[[#This Row],[Cantidad]]* Tabla1[[#This Row],[Precio]] * IF(ISNUMBER(FIND("aceite", LOWER(Tabla1[[#This Row],[PRODUCTO]]))), 0.05, 0.1)), 0), 0.5), "")</f>
        <v/>
      </c>
      <c r="M38" s="21"/>
      <c r="N38" s="22"/>
      <c r="O38" s="24"/>
      <c r="P38" s="28"/>
      <c r="Q38" s="29"/>
      <c r="R38" s="30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IF(Tabla1[[#This Row],[Cantidad]] &gt; 0,CEILING(( Tabla1[[#This Row],[Cantidad]]*Tabla1[[#This Row],[Precio]]) - IF(ISNUMBER(FIND("x", LOWER(G39))), ( Tabla1[[#This Row],[Cantidad]]* Tabla1[[#This Row],[Precio]] * IF(ISNUMBER(FIND("aceite", LOWER(Tabla1[[#This Row],[PRODUCTO]]))), 0.05, 0.1)), 0), 0.5), "")</f>
        <v/>
      </c>
      <c r="M39" s="19"/>
      <c r="N39" s="20"/>
      <c r="O39" s="23"/>
      <c r="P39" s="25"/>
      <c r="Q39" s="26"/>
      <c r="R39" s="27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IF(Tabla1[[#This Row],[Cantidad]] &gt; 0,CEILING(( Tabla1[[#This Row],[Cantidad]]*Tabla1[[#This Row],[Precio]]) - IF(ISNUMBER(FIND("x", LOWER(G40))), ( Tabla1[[#This Row],[Cantidad]]* Tabla1[[#This Row],[Precio]] * IF(ISNUMBER(FIND("aceite", LOWER(Tabla1[[#This Row],[PRODUCTO]]))), 0.05, 0.1)), 0), 0.5), "")</f>
        <v/>
      </c>
      <c r="M40" s="21"/>
      <c r="N40" s="22"/>
      <c r="O40" s="24"/>
      <c r="P40" s="28"/>
      <c r="Q40" s="29"/>
      <c r="R40" s="30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IF(Tabla1[[#This Row],[Cantidad]] &gt; 0,CEILING(( Tabla1[[#This Row],[Cantidad]]*Tabla1[[#This Row],[Precio]]) - IF(ISNUMBER(FIND("x", LOWER(G41))), ( Tabla1[[#This Row],[Cantidad]]* Tabla1[[#This Row],[Precio]] * IF(ISNUMBER(FIND("aceite", LOWER(Tabla1[[#This Row],[PRODUCTO]]))), 0.05, 0.1)), 0), 0.5), "")</f>
        <v/>
      </c>
      <c r="M41" s="19"/>
      <c r="N41" s="20"/>
      <c r="O41" s="23"/>
      <c r="P41" s="25"/>
      <c r="Q41" s="26"/>
      <c r="R41" s="27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IF(Tabla1[[#This Row],[Cantidad]] &gt; 0,CEILING(( Tabla1[[#This Row],[Cantidad]]*Tabla1[[#This Row],[Precio]]) - IF(ISNUMBER(FIND("x", LOWER(G42))), ( Tabla1[[#This Row],[Cantidad]]* Tabla1[[#This Row],[Precio]] * IF(ISNUMBER(FIND("aceite", LOWER(Tabla1[[#This Row],[PRODUCTO]]))), 0.05, 0.1)), 0), 0.5), "")</f>
        <v/>
      </c>
      <c r="M42" s="21"/>
      <c r="N42" s="22"/>
      <c r="O42" s="24"/>
      <c r="P42" s="28"/>
      <c r="Q42" s="29"/>
      <c r="R42" s="30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IF(Tabla1[[#This Row],[Cantidad]] &gt; 0,CEILING(( Tabla1[[#This Row],[Cantidad]]*Tabla1[[#This Row],[Precio]]) - IF(ISNUMBER(FIND("x", LOWER(G43))), ( Tabla1[[#This Row],[Cantidad]]* Tabla1[[#This Row],[Precio]] * IF(ISNUMBER(FIND("aceite", LOWER(Tabla1[[#This Row],[PRODUCTO]]))), 0.05, 0.1)), 0), 0.5), "")</f>
        <v/>
      </c>
      <c r="M43" s="19"/>
      <c r="N43" s="20"/>
      <c r="O43" s="23"/>
      <c r="P43" s="25"/>
      <c r="Q43" s="26"/>
      <c r="R43" s="27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IF(Tabla1[[#This Row],[Cantidad]] &gt; 0,CEILING(( Tabla1[[#This Row],[Cantidad]]*Tabla1[[#This Row],[Precio]]) - IF(ISNUMBER(FIND("x", LOWER(G44))), ( Tabla1[[#This Row],[Cantidad]]* Tabla1[[#This Row],[Precio]] * IF(ISNUMBER(FIND("aceite", LOWER(Tabla1[[#This Row],[PRODUCTO]]))), 0.05, 0.1)), 0), 0.5), "")</f>
        <v/>
      </c>
      <c r="M44" s="21"/>
      <c r="N44" s="22"/>
      <c r="O44" s="24"/>
      <c r="P44" s="28"/>
      <c r="Q44" s="29"/>
      <c r="R44" s="30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IF(Tabla1[[#This Row],[Cantidad]] &gt; 0,CEILING(( Tabla1[[#This Row],[Cantidad]]*Tabla1[[#This Row],[Precio]]) - IF(ISNUMBER(FIND("x", LOWER(G45))), ( Tabla1[[#This Row],[Cantidad]]* Tabla1[[#This Row],[Precio]] * IF(ISNUMBER(FIND("aceite", LOWER(Tabla1[[#This Row],[PRODUCTO]]))), 0.05, 0.1)), 0), 0.5), "")</f>
        <v/>
      </c>
      <c r="M45" s="19"/>
      <c r="N45" s="20"/>
      <c r="O45" s="23"/>
      <c r="P45" s="25"/>
      <c r="Q45" s="26"/>
      <c r="R45" s="27"/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IF(Tabla1[[#This Row],[Cantidad]] &gt; 0,CEILING(( Tabla1[[#This Row],[Cantidad]]*Tabla1[[#This Row],[Precio]]) - IF(ISNUMBER(FIND("x", LOWER(G46))), ( Tabla1[[#This Row],[Cantidad]]* Tabla1[[#This Row],[Precio]] * IF(ISNUMBER(FIND("aceite", LOWER(Tabla1[[#This Row],[PRODUCTO]]))), 0.05, 0.1)), 0), 0.5), "")</f>
        <v/>
      </c>
      <c r="M46" s="21"/>
      <c r="N46" s="22"/>
      <c r="O46" s="24"/>
      <c r="P46" s="28"/>
      <c r="Q46" s="29"/>
      <c r="R46" s="30"/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IF(Tabla1[[#This Row],[Cantidad]] &gt; 0,CEILING(( Tabla1[[#This Row],[Cantidad]]*Tabla1[[#This Row],[Precio]]) - IF(ISNUMBER(FIND("x", LOWER(G47))), ( Tabla1[[#This Row],[Cantidad]]* Tabla1[[#This Row],[Precio]] * IF(ISNUMBER(FIND("aceite", LOWER(Tabla1[[#This Row],[PRODUCTO]]))), 0.05, 0.1)), 0), 0.5), "")</f>
        <v/>
      </c>
      <c r="M47" s="19"/>
      <c r="N47" s="20"/>
      <c r="O47" s="23"/>
      <c r="P47" s="25"/>
      <c r="Q47" s="26"/>
      <c r="R47" s="27"/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IF(Tabla1[[#This Row],[Cantidad]] &gt; 0,CEILING(( Tabla1[[#This Row],[Cantidad]]*Tabla1[[#This Row],[Precio]]) - IF(ISNUMBER(FIND("x", LOWER(G48))), ( Tabla1[[#This Row],[Cantidad]]* Tabla1[[#This Row],[Precio]] * IF(ISNUMBER(FIND("aceite", LOWER(Tabla1[[#This Row],[PRODUCTO]]))), 0.05, 0.1)), 0), 0.5), "")</f>
        <v/>
      </c>
      <c r="M48" s="21"/>
      <c r="N48" s="22"/>
      <c r="O48" s="24"/>
      <c r="P48" s="28"/>
      <c r="Q48" s="29"/>
      <c r="R48" s="30"/>
    </row>
    <row r="49" spans="2:1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IF(Tabla1[[#This Row],[Cantidad]] &gt; 0,CEILING(( Tabla1[[#This Row],[Cantidad]]*Tabla1[[#This Row],[Precio]]) - IF(ISNUMBER(FIND("x", LOWER(G49))), ( Tabla1[[#This Row],[Cantidad]]* Tabla1[[#This Row],[Precio]] * IF(ISNUMBER(FIND("aceite", LOWER(Tabla1[[#This Row],[PRODUCTO]]))), 0.05, 0.1)), 0), 0.5), "")</f>
        <v/>
      </c>
      <c r="M49" s="19"/>
      <c r="N49" s="20"/>
      <c r="O49" s="23"/>
      <c r="P49" s="25"/>
      <c r="Q49" s="26"/>
      <c r="R49" s="27"/>
    </row>
    <row r="50" spans="2:1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IF(Tabla1[[#This Row],[Cantidad]] &gt; 0,CEILING(( Tabla1[[#This Row],[Cantidad]]*Tabla1[[#This Row],[Precio]]) - IF(ISNUMBER(FIND("x", LOWER(G50))), ( Tabla1[[#This Row],[Cantidad]]* Tabla1[[#This Row],[Precio]] * IF(ISNUMBER(FIND("aceite", LOWER(Tabla1[[#This Row],[PRODUCTO]]))), 0.05, 0.1)), 0), 0.5), "")</f>
        <v/>
      </c>
      <c r="M50" s="21"/>
      <c r="N50" s="22"/>
      <c r="O50" s="24"/>
      <c r="P50" s="28"/>
      <c r="Q50" s="29"/>
      <c r="R50" s="30"/>
    </row>
    <row r="51" spans="2:1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IF(Tabla1[[#This Row],[Cantidad]] &gt; 0,CEILING(( Tabla1[[#This Row],[Cantidad]]*Tabla1[[#This Row],[Precio]]) - IF(ISNUMBER(FIND("x", LOWER(G51))), ( Tabla1[[#This Row],[Cantidad]]* Tabla1[[#This Row],[Precio]] * IF(ISNUMBER(FIND("aceite", LOWER(Tabla1[[#This Row],[PRODUCTO]]))), 0.05, 0.1)), 0), 0.5), "")</f>
        <v/>
      </c>
      <c r="M51" s="19"/>
      <c r="N51" s="20"/>
      <c r="O51" s="23"/>
      <c r="P51" s="25"/>
      <c r="Q51" s="26"/>
      <c r="R51" s="27"/>
    </row>
    <row r="52" spans="2:1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IF(Tabla1[[#This Row],[Cantidad]] &gt; 0,CEILING(( Tabla1[[#This Row],[Cantidad]]*Tabla1[[#This Row],[Precio]]) - IF(ISNUMBER(FIND("x", LOWER(G52))), ( Tabla1[[#This Row],[Cantidad]]* Tabla1[[#This Row],[Precio]] * IF(ISNUMBER(FIND("aceite", LOWER(Tabla1[[#This Row],[PRODUCTO]]))), 0.05, 0.1)), 0), 0.5), "")</f>
        <v/>
      </c>
      <c r="M52" s="21"/>
      <c r="N52" s="22"/>
      <c r="O52" s="24"/>
      <c r="P52" s="28"/>
      <c r="Q52" s="29"/>
      <c r="R52" s="30"/>
    </row>
    <row r="53" spans="2:1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IF(Tabla1[[#This Row],[Cantidad]] &gt; 0,CEILING(( Tabla1[[#This Row],[Cantidad]]*Tabla1[[#This Row],[Precio]]) - IF(ISNUMBER(FIND("x", LOWER(G53))), ( Tabla1[[#This Row],[Cantidad]]* Tabla1[[#This Row],[Precio]] * IF(ISNUMBER(FIND("aceite", LOWER(Tabla1[[#This Row],[PRODUCTO]]))), 0.05, 0.1)), 0), 0.5), "")</f>
        <v/>
      </c>
    </row>
    <row r="54" spans="2:1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IF(Tabla1[[#This Row],[Cantidad]] &gt; 0,CEILING(( Tabla1[[#This Row],[Cantidad]]*Tabla1[[#This Row],[Precio]]) - IF(ISNUMBER(FIND("x", LOWER(G54))), ( Tabla1[[#This Row],[Cantidad]]* Tabla1[[#This Row],[Precio]] * IF(ISNUMBER(FIND("aceite", LOWER(Tabla1[[#This Row],[PRODUCTO]]))), 0.05, 0.1)), 0), 0.5), "")</f>
        <v/>
      </c>
    </row>
    <row r="55" spans="2:1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IF(Tabla1[[#This Row],[Cantidad]] &gt; 0,CEILING(( Tabla1[[#This Row],[Cantidad]]*Tabla1[[#This Row],[Precio]]) - IF(ISNUMBER(FIND("x", LOWER(G55))), ( Tabla1[[#This Row],[Cantidad]]* Tabla1[[#This Row],[Precio]] * IF(ISNUMBER(FIND("aceite", LOWER(Tabla1[[#This Row],[PRODUCTO]]))), 0.05, 0.1)), 0), 0.5), "")</f>
        <v/>
      </c>
    </row>
    <row r="56" spans="2:1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IF(Tabla1[[#This Row],[Cantidad]] &gt; 0,CEILING(( Tabla1[[#This Row],[Cantidad]]*Tabla1[[#This Row],[Precio]]) - IF(ISNUMBER(FIND("x", LOWER(G56))), ( Tabla1[[#This Row],[Cantidad]]* Tabla1[[#This Row],[Precio]] * IF(ISNUMBER(FIND("aceite", LOWER(Tabla1[[#This Row],[PRODUCTO]]))), 0.05, 0.1)), 0), 0.5), "")</f>
        <v/>
      </c>
    </row>
    <row r="57" spans="2:1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IF(Tabla1[[#This Row],[Cantidad]] &gt; 0,CEILING(( Tabla1[[#This Row],[Cantidad]]*Tabla1[[#This Row],[Precio]]) - IF(ISNUMBER(FIND("x", LOWER(G57))), ( Tabla1[[#This Row],[Cantidad]]* Tabla1[[#This Row],[Precio]] * IF(ISNUMBER(FIND("aceite", LOWER(Tabla1[[#This Row],[PRODUCTO]]))), 0.05, 0.1)), 0), 0.5), "")</f>
        <v/>
      </c>
    </row>
    <row r="58" spans="2:1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IF(Tabla1[[#This Row],[Cantidad]] &gt; 0,CEILING(( Tabla1[[#This Row],[Cantidad]]*Tabla1[[#This Row],[Precio]]) - IF(ISNUMBER(FIND("x", LOWER(G58))), ( Tabla1[[#This Row],[Cantidad]]* Tabla1[[#This Row],[Precio]] * IF(ISNUMBER(FIND("aceite", LOWER(Tabla1[[#This Row],[PRODUCTO]]))), 0.05, 0.1)), 0), 0.5), "")</f>
        <v/>
      </c>
    </row>
    <row r="59" spans="2:1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IF(Tabla1[[#This Row],[Cantidad]] &gt; 0,CEILING(( Tabla1[[#This Row],[Cantidad]]*Tabla1[[#This Row],[Precio]]) - IF(ISNUMBER(FIND("x", LOWER(G59))), ( Tabla1[[#This Row],[Cantidad]]* Tabla1[[#This Row],[Precio]] * IF(ISNUMBER(FIND("aceite", LOWER(Tabla1[[#This Row],[PRODUCTO]]))), 0.05, 0.1)), 0), 0.5), "")</f>
        <v/>
      </c>
    </row>
    <row r="60" spans="2:1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IF(Tabla1[[#This Row],[Cantidad]] &gt; 0,CEILING(( Tabla1[[#This Row],[Cantidad]]*Tabla1[[#This Row],[Precio]]) - IF(ISNUMBER(FIND("x", LOWER(G60))), ( Tabla1[[#This Row],[Cantidad]]* Tabla1[[#This Row],[Precio]] * IF(ISNUMBER(FIND("aceite", LOWER(Tabla1[[#This Row],[PRODUCTO]]))), 0.05, 0.1)), 0), 0.5), "")</f>
        <v/>
      </c>
    </row>
    <row r="61" spans="2:1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IF(Tabla1[[#This Row],[Cantidad]] &gt; 0,CEILING(( Tabla1[[#This Row],[Cantidad]]*Tabla1[[#This Row],[Precio]]) - IF(ISNUMBER(FIND("x", LOWER(G61))), ( Tabla1[[#This Row],[Cantidad]]* Tabla1[[#This Row],[Precio]] * IF(ISNUMBER(FIND("aceite", LOWER(Tabla1[[#This Row],[PRODUCTO]]))), 0.05, 0.1)), 0), 0.5), "")</f>
        <v/>
      </c>
    </row>
    <row r="62" spans="2:1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IF(Tabla1[[#This Row],[Cantidad]] &gt; 0,CEILING(( Tabla1[[#This Row],[Cantidad]]*Tabla1[[#This Row],[Precio]]) - IF(ISNUMBER(FIND("x", LOWER(G62))), ( Tabla1[[#This Row],[Cantidad]]* Tabla1[[#This Row],[Precio]] * IF(ISNUMBER(FIND("aceite", LOWER(Tabla1[[#This Row],[PRODUCTO]]))), 0.05, 0.1)), 0), 0.5), "")</f>
        <v/>
      </c>
    </row>
    <row r="63" spans="2:1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IF(Tabla1[[#This Row],[Cantidad]] &gt; 0,CEILING(( Tabla1[[#This Row],[Cantidad]]*Tabla1[[#This Row],[Precio]]) - IF(ISNUMBER(FIND("x", LOWER(G63))), ( Tabla1[[#This Row],[Cantidad]]* Tabla1[[#This Row],[Precio]] * IF(ISNUMBER(FIND("aceite", LOWER(Tabla1[[#This Row],[PRODUCTO]]))), 0.05, 0.1)), 0), 0.5), "")</f>
        <v/>
      </c>
    </row>
    <row r="64" spans="2:1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IF(Tabla1[[#This Row],[Cantidad]] &gt; 0,CEILING(( Tabla1[[#This Row],[Cantidad]]*Tabla1[[#This Row],[Precio]]) - IF(ISNUMBER(FIND("x", LOWER(G64))), ( Tabla1[[#This Row],[Cantidad]]* Tabla1[[#This Row],[Precio]] * IF(ISNUMBER(FIND("aceite", LOWER(Tabla1[[#This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IF(Tabla1[[#This Row],[Cantidad]] &gt; 0,CEILING(( Tabla1[[#This Row],[Cantidad]]*Tabla1[[#This Row],[Precio]]) - IF(ISNUMBER(FIND("x", LOWER(G65))), ( Tabla1[[#This Row],[Cantidad]]* Tabla1[[#This Row],[Precio]] * IF(ISNUMBER(FIND("aceite", LOWER(Tabla1[[#This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IF(Tabla1[[#This Row],[Cantidad]] &gt; 0,CEILING(( Tabla1[[#This Row],[Cantidad]]*Tabla1[[#This Row],[Precio]]) - IF(ISNUMBER(FIND("x", LOWER(G66))), ( Tabla1[[#This Row],[Cantidad]]* Tabla1[[#This Row],[Precio]] * IF(ISNUMBER(FIND("aceite", LOWER(Tabla1[[#This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IF(Tabla1[[#This Row],[Cantidad]] &gt; 0,CEILING(( Tabla1[[#This Row],[Cantidad]]*Tabla1[[#This Row],[Precio]]) - IF(ISNUMBER(FIND("x", LOWER(G67))), ( Tabla1[[#This Row],[Cantidad]]* Tabla1[[#This Row],[Precio]] * IF(ISNUMBER(FIND("aceite", LOWER(Tabla1[[#This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IF(Tabla1[[#This Row],[Cantidad]] &gt; 0,CEILING(( Tabla1[[#This Row],[Cantidad]]*Tabla1[[#This Row],[Precio]]) - IF(ISNUMBER(FIND("x", LOWER(G68))), ( Tabla1[[#This Row],[Cantidad]]* Tabla1[[#This Row],[Precio]] * IF(ISNUMBER(FIND("aceite", LOWER(Tabla1[[#This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IF(Tabla1[[#This Row],[Cantidad]] &gt; 0,CEILING(( Tabla1[[#This Row],[Cantidad]]*Tabla1[[#This Row],[Precio]]) - IF(ISNUMBER(FIND("x", LOWER(G69))), ( Tabla1[[#This Row],[Cantidad]]* Tabla1[[#This Row],[Precio]] * IF(ISNUMBER(FIND("aceite", LOWER(Tabla1[[#This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IF(Tabla1[[#This Row],[Cantidad]] &gt; 0,CEILING(( Tabla1[[#This Row],[Cantidad]]*Tabla1[[#This Row],[Precio]]) - IF(ISNUMBER(FIND("x", LOWER(G70))), ( Tabla1[[#This Row],[Cantidad]]* Tabla1[[#This Row],[Precio]] * IF(ISNUMBER(FIND("aceite", LOWER(Tabla1[[#This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IF(Tabla1[[#This Row],[Cantidad]] &gt; 0,CEILING(( Tabla1[[#This Row],[Cantidad]]*Tabla1[[#This Row],[Precio]]) - IF(ISNUMBER(FIND("x", LOWER(G71))), ( Tabla1[[#This Row],[Cantidad]]* Tabla1[[#This Row],[Precio]] * IF(ISNUMBER(FIND("aceite", LOWER(Tabla1[[#This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IF(Tabla1[[#This Row],[Cantidad]] &gt; 0,CEILING(( Tabla1[[#This Row],[Cantidad]]*Tabla1[[#This Row],[Precio]]) - IF(ISNUMBER(FIND("x", LOWER(G72))), ( Tabla1[[#This Row],[Cantidad]]* Tabla1[[#This Row],[Precio]] * IF(ISNUMBER(FIND("aceite", LOWER(Tabla1[[#This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IF(Tabla1[[#This Row],[Cantidad]] &gt; 0,CEILING(( Tabla1[[#This Row],[Cantidad]]*Tabla1[[#This Row],[Precio]]) - IF(ISNUMBER(FIND("x", LOWER(G73))), ( Tabla1[[#This Row],[Cantidad]]* Tabla1[[#This Row],[Precio]] * IF(ISNUMBER(FIND("aceite", LOWER(Tabla1[[#This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IF(Tabla1[[#This Row],[Cantidad]] &gt; 0,CEILING(( Tabla1[[#This Row],[Cantidad]]*Tabla1[[#This Row],[Precio]]) - IF(ISNUMBER(FIND("x", LOWER(G74))), ( Tabla1[[#This Row],[Cantidad]]* Tabla1[[#This Row],[Precio]] * IF(ISNUMBER(FIND("aceite", LOWER(Tabla1[[#This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IF(Tabla1[[#This Row],[Cantidad]] &gt; 0,CEILING(( Tabla1[[#This Row],[Cantidad]]*Tabla1[[#This Row],[Precio]]) - IF(ISNUMBER(FIND("x", LOWER(G75))), ( Tabla1[[#This Row],[Cantidad]]* Tabla1[[#This Row],[Precio]] * IF(ISNUMBER(FIND("aceite", LOWER(Tabla1[[#This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IF(Tabla1[[#This Row],[Cantidad]] &gt; 0,CEILING(( Tabla1[[#This Row],[Cantidad]]*Tabla1[[#This Row],[Precio]]) - IF(ISNUMBER(FIND("x", LOWER(G76))), ( Tabla1[[#This Row],[Cantidad]]* Tabla1[[#This Row],[Precio]] * IF(ISNUMBER(FIND("aceite", LOWER(Tabla1[[#This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IF(Tabla1[[#This Row],[Cantidad]] &gt; 0,CEILING(( Tabla1[[#This Row],[Cantidad]]*Tabla1[[#This Row],[Precio]]) - IF(ISNUMBER(FIND("x", LOWER(G77))), ( Tabla1[[#This Row],[Cantidad]]* Tabla1[[#This Row],[Precio]] * IF(ISNUMBER(FIND("aceite", LOWER(Tabla1[[#This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IF(Tabla1[[#This Row],[Cantidad]] &gt; 0,CEILING(( Tabla1[[#This Row],[Cantidad]]*Tabla1[[#This Row],[Precio]]) - IF(ISNUMBER(FIND("x", LOWER(G78))), ( Tabla1[[#This Row],[Cantidad]]* Tabla1[[#This Row],[Precio]] * IF(ISNUMBER(FIND("aceite", LOWER(Tabla1[[#This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IF(Tabla1[[#This Row],[Cantidad]] &gt; 0,CEILING(( Tabla1[[#This Row],[Cantidad]]*Tabla1[[#This Row],[Precio]]) - IF(ISNUMBER(FIND("x", LOWER(G79))), ( Tabla1[[#This Row],[Cantidad]]* Tabla1[[#This Row],[Precio]] * IF(ISNUMBER(FIND("aceite", LOWER(Tabla1[[#This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IF(Tabla1[[#This Row],[Cantidad]] &gt; 0,CEILING(( Tabla1[[#This Row],[Cantidad]]*Tabla1[[#This Row],[Precio]]) - IF(ISNUMBER(FIND("x", LOWER(G80))), ( Tabla1[[#This Row],[Cantidad]]* Tabla1[[#This Row],[Precio]] * IF(ISNUMBER(FIND("aceite", LOWER(Tabla1[[#This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IF(Tabla1[[#This Row],[Cantidad]] &gt; 0,CEILING(( Tabla1[[#This Row],[Cantidad]]*Tabla1[[#This Row],[Precio]]) - IF(ISNUMBER(FIND("x", LOWER(G81))), ( Tabla1[[#This Row],[Cantidad]]* Tabla1[[#This Row],[Precio]] * IF(ISNUMBER(FIND("aceite", LOWER(Tabla1[[#This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IF(Tabla1[[#This Row],[Cantidad]] &gt; 0,CEILING(( Tabla1[[#This Row],[Cantidad]]*Tabla1[[#This Row],[Precio]]) - IF(ISNUMBER(FIND("x", LOWER(G82))), ( Tabla1[[#This Row],[Cantidad]]* Tabla1[[#This Row],[Precio]] * IF(ISNUMBER(FIND("aceite", LOWER(Tabla1[[#This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IF(Tabla1[[#This Row],[Cantidad]] &gt; 0,CEILING(( Tabla1[[#This Row],[Cantidad]]*Tabla1[[#This Row],[Precio]]) - IF(ISNUMBER(FIND("x", LOWER(G83))), ( Tabla1[[#This Row],[Cantidad]]* Tabla1[[#This Row],[Precio]] * IF(ISNUMBER(FIND("aceite", LOWER(Tabla1[[#This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IF(Tabla1[[#This Row],[Cantidad]] &gt; 0,CEILING(( Tabla1[[#This Row],[Cantidad]]*Tabla1[[#This Row],[Precio]]) - IF(ISNUMBER(FIND("x", LOWER(G84))), ( Tabla1[[#This Row],[Cantidad]]* Tabla1[[#This Row],[Precio]] * IF(ISNUMBER(FIND("aceite", LOWER(Tabla1[[#This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IF(Tabla1[[#This Row],[Cantidad]] &gt; 0,CEILING(( Tabla1[[#This Row],[Cantidad]]*Tabla1[[#This Row],[Precio]]) - IF(ISNUMBER(FIND("x", LOWER(G85))), ( Tabla1[[#This Row],[Cantidad]]* Tabla1[[#This Row],[Precio]] * IF(ISNUMBER(FIND("aceite", LOWER(Tabla1[[#This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IF(Tabla1[[#This Row],[Cantidad]] &gt; 0,CEILING(( Tabla1[[#This Row],[Cantidad]]*Tabla1[[#This Row],[Precio]]) - IF(ISNUMBER(FIND("x", LOWER(G86))), ( Tabla1[[#This Row],[Cantidad]]* Tabla1[[#This Row],[Precio]] * IF(ISNUMBER(FIND("aceite", LOWER(Tabla1[[#This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IF(Tabla1[[#This Row],[Cantidad]] &gt; 0,CEILING(( Tabla1[[#This Row],[Cantidad]]*Tabla1[[#This Row],[Precio]]) - IF(ISNUMBER(FIND("x", LOWER(G87))), ( Tabla1[[#This Row],[Cantidad]]* Tabla1[[#This Row],[Precio]] * IF(ISNUMBER(FIND("aceite", LOWER(Tabla1[[#This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IF(Tabla1[[#This Row],[Cantidad]] &gt; 0,CEILING(( Tabla1[[#This Row],[Cantidad]]*Tabla1[[#This Row],[Precio]]) - IF(ISNUMBER(FIND("x", LOWER(G88))), ( Tabla1[[#This Row],[Cantidad]]* Tabla1[[#This Row],[Precio]] * IF(ISNUMBER(FIND("aceite", LOWER(Tabla1[[#This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IF(Tabla1[[#This Row],[Cantidad]] &gt; 0,CEILING(( Tabla1[[#This Row],[Cantidad]]*Tabla1[[#This Row],[Precio]]) - IF(ISNUMBER(FIND("x", LOWER(G89))), ( Tabla1[[#This Row],[Cantidad]]* Tabla1[[#This Row],[Precio]] * IF(ISNUMBER(FIND("aceite", LOWER(Tabla1[[#This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IF(Tabla1[[#This Row],[Cantidad]] &gt; 0,CEILING(( Tabla1[[#This Row],[Cantidad]]*Tabla1[[#This Row],[Precio]]) - IF(ISNUMBER(FIND("x", LOWER(G90))), ( Tabla1[[#This Row],[Cantidad]]* Tabla1[[#This Row],[Precio]] * IF(ISNUMBER(FIND("aceite", LOWER(Tabla1[[#This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IF(Tabla1[[#This Row],[Cantidad]] &gt; 0,CEILING(( Tabla1[[#This Row],[Cantidad]]*Tabla1[[#This Row],[Precio]]) - IF(ISNUMBER(FIND("x", LOWER(G91))), ( Tabla1[[#This Row],[Cantidad]]* Tabla1[[#This Row],[Precio]] * IF(ISNUMBER(FIND("aceite", LOWER(Tabla1[[#This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IF(Tabla1[[#This Row],[Cantidad]] &gt; 0,CEILING(( Tabla1[[#This Row],[Cantidad]]*Tabla1[[#This Row],[Precio]]) - IF(ISNUMBER(FIND("x", LOWER(G92))), ( Tabla1[[#This Row],[Cantidad]]* Tabla1[[#This Row],[Precio]] * IF(ISNUMBER(FIND("aceite", LOWER(Tabla1[[#This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IF(Tabla1[[#This Row],[Cantidad]] &gt; 0,CEILING(( Tabla1[[#This Row],[Cantidad]]*Tabla1[[#This Row],[Precio]]) - IF(ISNUMBER(FIND("x", LOWER(G93))), ( Tabla1[[#This Row],[Cantidad]]* Tabla1[[#This Row],[Precio]] * IF(ISNUMBER(FIND("aceite", LOWER(Tabla1[[#This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IF(Tabla1[[#This Row],[Cantidad]] &gt; 0,CEILING(( Tabla1[[#This Row],[Cantidad]]*Tabla1[[#This Row],[Precio]]) - IF(ISNUMBER(FIND("x", LOWER(G94))), ( Tabla1[[#This Row],[Cantidad]]* Tabla1[[#This Row],[Precio]] * IF(ISNUMBER(FIND("aceite", LOWER(Tabla1[[#This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IF(Tabla1[[#This Row],[Cantidad]] &gt; 0,CEILING(( Tabla1[[#This Row],[Cantidad]]*Tabla1[[#This Row],[Precio]]) - IF(ISNUMBER(FIND("x", LOWER(G95))), ( Tabla1[[#This Row],[Cantidad]]* Tabla1[[#This Row],[Precio]] * IF(ISNUMBER(FIND("aceite", LOWER(Tabla1[[#This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IF(Tabla1[[#This Row],[Cantidad]] &gt; 0,CEILING(( Tabla1[[#This Row],[Cantidad]]*Tabla1[[#This Row],[Precio]]) - IF(ISNUMBER(FIND("x", LOWER(G96))), ( Tabla1[[#This Row],[Cantidad]]* Tabla1[[#This Row],[Precio]] * IF(ISNUMBER(FIND("aceite", LOWER(Tabla1[[#This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IF(Tabla1[[#This Row],[Cantidad]] &gt; 0,CEILING(( Tabla1[[#This Row],[Cantidad]]*Tabla1[[#This Row],[Precio]]) - IF(ISNUMBER(FIND("x", LOWER(G97))), ( Tabla1[[#This Row],[Cantidad]]* Tabla1[[#This Row],[Precio]] * IF(ISNUMBER(FIND("aceite", LOWER(Tabla1[[#This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IF(Tabla1[[#This Row],[Cantidad]] &gt; 0,CEILING(( Tabla1[[#This Row],[Cantidad]]*Tabla1[[#This Row],[Precio]]) - IF(ISNUMBER(FIND("x", LOWER(G98))), ( Tabla1[[#This Row],[Cantidad]]* Tabla1[[#This Row],[Precio]] * IF(ISNUMBER(FIND("aceite", LOWER(Tabla1[[#This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IF(Tabla1[[#This Row],[Cantidad]] &gt; 0,CEILING(( Tabla1[[#This Row],[Cantidad]]*Tabla1[[#This Row],[Precio]]) - IF(ISNUMBER(FIND("x", LOWER(G99))), ( Tabla1[[#This Row],[Cantidad]]* Tabla1[[#This Row],[Precio]] * IF(ISNUMBER(FIND("aceite", LOWER(Tabla1[[#This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IF(Tabla1[[#This Row],[Cantidad]] &gt; 0,CEILING(( Tabla1[[#This Row],[Cantidad]]*Tabla1[[#This Row],[Precio]]) - IF(ISNUMBER(FIND("x", LOWER(G100))), ( Tabla1[[#This Row],[Cantidad]]* Tabla1[[#This Row],[Precio]] * IF(ISNUMBER(FIND("aceite", LOWER(Tabla1[[#This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IF(Tabla1[[#This Row],[Cantidad]] &gt; 0,CEILING(( Tabla1[[#This Row],[Cantidad]]*Tabla1[[#This Row],[Precio]]) - IF(ISNUMBER(FIND("x", LOWER(G101))), ( Tabla1[[#This Row],[Cantidad]]* Tabla1[[#This Row],[Precio]] * IF(ISNUMBER(FIND("aceite", LOWER(Tabla1[[#This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IF(Tabla1[[#This Row],[Cantidad]] &gt; 0,CEILING(( Tabla1[[#This Row],[Cantidad]]*Tabla1[[#This Row],[Precio]]) - IF(ISNUMBER(FIND("x", LOWER(G102))), ( Tabla1[[#This Row],[Cantidad]]* Tabla1[[#This Row],[Precio]] * IF(ISNUMBER(FIND("aceite", LOWER(Tabla1[[#This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IF(Tabla1[[#This Row],[Cantidad]] &gt; 0,CEILING(( Tabla1[[#This Row],[Cantidad]]*Tabla1[[#This Row],[Precio]]) - IF(ISNUMBER(FIND("x", LOWER(G103))), ( Tabla1[[#This Row],[Cantidad]]* Tabla1[[#This Row],[Precio]] * IF(ISNUMBER(FIND("aceite", LOWER(Tabla1[[#This Row],[PRODUCTO]]))), 0.05, 0.1)), 0), 0.5), "")</f>
        <v/>
      </c>
    </row>
  </sheetData>
  <autoFilter ref="B4" xr:uid="{00000000-0009-0000-0000-000000000000}"/>
  <mergeCells count="48">
    <mergeCell ref="M24:R24"/>
    <mergeCell ref="M25:R25"/>
    <mergeCell ref="C2:H2"/>
    <mergeCell ref="M4:R22"/>
    <mergeCell ref="M2:R2"/>
    <mergeCell ref="M3:R3"/>
    <mergeCell ref="J5:K14"/>
    <mergeCell ref="M41:N42"/>
    <mergeCell ref="M43:N44"/>
    <mergeCell ref="O41:O42"/>
    <mergeCell ref="O43:O44"/>
    <mergeCell ref="P41:R42"/>
    <mergeCell ref="P43:R44"/>
    <mergeCell ref="P26:R26"/>
    <mergeCell ref="M26:N26"/>
    <mergeCell ref="M27:N28"/>
    <mergeCell ref="M29:N30"/>
    <mergeCell ref="O27:O28"/>
    <mergeCell ref="O29:O30"/>
    <mergeCell ref="P27:R28"/>
    <mergeCell ref="P29:R30"/>
    <mergeCell ref="M31:N32"/>
    <mergeCell ref="M33:N34"/>
    <mergeCell ref="M35:N36"/>
    <mergeCell ref="M37:N38"/>
    <mergeCell ref="M39:N40"/>
    <mergeCell ref="O31:O32"/>
    <mergeCell ref="O33:O34"/>
    <mergeCell ref="O35:O36"/>
    <mergeCell ref="O37:O38"/>
    <mergeCell ref="O39:O40"/>
    <mergeCell ref="P31:R32"/>
    <mergeCell ref="P33:R34"/>
    <mergeCell ref="P35:R36"/>
    <mergeCell ref="P37:R38"/>
    <mergeCell ref="P39:R40"/>
    <mergeCell ref="M45:N46"/>
    <mergeCell ref="O45:O46"/>
    <mergeCell ref="P45:R46"/>
    <mergeCell ref="M47:N48"/>
    <mergeCell ref="O47:O48"/>
    <mergeCell ref="P47:R48"/>
    <mergeCell ref="M49:N50"/>
    <mergeCell ref="O49:O50"/>
    <mergeCell ref="P49:R50"/>
    <mergeCell ref="M51:N52"/>
    <mergeCell ref="O51:O52"/>
    <mergeCell ref="P51:R52"/>
  </mergeCells>
  <conditionalFormatting sqref="B5:B103">
    <cfRule type="expression" dxfId="13" priority="1">
      <formula>C5&gt;0&amp;ISBLANK(B5)</formula>
    </cfRule>
  </conditionalFormatting>
  <conditionalFormatting sqref="D5:D6">
    <cfRule type="expression" dxfId="12" priority="2">
      <formula>E5&gt;0&amp;ISBLANK(D5)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"/>
  <sheetViews>
    <sheetView workbookViewId="0">
      <selection activeCell="D25" sqref="D25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57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SUM(Tabla110[Importa])</f>
        <v>2667.5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20</v>
      </c>
      <c r="M4" s="36" t="s">
        <v>75</v>
      </c>
      <c r="N4" s="36"/>
      <c r="O4" s="36"/>
      <c r="P4" s="36"/>
      <c r="Q4" s="36"/>
      <c r="R4" s="36"/>
    </row>
    <row r="5" spans="2:18" x14ac:dyDescent="0.25">
      <c r="B5" s="18">
        <f ca="1">IF(Tabla110[[#This Row],['#]]&lt;&gt;"", NOW(), "")</f>
        <v>46256.753102893519</v>
      </c>
      <c r="C5">
        <f t="shared" ref="C5:C68" si="0">IF(ISNUMBER(E5), IF(ISNUMBER(C4), C4+1, 1), "")</f>
        <v>1</v>
      </c>
      <c r="D5" t="s">
        <v>59</v>
      </c>
      <c r="E5">
        <v>1</v>
      </c>
      <c r="F5">
        <v>80</v>
      </c>
      <c r="G5" t="s">
        <v>30</v>
      </c>
      <c r="H5" s="5">
        <f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f>
        <v>72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46256.753102893519</v>
      </c>
      <c r="C6">
        <f t="shared" si="0"/>
        <v>2</v>
      </c>
      <c r="D6" t="s">
        <v>60</v>
      </c>
      <c r="E6">
        <v>1</v>
      </c>
      <c r="F6">
        <v>70</v>
      </c>
      <c r="H6" s="5">
        <f>IF(Tabla110[[#This Row],[Cantidad]] &gt; 0,CEILING(( Tabla110[[#This Row],[Cantidad]]*Tabla110[[#This Row],[Precio]]) - IF(ISNUMBER(FIND("x", LOWER(G6))), ( Tabla110[[#This Row],[Cantidad]]* Tabla110[[#This Row],[Precio]] * IF(ISNUMBER(FIND("aceite", LOWER(Tabla110[[#This Row],[Producto]]))), 0.05, 0.1)), 0), 0.5), "")</f>
        <v>70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46256.753102893519</v>
      </c>
      <c r="C7">
        <f t="shared" si="0"/>
        <v>3</v>
      </c>
      <c r="D7" t="s">
        <v>62</v>
      </c>
      <c r="E7">
        <v>1</v>
      </c>
      <c r="F7">
        <v>70</v>
      </c>
      <c r="H7" s="5">
        <f>IF(Tabla110[[#This Row],[Cantidad]] &gt; 0,CEILING(( Tabla110[[#This Row],[Cantidad]]*Tabla110[[#This Row],[Precio]]) - IF(ISNUMBER(FIND("x", LOWER(G7))), ( Tabla110[[#This Row],[Cantidad]]* Tabla110[[#This Row],[Precio]] * IF(ISNUMBER(FIND("aceite", LOWER(Tabla110[[#This Row],[Producto]]))), 0.05, 0.1)), 0), 0.5), "")</f>
        <v>70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46256.753102893519</v>
      </c>
      <c r="C8">
        <f t="shared" si="0"/>
        <v>4</v>
      </c>
      <c r="D8" t="s">
        <v>61</v>
      </c>
      <c r="E8">
        <v>1</v>
      </c>
      <c r="F8">
        <v>84</v>
      </c>
      <c r="H8" s="5">
        <f>IF(Tabla110[[#This Row],[Cantidad]] &gt; 0,CEILING(( Tabla110[[#This Row],[Cantidad]]*Tabla110[[#This Row],[Precio]]) - IF(ISNUMBER(FIND("x", LOWER(G8))), ( Tabla110[[#This Row],[Cantidad]]* Tabla110[[#This Row],[Precio]] * IF(ISNUMBER(FIND("aceite", LOWER(Tabla110[[#This Row],[Producto]]))), 0.05, 0.1)), 0), 0.5), "")</f>
        <v>84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46256.753102893519</v>
      </c>
      <c r="C9">
        <f t="shared" si="0"/>
        <v>5</v>
      </c>
      <c r="D9" t="s">
        <v>45</v>
      </c>
      <c r="E9">
        <v>2</v>
      </c>
      <c r="F9">
        <v>130</v>
      </c>
      <c r="H9" s="5">
        <f>IF(Tabla110[[#This Row],[Cantidad]] &gt; 0,CEILING(( Tabla110[[#This Row],[Cantidad]]*Tabla110[[#This Row],[Precio]]) - IF(ISNUMBER(FIND("x", LOWER(G9))), ( Tabla110[[#This Row],[Cantidad]]* Tabla110[[#This Row],[Precio]] * IF(ISNUMBER(FIND("aceite", LOWER(Tabla110[[#This Row],[Producto]]))), 0.05, 0.1)), 0), 0.5), "")</f>
        <v>260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46256.753102893519</v>
      </c>
      <c r="C10">
        <f t="shared" si="0"/>
        <v>6</v>
      </c>
      <c r="D10" t="s">
        <v>64</v>
      </c>
      <c r="E10">
        <v>1</v>
      </c>
      <c r="F10">
        <v>423</v>
      </c>
      <c r="H10" s="5">
        <f>IF(Tabla110[[#This Row],[Cantidad]] &gt; 0,CEILING(( Tabla110[[#This Row],[Cantidad]]*Tabla110[[#This Row],[Precio]]) - IF(ISNUMBER(FIND("x", LOWER(G10))), ( Tabla110[[#This Row],[Cantidad]]* Tabla110[[#This Row],[Precio]] * IF(ISNUMBER(FIND("aceite", LOWER(Tabla110[[#This Row],[Producto]]))), 0.05, 0.1)), 0), 0.5), "")</f>
        <v>423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46256.753102893519</v>
      </c>
      <c r="C11">
        <f t="shared" si="0"/>
        <v>7</v>
      </c>
      <c r="D11" t="s">
        <v>63</v>
      </c>
      <c r="E11">
        <v>1</v>
      </c>
      <c r="F11">
        <v>65</v>
      </c>
      <c r="H11" s="5">
        <f>IF(Tabla110[[#This Row],[Cantidad]] &gt; 0,CEILING(( Tabla110[[#This Row],[Cantidad]]*Tabla110[[#This Row],[Precio]]) - IF(ISNUMBER(FIND("x", LOWER(G11))), ( Tabla110[[#This Row],[Cantidad]]* Tabla110[[#This Row],[Precio]] * IF(ISNUMBER(FIND("aceite", LOWER(Tabla110[[#This Row],[Producto]]))), 0.05, 0.1)), 0), 0.5), "")</f>
        <v>65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46256.753102893519</v>
      </c>
      <c r="C12">
        <f t="shared" si="0"/>
        <v>8</v>
      </c>
      <c r="D12" t="s">
        <v>65</v>
      </c>
      <c r="E12">
        <v>1</v>
      </c>
      <c r="F12">
        <v>650</v>
      </c>
      <c r="H12" s="5">
        <f>IF(Tabla110[[#This Row],[Cantidad]] &gt; 0,CEILING(( Tabla110[[#This Row],[Cantidad]]*Tabla110[[#This Row],[Precio]]) - IF(ISNUMBER(FIND("x", LOWER(G12))), ( Tabla110[[#This Row],[Cantidad]]* Tabla110[[#This Row],[Precio]] * IF(ISNUMBER(FIND("aceite", LOWER(Tabla110[[#This Row],[Producto]]))), 0.05, 0.1)), 0), 0.5), "")</f>
        <v>650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46256.753102893519</v>
      </c>
      <c r="C13">
        <f t="shared" si="0"/>
        <v>9</v>
      </c>
      <c r="D13" t="s">
        <v>66</v>
      </c>
      <c r="E13">
        <v>1</v>
      </c>
      <c r="F13">
        <v>130</v>
      </c>
      <c r="G13" t="s">
        <v>30</v>
      </c>
      <c r="H13" s="5">
        <f>IF(Tabla110[[#This Row],[Cantidad]] &gt; 0,CEILING(( Tabla110[[#This Row],[Cantidad]]*Tabla110[[#This Row],[Precio]]) - IF(ISNUMBER(FIND("x", LOWER(G13))), ( Tabla110[[#This Row],[Cantidad]]* Tabla110[[#This Row],[Precio]] * IF(ISNUMBER(FIND("aceite", LOWER(Tabla110[[#This Row],[Producto]]))), 0.05, 0.1)), 0), 0.5), "")</f>
        <v>123.5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46256.753102893519</v>
      </c>
      <c r="C14">
        <f t="shared" si="0"/>
        <v>10</v>
      </c>
      <c r="D14" t="s">
        <v>48</v>
      </c>
      <c r="E14">
        <v>1</v>
      </c>
      <c r="F14">
        <v>50</v>
      </c>
      <c r="G14" t="s">
        <v>30</v>
      </c>
      <c r="H14" s="5">
        <f>IF(Tabla110[[#This Row],[Cantidad]] &gt; 0,CEILING(( Tabla110[[#This Row],[Cantidad]]*Tabla110[[#This Row],[Precio]]) - IF(ISNUMBER(FIND("x", LOWER(G14))), ( Tabla110[[#This Row],[Cantidad]]* Tabla110[[#This Row],[Precio]] * IF(ISNUMBER(FIND("aceite", LOWER(Tabla110[[#This Row],[Producto]]))), 0.05, 0.1)), 0), 0.5), "")</f>
        <v>45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46256.753102893519</v>
      </c>
      <c r="C15">
        <f t="shared" si="0"/>
        <v>11</v>
      </c>
      <c r="D15" t="s">
        <v>67</v>
      </c>
      <c r="E15">
        <v>1</v>
      </c>
      <c r="F15">
        <v>80</v>
      </c>
      <c r="G15" t="s">
        <v>30</v>
      </c>
      <c r="H15" s="5">
        <f>IF(Tabla110[[#This Row],[Cantidad]] &gt; 0,CEILING(( Tabla110[[#This Row],[Cantidad]]*Tabla110[[#This Row],[Precio]]) - IF(ISNUMBER(FIND("x", LOWER(G15))), ( Tabla110[[#This Row],[Cantidad]]* Tabla110[[#This Row],[Precio]] * IF(ISNUMBER(FIND("aceite", LOWER(Tabla110[[#This Row],[Producto]]))), 0.05, 0.1)), 0), 0.5), "")</f>
        <v>72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46256.753102893519</v>
      </c>
      <c r="C16">
        <f t="shared" si="0"/>
        <v>12</v>
      </c>
      <c r="D16" t="s">
        <v>68</v>
      </c>
      <c r="E16">
        <v>1</v>
      </c>
      <c r="F16">
        <v>35</v>
      </c>
      <c r="G16" t="s">
        <v>30</v>
      </c>
      <c r="H16" s="5">
        <f>IF(Tabla110[[#This Row],[Cantidad]] &gt; 0,CEILING(( Tabla110[[#This Row],[Cantidad]]*Tabla110[[#This Row],[Precio]]) - IF(ISNUMBER(FIND("x", LOWER(G16))), ( Tabla110[[#This Row],[Cantidad]]* Tabla110[[#This Row],[Precio]] * IF(ISNUMBER(FIND("aceite", LOWER(Tabla110[[#This Row],[Producto]]))), 0.05, 0.1)), 0), 0.5), "")</f>
        <v>31.5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46256.753102893519</v>
      </c>
      <c r="C17">
        <f t="shared" si="0"/>
        <v>13</v>
      </c>
      <c r="D17" t="s">
        <v>69</v>
      </c>
      <c r="E17">
        <v>1</v>
      </c>
      <c r="F17">
        <v>20</v>
      </c>
      <c r="H17" s="5">
        <f>IF(Tabla110[[#This Row],[Cantidad]] &gt; 0,CEILING(( Tabla110[[#This Row],[Cantidad]]*Tabla110[[#This Row],[Precio]]) - IF(ISNUMBER(FIND("x", LOWER(G17))), ( Tabla110[[#This Row],[Cantidad]]* Tabla110[[#This Row],[Precio]] * IF(ISNUMBER(FIND("aceite", LOWER(Tabla110[[#This Row],[Producto]]))), 0.05, 0.1)), 0), 0.5), "")</f>
        <v>20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46256.753102893519</v>
      </c>
      <c r="C18">
        <f t="shared" si="0"/>
        <v>14</v>
      </c>
      <c r="D18" t="s">
        <v>66</v>
      </c>
      <c r="E18">
        <v>1</v>
      </c>
      <c r="F18">
        <v>130</v>
      </c>
      <c r="G18" t="s">
        <v>30</v>
      </c>
      <c r="H18" s="5">
        <f>IF(Tabla110[[#This Row],[Cantidad]] &gt; 0,CEILING(( Tabla110[[#This Row],[Cantidad]]*Tabla110[[#This Row],[Precio]]) - IF(ISNUMBER(FIND("x", LOWER(G18))), ( Tabla110[[#This Row],[Cantidad]]* Tabla110[[#This Row],[Precio]] * IF(ISNUMBER(FIND("aceite", LOWER(Tabla110[[#This Row],[Producto]]))), 0.05, 0.1)), 0), 0.5), "")</f>
        <v>123.5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46256.753102893519</v>
      </c>
      <c r="C19">
        <f t="shared" si="0"/>
        <v>15</v>
      </c>
      <c r="D19" t="s">
        <v>70</v>
      </c>
      <c r="E19">
        <v>1</v>
      </c>
      <c r="F19">
        <v>150</v>
      </c>
      <c r="H19" s="5">
        <f>IF(Tabla110[[#This Row],[Cantidad]] &gt; 0,CEILING(( Tabla110[[#This Row],[Cantidad]]*Tabla110[[#This Row],[Precio]]) - IF(ISNUMBER(FIND("x", LOWER(G19))), ( Tabla110[[#This Row],[Cantidad]]* Tabla110[[#This Row],[Precio]] * IF(ISNUMBER(FIND("aceite", LOWER(Tabla110[[#This Row],[Producto]]))), 0.05, 0.1)), 0), 0.5), "")</f>
        <v>150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46256.753102893519</v>
      </c>
      <c r="C20">
        <f t="shared" si="0"/>
        <v>16</v>
      </c>
      <c r="D20" t="s">
        <v>63</v>
      </c>
      <c r="E20">
        <v>1</v>
      </c>
      <c r="F20">
        <v>65</v>
      </c>
      <c r="H20" s="5">
        <f>IF(Tabla110[[#This Row],[Cantidad]] &gt; 0,CEILING(( Tabla110[[#This Row],[Cantidad]]*Tabla110[[#This Row],[Precio]]) - IF(ISNUMBER(FIND("x", LOWER(G20))), ( Tabla110[[#This Row],[Cantidad]]* Tabla110[[#This Row],[Precio]] * IF(ISNUMBER(FIND("aceite", LOWER(Tabla110[[#This Row],[Producto]]))), 0.05, 0.1)), 0), 0.5), "")</f>
        <v>65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46256.753102893519</v>
      </c>
      <c r="C21">
        <f t="shared" si="0"/>
        <v>17</v>
      </c>
      <c r="D21" t="s">
        <v>71</v>
      </c>
      <c r="E21">
        <v>1</v>
      </c>
      <c r="F21">
        <v>65</v>
      </c>
      <c r="H21" s="5">
        <f>IF(Tabla110[[#This Row],[Cantidad]] &gt; 0,CEILING(( Tabla110[[#This Row],[Cantidad]]*Tabla110[[#This Row],[Precio]]) - IF(ISNUMBER(FIND("x", LOWER(G21))), ( Tabla110[[#This Row],[Cantidad]]* Tabla110[[#This Row],[Precio]] * IF(ISNUMBER(FIND("aceite", LOWER(Tabla110[[#This Row],[Producto]]))), 0.05, 0.1)), 0), 0.5), "")</f>
        <v>65</v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72</v>
      </c>
      <c r="E22">
        <v>1</v>
      </c>
      <c r="F22">
        <v>188</v>
      </c>
      <c r="H22" s="5">
        <f>IF(Tabla110[[#This Row],[Cantidad]] &gt; 0,CEILING(( Tabla110[[#This Row],[Cantidad]]*Tabla110[[#This Row],[Precio]]) - IF(ISNUMBER(FIND("x", LOWER(G22))), ( Tabla110[[#This Row],[Cantidad]]* Tabla110[[#This Row],[Precio]] * IF(ISNUMBER(FIND("aceite", LOWER(Tabla110[[#This Row],[Producto]]))), 0.05, 0.1)), 0), 0.5), "")</f>
        <v>188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46256.753102893519</v>
      </c>
      <c r="C23">
        <f t="shared" si="0"/>
        <v>19</v>
      </c>
      <c r="D23" t="s">
        <v>73</v>
      </c>
      <c r="E23">
        <v>1</v>
      </c>
      <c r="F23">
        <v>20</v>
      </c>
      <c r="H23" s="5">
        <f>IF(Tabla110[[#This Row],[Cantidad]] &gt; 0,CEILING(( Tabla110[[#This Row],[Cantidad]]*Tabla110[[#This Row],[Precio]]) - IF(ISNUMBER(FIND("x", LOWER(G23))), ( Tabla110[[#This Row],[Cantidad]]* Tabla110[[#This Row],[Precio]] * IF(ISNUMBER(FIND("aceite", LOWER(Tabla110[[#This Row],[Producto]]))), 0.05, 0.1)), 0), 0.5), "")</f>
        <v>20</v>
      </c>
    </row>
    <row r="24" spans="2:18" ht="15" customHeight="1" x14ac:dyDescent="0.25">
      <c r="B24" s="18">
        <f ca="1">IF(Tabla1[[#This Row],['#]]&lt;&gt;"", NOW(), "")</f>
        <v>46256.753102893519</v>
      </c>
      <c r="C24">
        <f t="shared" si="0"/>
        <v>20</v>
      </c>
      <c r="D24" t="s">
        <v>74</v>
      </c>
      <c r="E24">
        <v>1</v>
      </c>
      <c r="F24">
        <v>70</v>
      </c>
      <c r="H24" s="5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>70</v>
      </c>
      <c r="M24" s="32" t="s">
        <v>19</v>
      </c>
      <c r="N24" s="42"/>
      <c r="O24" s="42"/>
      <c r="P24" s="42"/>
      <c r="Q24" s="42"/>
      <c r="R24" s="42"/>
    </row>
    <row r="25" spans="2:18" x14ac:dyDescent="0.25">
      <c r="B25" s="18">
        <f ca="1">IF(Tabla1[[#This Row],['#]]&lt;&gt;"", NOW(), "")</f>
        <v>46256.753102893519</v>
      </c>
      <c r="C25" t="str">
        <f t="shared" si="0"/>
        <v/>
      </c>
      <c r="H25" s="5" t="str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x14ac:dyDescent="0.25">
      <c r="B26" s="18">
        <f ca="1">IF(Tabla1[[#This Row],['#]]&lt;&gt;"", NOW(), "")</f>
        <v>46256.753102893519</v>
      </c>
      <c r="C26" t="str">
        <f t="shared" si="0"/>
        <v/>
      </c>
      <c r="H26" s="5" t="str">
        <f>IF(Tabla110[[#This Row],[Cantidad]] &gt; 0,CEILING(( Tabla110[[#This Row],[Cantidad]]*Tabla110[[#This Row],[Precio]]) - IF(ISNUMBER(FIND("x", LOWER(G26))), ( Tabla110[[#This Row],[Cantidad]]* Tabla110[[#This Row],[Precio]] * IF(ISNUMBER(FIND("aceite", LOWER(Tabla110[[#This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30" x14ac:dyDescent="0.25">
      <c r="B27" s="18">
        <f ca="1">IF(Tabla1[[#This Row],['#]]&lt;&gt;"", NOW(), "")</f>
        <v>46256.753102893519</v>
      </c>
      <c r="C27" t="str">
        <f t="shared" si="0"/>
        <v/>
      </c>
      <c r="H27" s="5" t="str">
        <f>IF(Tabla110[[#This Row],[Cantidad]] &gt; 0,CEILING(( Tabla110[[#This Row],[Cantidad]]*Tabla110[[#This Row],[Precio]]) - IF(ISNUMBER(FIND("x", LOWER(G27))), ( Tabla110[[#This Row],[Cantidad]]* Tabla110[[#This Row],[Precio]] * IF(ISNUMBER(FIND("aceite", LOWER(Tabla110[[#This Row],[Producto]]))), 0.05, 0.1)), 0), 0.5), "")</f>
        <v/>
      </c>
      <c r="M27" s="13" t="s">
        <v>58</v>
      </c>
      <c r="N27" s="15">
        <v>4100</v>
      </c>
      <c r="O27" s="39"/>
      <c r="P27" s="40"/>
      <c r="Q27" s="40"/>
      <c r="R27" s="41"/>
    </row>
    <row r="28" spans="2:18" x14ac:dyDescent="0.25">
      <c r="B28" s="18">
        <f ca="1">IF(Tabla1[[#This Row],['#]]&lt;&gt;"", NOW(), "")</f>
        <v>46256.753102893519</v>
      </c>
      <c r="C28" t="str">
        <f t="shared" si="0"/>
        <v/>
      </c>
      <c r="H28" s="5" t="str">
        <f>IF(Tabla110[[#This Row],[Cantidad]] &gt; 0,CEILING(( Tabla110[[#This Row],[Cantidad]]*Tabla110[[#This Row],[Precio]]) - IF(ISNUMBER(FIND("x", LOWER(G28))), ( Tabla110[[#This Row],[Cantidad]]* Tabla110[[#This Row],[Precio]] * IF(ISNUMBER(FIND("aceite", LOWER(Tabla110[[#This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x14ac:dyDescent="0.25">
      <c r="B29" s="18">
        <f ca="1">IF(Tabla1[[#This Row],['#]]&lt;&gt;"", NOW(), "")</f>
        <v>46256.753102893519</v>
      </c>
      <c r="C29" t="str">
        <f t="shared" si="0"/>
        <v/>
      </c>
      <c r="H29" s="5" t="str">
        <f>IF(Tabla110[[#This Row],[Cantidad]] &gt; 0,CEILING(( Tabla110[[#This Row],[Cantidad]]*Tabla110[[#This Row],[Precio]]) - IF(ISNUMBER(FIND("x", LOWER(G29))), ( Tabla110[[#This Row],[Cantidad]]* Tabla110[[#This Row],[Precio]] * IF(ISNUMBER(FIND("aceite", LOWER(Tabla110[[#This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x14ac:dyDescent="0.25">
      <c r="B30" s="18">
        <f ca="1">IF(Tabla1[[#This Row],['#]]&lt;&gt;"", NOW(), "")</f>
        <v>46256.753102893519</v>
      </c>
      <c r="C30" t="str">
        <f t="shared" si="0"/>
        <v/>
      </c>
      <c r="H30" s="5" t="str">
        <f>IF(Tabla110[[#This Row],[Cantidad]] &gt; 0,CEILING(( Tabla110[[#This Row],[Cantidad]]*Tabla110[[#This Row],[Precio]]) - IF(ISNUMBER(FIND("x", LOWER(G30))), ( Tabla110[[#This Row],[Cantidad]]* Tabla110[[#This Row],[Precio]] * IF(ISNUMBER(FIND("aceite", LOWER(Tabla110[[#This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>
        <f ca="1">IF(Tabla1[[#This Row],['#]]&lt;&gt;"", NOW(), "")</f>
        <v>46256.753102893519</v>
      </c>
      <c r="C31" t="str">
        <f t="shared" si="0"/>
        <v/>
      </c>
      <c r="H31" s="5" t="str">
        <f>IF(Tabla110[[#This Row],[Cantidad]] &gt; 0,CEILING(( Tabla110[[#This Row],[Cantidad]]*Tabla110[[#This Row],[Precio]]) - IF(ISNUMBER(FIND("x", LOWER(G31))), ( Tabla110[[#This Row],[Cantidad]]* Tabla110[[#This Row],[Precio]] * IF(ISNUMBER(FIND("aceite", LOWER(Tabla110[[#This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IF(Tabla110[[#This Row],[Cantidad]] &gt; 0,CEILING(( Tabla110[[#This Row],[Cantidad]]*Tabla110[[#This Row],[Precio]]) - IF(ISNUMBER(FIND("x", LOWER(G32))), ( Tabla110[[#This Row],[Cantidad]]* Tabla110[[#This Row],[Precio]] * IF(ISNUMBER(FIND("aceite", LOWER(Tabla110[[#This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IF(Tabla110[[#This Row],[Cantidad]] &gt; 0,CEILING(( Tabla110[[#This Row],[Cantidad]]*Tabla110[[#This Row],[Precio]]) - IF(ISNUMBER(FIND("x", LOWER(G33))), ( Tabla110[[#This Row],[Cantidad]]* Tabla110[[#This Row],[Precio]] * IF(ISNUMBER(FIND("aceite", LOWER(Tabla110[[#This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IF(Tabla110[[#This Row],[Cantidad]] &gt; 0,CEILING(( Tabla110[[#This Row],[Cantidad]]*Tabla110[[#This Row],[Precio]]) - IF(ISNUMBER(FIND("x", LOWER(G34))), ( Tabla110[[#This Row],[Cantidad]]* Tabla110[[#This Row],[Precio]] * IF(ISNUMBER(FIND("aceite", LOWER(Tabla110[[#This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IF(Tabla110[[#This Row],[Cantidad]] &gt; 0,CEILING(( Tabla110[[#This Row],[Cantidad]]*Tabla110[[#This Row],[Precio]]) - IF(ISNUMBER(FIND("x", LOWER(G35))), ( Tabla110[[#This Row],[Cantidad]]* Tabla110[[#This Row],[Precio]] * IF(ISNUMBER(FIND("aceite", LOWER(Tabla110[[#This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IF(Tabla110[[#This Row],[Cantidad]] &gt; 0,CEILING(( Tabla110[[#This Row],[Cantidad]]*Tabla110[[#This Row],[Precio]]) - IF(ISNUMBER(FIND("x", LOWER(G36))), ( Tabla110[[#This Row],[Cantidad]]* Tabla110[[#This Row],[Precio]] * IF(ISNUMBER(FIND("aceite", LOWER(Tabla110[[#This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IF(Tabla110[[#This Row],[Cantidad]] &gt; 0,CEILING(( Tabla110[[#This Row],[Cantidad]]*Tabla110[[#This Row],[Precio]]) - IF(ISNUMBER(FIND("x", LOWER(G37))), ( Tabla110[[#This Row],[Cantidad]]* Tabla110[[#This Row],[Precio]] * IF(ISNUMBER(FIND("aceite", LOWER(Tabla110[[#This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IF(Tabla110[[#This Row],[Cantidad]] &gt; 0,CEILING(( Tabla110[[#This Row],[Cantidad]]*Tabla110[[#This Row],[Precio]]) - IF(ISNUMBER(FIND("x", LOWER(G38))), ( Tabla110[[#This Row],[Cantidad]]* Tabla110[[#This Row],[Precio]] * IF(ISNUMBER(FIND("aceite", LOWER(Tabla110[[#This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IF(Tabla110[[#This Row],[Cantidad]] &gt; 0,CEILING(( Tabla110[[#This Row],[Cantidad]]*Tabla110[[#This Row],[Precio]]) - IF(ISNUMBER(FIND("x", LOWER(G39))), ( Tabla110[[#This Row],[Cantidad]]* Tabla110[[#This Row],[Precio]] * IF(ISNUMBER(FIND("aceite", LOWER(Tabla110[[#This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IF(Tabla110[[#This Row],[Cantidad]] &gt; 0,CEILING(( Tabla110[[#This Row],[Cantidad]]*Tabla110[[#This Row],[Precio]]) - IF(ISNUMBER(FIND("x", LOWER(G40))), ( Tabla110[[#This Row],[Cantidad]]* Tabla110[[#This Row],[Precio]] * IF(ISNUMBER(FIND("aceite", LOWER(Tabla110[[#This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IF(Tabla110[[#This Row],[Cantidad]] &gt; 0,CEILING(( Tabla110[[#This Row],[Cantidad]]*Tabla110[[#This Row],[Precio]]) - IF(ISNUMBER(FIND("x", LOWER(G41))), ( Tabla110[[#This Row],[Cantidad]]* Tabla110[[#This Row],[Precio]] * IF(ISNUMBER(FIND("aceite", LOWER(Tabla110[[#This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IF(Tabla110[[#This Row],[Cantidad]] &gt; 0,CEILING(( Tabla110[[#This Row],[Cantidad]]*Tabla110[[#This Row],[Precio]]) - IF(ISNUMBER(FIND("x", LOWER(G42))), ( Tabla110[[#This Row],[Cantidad]]* Tabla110[[#This Row],[Precio]] * IF(ISNUMBER(FIND("aceite", LOWER(Tabla110[[#This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IF(Tabla110[[#This Row],[Cantidad]] &gt; 0,CEILING(( Tabla110[[#This Row],[Cantidad]]*Tabla110[[#This Row],[Precio]]) - IF(ISNUMBER(FIND("x", LOWER(G43))), ( Tabla110[[#This Row],[Cantidad]]* Tabla110[[#This Row],[Precio]] * IF(ISNUMBER(FIND("aceite", LOWER(Tabla110[[#This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IF(Tabla110[[#This Row],[Cantidad]] &gt; 0,CEILING(( Tabla110[[#This Row],[Cantidad]]*Tabla110[[#This Row],[Precio]]) - IF(ISNUMBER(FIND("x", LOWER(G44))), ( Tabla110[[#This Row],[Cantidad]]* Tabla110[[#This Row],[Precio]] * IF(ISNUMBER(FIND("aceite", LOWER(Tabla110[[#This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IF(Tabla110[[#This Row],[Cantidad]] &gt; 0,CEILING(( Tabla110[[#This Row],[Cantidad]]*Tabla110[[#This Row],[Precio]]) - IF(ISNUMBER(FIND("x", LOWER(G45))), ( Tabla110[[#This Row],[Cantidad]]* Tabla110[[#This Row],[Precio]] * IF(ISNUMBER(FIND("aceite", LOWER(Tabla110[[#This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IF(Tabla110[[#This Row],[Cantidad]] &gt; 0,CEILING(( Tabla110[[#This Row],[Cantidad]]*Tabla110[[#This Row],[Precio]]) - IF(ISNUMBER(FIND("x", LOWER(G46))), ( Tabla110[[#This Row],[Cantidad]]* Tabla110[[#This Row],[Precio]] * IF(ISNUMBER(FIND("aceite", LOWER(Tabla110[[#This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IF(Tabla110[[#This Row],[Cantidad]] &gt; 0,CEILING(( Tabla110[[#This Row],[Cantidad]]*Tabla110[[#This Row],[Precio]]) - IF(ISNUMBER(FIND("x", LOWER(G47))), ( Tabla110[[#This Row],[Cantidad]]* Tabla110[[#This Row],[Precio]] * IF(ISNUMBER(FIND("aceite", LOWER(Tabla110[[#This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IF(Tabla110[[#This Row],[Cantidad]] &gt; 0,CEILING(( Tabla110[[#This Row],[Cantidad]]*Tabla110[[#This Row],[Precio]]) - IF(ISNUMBER(FIND("x", LOWER(G48))), ( Tabla110[[#This Row],[Cantidad]]* Tabla110[[#This Row],[Precio]] * IF(ISNUMBER(FIND("aceite", LOWER(Tabla110[[#This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IF(Tabla110[[#This Row],[Cantidad]] &gt; 0,CEILING(( Tabla110[[#This Row],[Cantidad]]*Tabla110[[#This Row],[Precio]]) - IF(ISNUMBER(FIND("x", LOWER(G49))), ( Tabla110[[#This Row],[Cantidad]]* Tabla110[[#This Row],[Precio]] * IF(ISNUMBER(FIND("aceite", LOWER(Tabla110[[#This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IF(Tabla110[[#This Row],[Cantidad]] &gt; 0,CEILING(( Tabla110[[#This Row],[Cantidad]]*Tabla110[[#This Row],[Precio]]) - IF(ISNUMBER(FIND("x", LOWER(G50))), ( Tabla110[[#This Row],[Cantidad]]* Tabla110[[#This Row],[Precio]] * IF(ISNUMBER(FIND("aceite", LOWER(Tabla110[[#This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IF(Tabla110[[#This Row],[Cantidad]] &gt; 0,CEILING(( Tabla110[[#This Row],[Cantidad]]*Tabla110[[#This Row],[Precio]]) - IF(ISNUMBER(FIND("x", LOWER(G51))), ( Tabla110[[#This Row],[Cantidad]]* Tabla110[[#This Row],[Precio]] * IF(ISNUMBER(FIND("aceite", LOWER(Tabla110[[#This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IF(Tabla110[[#This Row],[Cantidad]] &gt; 0,CEILING(( Tabla110[[#This Row],[Cantidad]]*Tabla110[[#This Row],[Precio]]) - IF(ISNUMBER(FIND("x", LOWER(G52))), ( Tabla110[[#This Row],[Cantidad]]* Tabla110[[#This Row],[Precio]] * IF(ISNUMBER(FIND("aceite", LOWER(Tabla110[[#This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IF(Tabla110[[#This Row],[Cantidad]] &gt; 0,CEILING(( Tabla110[[#This Row],[Cantidad]]*Tabla110[[#This Row],[Precio]]) - IF(ISNUMBER(FIND("x", LOWER(G53))), ( Tabla110[[#This Row],[Cantidad]]* Tabla110[[#This Row],[Precio]] * IF(ISNUMBER(FIND("aceite", LOWER(Tabla110[[#This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IF(Tabla110[[#This Row],[Cantidad]] &gt; 0,CEILING(( Tabla110[[#This Row],[Cantidad]]*Tabla110[[#This Row],[Precio]]) - IF(ISNUMBER(FIND("x", LOWER(G54))), ( Tabla110[[#This Row],[Cantidad]]* Tabla110[[#This Row],[Precio]] * IF(ISNUMBER(FIND("aceite", LOWER(Tabla110[[#This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IF(Tabla110[[#This Row],[Cantidad]] &gt; 0,CEILING(( Tabla110[[#This Row],[Cantidad]]*Tabla110[[#This Row],[Precio]]) - IF(ISNUMBER(FIND("x", LOWER(G55))), ( Tabla110[[#This Row],[Cantidad]]* Tabla110[[#This Row],[Precio]] * IF(ISNUMBER(FIND("aceite", LOWER(Tabla110[[#This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IF(Tabla110[[#This Row],[Cantidad]] &gt; 0,CEILING(( Tabla110[[#This Row],[Cantidad]]*Tabla110[[#This Row],[Precio]]) - IF(ISNUMBER(FIND("x", LOWER(G56))), ( Tabla110[[#This Row],[Cantidad]]* Tabla110[[#This Row],[Precio]] * IF(ISNUMBER(FIND("aceite", LOWER(Tabla110[[#This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IF(Tabla110[[#This Row],[Cantidad]] &gt; 0,CEILING(( Tabla110[[#This Row],[Cantidad]]*Tabla110[[#This Row],[Precio]]) - IF(ISNUMBER(FIND("x", LOWER(G57))), ( Tabla110[[#This Row],[Cantidad]]* Tabla110[[#This Row],[Precio]] * IF(ISNUMBER(FIND("aceite", LOWER(Tabla110[[#This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IF(Tabla110[[#This Row],[Cantidad]] &gt; 0,CEILING(( Tabla110[[#This Row],[Cantidad]]*Tabla110[[#This Row],[Precio]]) - IF(ISNUMBER(FIND("x", LOWER(G58))), ( Tabla110[[#This Row],[Cantidad]]* Tabla110[[#This Row],[Precio]] * IF(ISNUMBER(FIND("aceite", LOWER(Tabla110[[#This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IF(Tabla110[[#This Row],[Cantidad]] &gt; 0,CEILING(( Tabla110[[#This Row],[Cantidad]]*Tabla110[[#This Row],[Precio]]) - IF(ISNUMBER(FIND("x", LOWER(G59))), ( Tabla110[[#This Row],[Cantidad]]* Tabla110[[#This Row],[Precio]] * IF(ISNUMBER(FIND("aceite", LOWER(Tabla110[[#This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IF(Tabla110[[#This Row],[Cantidad]] &gt; 0,CEILING(( Tabla110[[#This Row],[Cantidad]]*Tabla110[[#This Row],[Precio]]) - IF(ISNUMBER(FIND("x", LOWER(G60))), ( Tabla110[[#This Row],[Cantidad]]* Tabla110[[#This Row],[Precio]] * IF(ISNUMBER(FIND("aceite", LOWER(Tabla110[[#This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IF(Tabla110[[#This Row],[Cantidad]] &gt; 0,CEILING(( Tabla110[[#This Row],[Cantidad]]*Tabla110[[#This Row],[Precio]]) - IF(ISNUMBER(FIND("x", LOWER(G61))), ( Tabla110[[#This Row],[Cantidad]]* Tabla110[[#This Row],[Precio]] * IF(ISNUMBER(FIND("aceite", LOWER(Tabla110[[#This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IF(Tabla110[[#This Row],[Cantidad]] &gt; 0,CEILING(( Tabla110[[#This Row],[Cantidad]]*Tabla110[[#This Row],[Precio]]) - IF(ISNUMBER(FIND("x", LOWER(G62))), ( Tabla110[[#This Row],[Cantidad]]* Tabla110[[#This Row],[Precio]] * IF(ISNUMBER(FIND("aceite", LOWER(Tabla110[[#This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IF(Tabla110[[#This Row],[Cantidad]] &gt; 0,CEILING(( Tabla110[[#This Row],[Cantidad]]*Tabla110[[#This Row],[Precio]]) - IF(ISNUMBER(FIND("x", LOWER(G63))), ( Tabla110[[#This Row],[Cantidad]]* Tabla110[[#This Row],[Precio]] * IF(ISNUMBER(FIND("aceite", LOWER(Tabla110[[#This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IF(Tabla110[[#This Row],[Cantidad]] &gt; 0,CEILING(( Tabla110[[#This Row],[Cantidad]]*Tabla110[[#This Row],[Precio]]) - IF(ISNUMBER(FIND("x", LOWER(G64))), ( Tabla110[[#This Row],[Cantidad]]* Tabla110[[#This Row],[Precio]] * IF(ISNUMBER(FIND("aceite", LOWER(Tabla110[[#This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IF(Tabla110[[#This Row],[Cantidad]] &gt; 0,CEILING(( Tabla110[[#This Row],[Cantidad]]*Tabla110[[#This Row],[Precio]]) - IF(ISNUMBER(FIND("x", LOWER(G65))), ( Tabla110[[#This Row],[Cantidad]]* Tabla110[[#This Row],[Precio]] * IF(ISNUMBER(FIND("aceite", LOWER(Tabla110[[#This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IF(Tabla110[[#This Row],[Cantidad]] &gt; 0,CEILING(( Tabla110[[#This Row],[Cantidad]]*Tabla110[[#This Row],[Precio]]) - IF(ISNUMBER(FIND("x", LOWER(G66))), ( Tabla110[[#This Row],[Cantidad]]* Tabla110[[#This Row],[Precio]] * IF(ISNUMBER(FIND("aceite", LOWER(Tabla110[[#This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IF(Tabla110[[#This Row],[Cantidad]] &gt; 0,CEILING(( Tabla110[[#This Row],[Cantidad]]*Tabla110[[#This Row],[Precio]]) - IF(ISNUMBER(FIND("x", LOWER(G67))), ( Tabla110[[#This Row],[Cantidad]]* Tabla110[[#This Row],[Precio]] * IF(ISNUMBER(FIND("aceite", LOWER(Tabla110[[#This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IF(Tabla110[[#This Row],[Cantidad]] &gt; 0,CEILING(( Tabla110[[#This Row],[Cantidad]]*Tabla110[[#This Row],[Precio]]) - IF(ISNUMBER(FIND("x", LOWER(G68))), ( Tabla110[[#This Row],[Cantidad]]* Tabla110[[#This Row],[Precio]] * IF(ISNUMBER(FIND("aceite", LOWER(Tabla110[[#This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IF(Tabla110[[#This Row],[Cantidad]] &gt; 0,CEILING(( Tabla110[[#This Row],[Cantidad]]*Tabla110[[#This Row],[Precio]]) - IF(ISNUMBER(FIND("x", LOWER(G69))), ( Tabla110[[#This Row],[Cantidad]]* Tabla110[[#This Row],[Precio]] * IF(ISNUMBER(FIND("aceite", LOWER(Tabla110[[#This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IF(Tabla110[[#This Row],[Cantidad]] &gt; 0,CEILING(( Tabla110[[#This Row],[Cantidad]]*Tabla110[[#This Row],[Precio]]) - IF(ISNUMBER(FIND("x", LOWER(G70))), ( Tabla110[[#This Row],[Cantidad]]* Tabla110[[#This Row],[Precio]] * IF(ISNUMBER(FIND("aceite", LOWER(Tabla110[[#This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IF(Tabla110[[#This Row],[Cantidad]] &gt; 0,CEILING(( Tabla110[[#This Row],[Cantidad]]*Tabla110[[#This Row],[Precio]]) - IF(ISNUMBER(FIND("x", LOWER(G71))), ( Tabla110[[#This Row],[Cantidad]]* Tabla110[[#This Row],[Precio]] * IF(ISNUMBER(FIND("aceite", LOWER(Tabla110[[#This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IF(Tabla110[[#This Row],[Cantidad]] &gt; 0,CEILING(( Tabla110[[#This Row],[Cantidad]]*Tabla110[[#This Row],[Precio]]) - IF(ISNUMBER(FIND("x", LOWER(G72))), ( Tabla110[[#This Row],[Cantidad]]* Tabla110[[#This Row],[Precio]] * IF(ISNUMBER(FIND("aceite", LOWER(Tabla110[[#This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IF(Tabla110[[#This Row],[Cantidad]] &gt; 0,CEILING(( Tabla110[[#This Row],[Cantidad]]*Tabla110[[#This Row],[Precio]]) - IF(ISNUMBER(FIND("x", LOWER(G73))), ( Tabla110[[#This Row],[Cantidad]]* Tabla110[[#This Row],[Precio]] * IF(ISNUMBER(FIND("aceite", LOWER(Tabla110[[#This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IF(Tabla110[[#This Row],[Cantidad]] &gt; 0,CEILING(( Tabla110[[#This Row],[Cantidad]]*Tabla110[[#This Row],[Precio]]) - IF(ISNUMBER(FIND("x", LOWER(G74))), ( Tabla110[[#This Row],[Cantidad]]* Tabla110[[#This Row],[Precio]] * IF(ISNUMBER(FIND("aceite", LOWER(Tabla110[[#This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IF(Tabla110[[#This Row],[Cantidad]] &gt; 0,CEILING(( Tabla110[[#This Row],[Cantidad]]*Tabla110[[#This Row],[Precio]]) - IF(ISNUMBER(FIND("x", LOWER(G75))), ( Tabla110[[#This Row],[Cantidad]]* Tabla110[[#This Row],[Precio]] * IF(ISNUMBER(FIND("aceite", LOWER(Tabla110[[#This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IF(Tabla110[[#This Row],[Cantidad]] &gt; 0,CEILING(( Tabla110[[#This Row],[Cantidad]]*Tabla110[[#This Row],[Precio]]) - IF(ISNUMBER(FIND("x", LOWER(G76))), ( Tabla110[[#This Row],[Cantidad]]* Tabla110[[#This Row],[Precio]] * IF(ISNUMBER(FIND("aceite", LOWER(Tabla110[[#This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IF(Tabla110[[#This Row],[Cantidad]] &gt; 0,CEILING(( Tabla110[[#This Row],[Cantidad]]*Tabla110[[#This Row],[Precio]]) - IF(ISNUMBER(FIND("x", LOWER(G77))), ( Tabla110[[#This Row],[Cantidad]]* Tabla110[[#This Row],[Precio]] * IF(ISNUMBER(FIND("aceite", LOWER(Tabla110[[#This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IF(Tabla110[[#This Row],[Cantidad]] &gt; 0,CEILING(( Tabla110[[#This Row],[Cantidad]]*Tabla110[[#This Row],[Precio]]) - IF(ISNUMBER(FIND("x", LOWER(G78))), ( Tabla110[[#This Row],[Cantidad]]* Tabla110[[#This Row],[Precio]] * IF(ISNUMBER(FIND("aceite", LOWER(Tabla110[[#This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IF(Tabla110[[#This Row],[Cantidad]] &gt; 0,CEILING(( Tabla110[[#This Row],[Cantidad]]*Tabla110[[#This Row],[Precio]]) - IF(ISNUMBER(FIND("x", LOWER(G79))), ( Tabla110[[#This Row],[Cantidad]]* Tabla110[[#This Row],[Precio]] * IF(ISNUMBER(FIND("aceite", LOWER(Tabla110[[#This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IF(Tabla110[[#This Row],[Cantidad]] &gt; 0,CEILING(( Tabla110[[#This Row],[Cantidad]]*Tabla110[[#This Row],[Precio]]) - IF(ISNUMBER(FIND("x", LOWER(G80))), ( Tabla110[[#This Row],[Cantidad]]* Tabla110[[#This Row],[Precio]] * IF(ISNUMBER(FIND("aceite", LOWER(Tabla110[[#This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IF(Tabla110[[#This Row],[Cantidad]] &gt; 0,CEILING(( Tabla110[[#This Row],[Cantidad]]*Tabla110[[#This Row],[Precio]]) - IF(ISNUMBER(FIND("x", LOWER(G81))), ( Tabla110[[#This Row],[Cantidad]]* Tabla110[[#This Row],[Precio]] * IF(ISNUMBER(FIND("aceite", LOWER(Tabla110[[#This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IF(Tabla110[[#This Row],[Cantidad]] &gt; 0,CEILING(( Tabla110[[#This Row],[Cantidad]]*Tabla110[[#This Row],[Precio]]) - IF(ISNUMBER(FIND("x", LOWER(G82))), ( Tabla110[[#This Row],[Cantidad]]* Tabla110[[#This Row],[Precio]] * IF(ISNUMBER(FIND("aceite", LOWER(Tabla110[[#This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IF(Tabla110[[#This Row],[Cantidad]] &gt; 0,CEILING(( Tabla110[[#This Row],[Cantidad]]*Tabla110[[#This Row],[Precio]]) - IF(ISNUMBER(FIND("x", LOWER(G83))), ( Tabla110[[#This Row],[Cantidad]]* Tabla110[[#This Row],[Precio]] * IF(ISNUMBER(FIND("aceite", LOWER(Tabla110[[#This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IF(Tabla110[[#This Row],[Cantidad]] &gt; 0,CEILING(( Tabla110[[#This Row],[Cantidad]]*Tabla110[[#This Row],[Precio]]) - IF(ISNUMBER(FIND("x", LOWER(G84))), ( Tabla110[[#This Row],[Cantidad]]* Tabla110[[#This Row],[Precio]] * IF(ISNUMBER(FIND("aceite", LOWER(Tabla110[[#This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IF(Tabla110[[#This Row],[Cantidad]] &gt; 0,CEILING(( Tabla110[[#This Row],[Cantidad]]*Tabla110[[#This Row],[Precio]]) - IF(ISNUMBER(FIND("x", LOWER(G85))), ( Tabla110[[#This Row],[Cantidad]]* Tabla110[[#This Row],[Precio]] * IF(ISNUMBER(FIND("aceite", LOWER(Tabla110[[#This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IF(Tabla110[[#This Row],[Cantidad]] &gt; 0,CEILING(( Tabla110[[#This Row],[Cantidad]]*Tabla110[[#This Row],[Precio]]) - IF(ISNUMBER(FIND("x", LOWER(G86))), ( Tabla110[[#This Row],[Cantidad]]* Tabla110[[#This Row],[Precio]] * IF(ISNUMBER(FIND("aceite", LOWER(Tabla110[[#This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IF(Tabla110[[#This Row],[Cantidad]] &gt; 0,CEILING(( Tabla110[[#This Row],[Cantidad]]*Tabla110[[#This Row],[Precio]]) - IF(ISNUMBER(FIND("x", LOWER(G87))), ( Tabla110[[#This Row],[Cantidad]]* Tabla110[[#This Row],[Precio]] * IF(ISNUMBER(FIND("aceite", LOWER(Tabla110[[#This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IF(Tabla110[[#This Row],[Cantidad]] &gt; 0,CEILING(( Tabla110[[#This Row],[Cantidad]]*Tabla110[[#This Row],[Precio]]) - IF(ISNUMBER(FIND("x", LOWER(G88))), ( Tabla110[[#This Row],[Cantidad]]* Tabla110[[#This Row],[Precio]] * IF(ISNUMBER(FIND("aceite", LOWER(Tabla110[[#This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IF(Tabla110[[#This Row],[Cantidad]] &gt; 0,CEILING(( Tabla110[[#This Row],[Cantidad]]*Tabla110[[#This Row],[Precio]]) - IF(ISNUMBER(FIND("x", LOWER(G89))), ( Tabla110[[#This Row],[Cantidad]]* Tabla110[[#This Row],[Precio]] * IF(ISNUMBER(FIND("aceite", LOWER(Tabla110[[#This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IF(Tabla110[[#This Row],[Cantidad]] &gt; 0,CEILING(( Tabla110[[#This Row],[Cantidad]]*Tabla110[[#This Row],[Precio]]) - IF(ISNUMBER(FIND("x", LOWER(G90))), ( Tabla110[[#This Row],[Cantidad]]* Tabla110[[#This Row],[Precio]] * IF(ISNUMBER(FIND("aceite", LOWER(Tabla110[[#This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IF(Tabla110[[#This Row],[Cantidad]] &gt; 0,CEILING(( Tabla110[[#This Row],[Cantidad]]*Tabla110[[#This Row],[Precio]]) - IF(ISNUMBER(FIND("x", LOWER(G91))), ( Tabla110[[#This Row],[Cantidad]]* Tabla110[[#This Row],[Precio]] * IF(ISNUMBER(FIND("aceite", LOWER(Tabla110[[#This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IF(Tabla110[[#This Row],[Cantidad]] &gt; 0,CEILING(( Tabla110[[#This Row],[Cantidad]]*Tabla110[[#This Row],[Precio]]) - IF(ISNUMBER(FIND("x", LOWER(G92))), ( Tabla110[[#This Row],[Cantidad]]* Tabla110[[#This Row],[Precio]] * IF(ISNUMBER(FIND("aceite", LOWER(Tabla110[[#This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IF(Tabla110[[#This Row],[Cantidad]] &gt; 0,CEILING(( Tabla110[[#This Row],[Cantidad]]*Tabla110[[#This Row],[Precio]]) - IF(ISNUMBER(FIND("x", LOWER(G93))), ( Tabla110[[#This Row],[Cantidad]]* Tabla110[[#This Row],[Precio]] * IF(ISNUMBER(FIND("aceite", LOWER(Tabla110[[#This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IF(Tabla110[[#This Row],[Cantidad]] &gt; 0,CEILING(( Tabla110[[#This Row],[Cantidad]]*Tabla110[[#This Row],[Precio]]) - IF(ISNUMBER(FIND("x", LOWER(G94))), ( Tabla110[[#This Row],[Cantidad]]* Tabla110[[#This Row],[Precio]] * IF(ISNUMBER(FIND("aceite", LOWER(Tabla110[[#This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IF(Tabla110[[#This Row],[Cantidad]] &gt; 0,CEILING(( Tabla110[[#This Row],[Cantidad]]*Tabla110[[#This Row],[Precio]]) - IF(ISNUMBER(FIND("x", LOWER(G95))), ( Tabla110[[#This Row],[Cantidad]]* Tabla110[[#This Row],[Precio]] * IF(ISNUMBER(FIND("aceite", LOWER(Tabla110[[#This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IF(Tabla110[[#This Row],[Cantidad]] &gt; 0,CEILING(( Tabla110[[#This Row],[Cantidad]]*Tabla110[[#This Row],[Precio]]) - IF(ISNUMBER(FIND("x", LOWER(G96))), ( Tabla110[[#This Row],[Cantidad]]* Tabla110[[#This Row],[Precio]] * IF(ISNUMBER(FIND("aceite", LOWER(Tabla110[[#This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IF(Tabla110[[#This Row],[Cantidad]] &gt; 0,CEILING(( Tabla110[[#This Row],[Cantidad]]*Tabla110[[#This Row],[Precio]]) - IF(ISNUMBER(FIND("x", LOWER(G97))), ( Tabla110[[#This Row],[Cantidad]]* Tabla110[[#This Row],[Precio]] * IF(ISNUMBER(FIND("aceite", LOWER(Tabla110[[#This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IF(Tabla110[[#This Row],[Cantidad]] &gt; 0,CEILING(( Tabla110[[#This Row],[Cantidad]]*Tabla110[[#This Row],[Precio]]) - IF(ISNUMBER(FIND("x", LOWER(G98))), ( Tabla110[[#This Row],[Cantidad]]* Tabla110[[#This Row],[Precio]] * IF(ISNUMBER(FIND("aceite", LOWER(Tabla110[[#This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IF(Tabla110[[#This Row],[Cantidad]] &gt; 0,CEILING(( Tabla110[[#This Row],[Cantidad]]*Tabla110[[#This Row],[Precio]]) - IF(ISNUMBER(FIND("x", LOWER(G99))), ( Tabla110[[#This Row],[Cantidad]]* Tabla110[[#This Row],[Precio]] * IF(ISNUMBER(FIND("aceite", LOWER(Tabla110[[#This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IF(Tabla110[[#This Row],[Cantidad]] &gt; 0,CEILING(( Tabla110[[#This Row],[Cantidad]]*Tabla110[[#This Row],[Precio]]) - IF(ISNUMBER(FIND("x", LOWER(G100))), ( Tabla110[[#This Row],[Cantidad]]* Tabla110[[#This Row],[Precio]] * IF(ISNUMBER(FIND("aceite", LOWER(Tabla110[[#This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IF(Tabla110[[#This Row],[Cantidad]] &gt; 0,CEILING(( Tabla110[[#This Row],[Cantidad]]*Tabla110[[#This Row],[Precio]]) - IF(ISNUMBER(FIND("x", LOWER(G101))), ( Tabla110[[#This Row],[Cantidad]]* Tabla110[[#This Row],[Precio]] * IF(ISNUMBER(FIND("aceite", LOWER(Tabla110[[#This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IF(Tabla110[[#This Row],[Cantidad]] &gt; 0,CEILING(( Tabla110[[#This Row],[Cantidad]]*Tabla110[[#This Row],[Precio]]) - IF(ISNUMBER(FIND("x", LOWER(G102))), ( Tabla110[[#This Row],[Cantidad]]* Tabla110[[#This Row],[Precio]] * IF(ISNUMBER(FIND("aceite", LOWER(Tabla110[[#This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IF(Tabla110[[#This Row],[Cantidad]] &gt; 0,CEILING(( Tabla110[[#This Row],[Cantidad]]*Tabla110[[#This Row],[Precio]]) - IF(ISNUMBER(FIND("x", LOWER(G103))), ( Tabla110[[#This Row],[Cantidad]]* Tabla110[[#This Row],[Precio]] * IF(ISNUMBER(FIND("aceite", LOWER(Tabla110[[#This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1" priority="1">
      <formula>C5&gt;0&amp;ISBLANK(B5)</formula>
    </cfRule>
  </conditionalFormatting>
  <conditionalFormatting sqref="D5:D6">
    <cfRule type="expression" dxfId="1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3"/>
  <sheetViews>
    <sheetView workbookViewId="0">
      <selection activeCell="C2" sqref="C2:H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76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SUM(Tabla111[Importa])</f>
        <v>4109.5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21</v>
      </c>
      <c r="M4" s="36" t="s">
        <v>97</v>
      </c>
      <c r="N4" s="36"/>
      <c r="O4" s="36"/>
      <c r="P4" s="36"/>
      <c r="Q4" s="36"/>
      <c r="R4" s="36"/>
    </row>
    <row r="5" spans="2:18" x14ac:dyDescent="0.25">
      <c r="B5" s="18">
        <f ca="1">IF(Tabla111[[#This Row],['#]]&lt;&gt;"", NOW(), "")</f>
        <v>46256.753102893519</v>
      </c>
      <c r="C5">
        <f>IF(ISNUMBER(E5), IF(ISNUMBER(C4), C4+1, 1), "")</f>
        <v>1</v>
      </c>
      <c r="D5" t="s">
        <v>77</v>
      </c>
      <c r="E5">
        <v>1</v>
      </c>
      <c r="F5">
        <v>75</v>
      </c>
      <c r="H5" s="5">
        <f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f>
        <v>75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46256.753102893519</v>
      </c>
      <c r="C6">
        <f t="shared" ref="C6" si="0">IF(ISNUMBER(E6), IF(ISNUMBER(C5), C5+1, 1), "")</f>
        <v>2</v>
      </c>
      <c r="D6" t="s">
        <v>78</v>
      </c>
      <c r="E6">
        <v>1</v>
      </c>
      <c r="F6">
        <v>115</v>
      </c>
      <c r="H6" s="5">
        <f>IF(Tabla111[[#This Row],[Cantidad]] &gt; 0,CEILING(( Tabla111[[#This Row],[Cantidad]]*Tabla111[[#This Row],[Precio]]) - IF(ISNUMBER(FIND("x", LOWER(G6))), ( Tabla111[[#This Row],[Cantidad]]* Tabla111[[#This Row],[Precio]] * IF(ISNUMBER(FIND("aceite", LOWER(Tabla111[[#This Row],[Producto]]))), 0.05, 0.1)), 0), 0.5), "")</f>
        <v>115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46256.753102893519</v>
      </c>
      <c r="C7">
        <f>IF(ISNUMBER(E7), IF(ISNUMBER(C6), C6+1, 1), "")</f>
        <v>3</v>
      </c>
      <c r="D7" t="s">
        <v>79</v>
      </c>
      <c r="E7">
        <v>1</v>
      </c>
      <c r="F7">
        <v>95</v>
      </c>
      <c r="H7" s="5">
        <f>IF(Tabla111[[#This Row],[Cantidad]] &gt; 0,CEILING(( Tabla111[[#This Row],[Cantidad]]*Tabla111[[#This Row],[Precio]]) - IF(ISNUMBER(FIND("x", LOWER(G7))), ( Tabla111[[#This Row],[Cantidad]]* Tabla111[[#This Row],[Precio]] * IF(ISNUMBER(FIND("aceite", LOWER(Tabla111[[#This Row],[Producto]]))), 0.05, 0.1)), 0), 0.5), "")</f>
        <v>95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46256.753102893519</v>
      </c>
      <c r="C8">
        <f t="shared" ref="C8:C68" si="1">IF(ISNUMBER(E8), IF(ISNUMBER(C7), C7+1, 1), "")</f>
        <v>4</v>
      </c>
      <c r="D8" t="s">
        <v>80</v>
      </c>
      <c r="E8">
        <v>1</v>
      </c>
      <c r="F8">
        <v>40</v>
      </c>
      <c r="G8" t="s">
        <v>30</v>
      </c>
      <c r="H8" s="5">
        <f>IF(Tabla111[[#This Row],[Cantidad]] &gt; 0,CEILING(( Tabla111[[#This Row],[Cantidad]]*Tabla111[[#This Row],[Precio]]) - IF(ISNUMBER(FIND("x", LOWER(G8))), ( Tabla111[[#This Row],[Cantidad]]* Tabla111[[#This Row],[Precio]] * IF(ISNUMBER(FIND("aceite", LOWER(Tabla111[[#This Row],[Producto]]))), 0.05, 0.1)), 0), 0.5), "")</f>
        <v>36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46256.753102893519</v>
      </c>
      <c r="C9">
        <f t="shared" si="1"/>
        <v>5</v>
      </c>
      <c r="D9" t="s">
        <v>81</v>
      </c>
      <c r="E9">
        <v>1</v>
      </c>
      <c r="F9">
        <v>612</v>
      </c>
      <c r="H9" s="5">
        <f>IF(Tabla111[[#This Row],[Cantidad]] &gt; 0,CEILING(( Tabla111[[#This Row],[Cantidad]]*Tabla111[[#This Row],[Precio]]) - IF(ISNUMBER(FIND("x", LOWER(G9))), ( Tabla111[[#This Row],[Cantidad]]* Tabla111[[#This Row],[Precio]] * IF(ISNUMBER(FIND("aceite", LOWER(Tabla111[[#This Row],[Producto]]))), 0.05, 0.1)), 0), 0.5), "")</f>
        <v>612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46256.753102893519</v>
      </c>
      <c r="C10">
        <f t="shared" si="1"/>
        <v>6</v>
      </c>
      <c r="D10" t="s">
        <v>43</v>
      </c>
      <c r="E10">
        <v>5</v>
      </c>
      <c r="F10">
        <v>5</v>
      </c>
      <c r="H10" s="5">
        <f>IF(Tabla111[[#This Row],[Cantidad]] &gt; 0,CEILING(( Tabla111[[#This Row],[Cantidad]]*Tabla111[[#This Row],[Precio]]) - IF(ISNUMBER(FIND("x", LOWER(G10))), ( Tabla111[[#This Row],[Cantidad]]* Tabla111[[#This Row],[Precio]] * IF(ISNUMBER(FIND("aceite", LOWER(Tabla111[[#This Row],[Producto]]))), 0.05, 0.1)), 0), 0.5), "")</f>
        <v>25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46256.753102893519</v>
      </c>
      <c r="C11">
        <f t="shared" si="1"/>
        <v>7</v>
      </c>
      <c r="D11" t="s">
        <v>65</v>
      </c>
      <c r="E11">
        <v>1</v>
      </c>
      <c r="F11">
        <v>975</v>
      </c>
      <c r="H11" s="5">
        <f>IF(Tabla111[[#This Row],[Cantidad]] &gt; 0,CEILING(( Tabla111[[#This Row],[Cantidad]]*Tabla111[[#This Row],[Precio]]) - IF(ISNUMBER(FIND("x", LOWER(G11))), ( Tabla111[[#This Row],[Cantidad]]* Tabla111[[#This Row],[Precio]] * IF(ISNUMBER(FIND("aceite", LOWER(Tabla111[[#This Row],[Producto]]))), 0.05, 0.1)), 0), 0.5), "")</f>
        <v>975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46256.753102893519</v>
      </c>
      <c r="C12">
        <f t="shared" si="1"/>
        <v>8</v>
      </c>
      <c r="D12" t="s">
        <v>82</v>
      </c>
      <c r="E12">
        <v>1</v>
      </c>
      <c r="F12">
        <v>1025</v>
      </c>
      <c r="H12" s="5">
        <f>IF(Tabla111[[#This Row],[Cantidad]] &gt; 0,CEILING(( Tabla111[[#This Row],[Cantidad]]*Tabla111[[#This Row],[Precio]]) - IF(ISNUMBER(FIND("x", LOWER(G12))), ( Tabla111[[#This Row],[Cantidad]]* Tabla111[[#This Row],[Precio]] * IF(ISNUMBER(FIND("aceite", LOWER(Tabla111[[#This Row],[Producto]]))), 0.05, 0.1)), 0), 0.5), "")</f>
        <v>1025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46256.753102893519</v>
      </c>
      <c r="C13">
        <f t="shared" si="1"/>
        <v>9</v>
      </c>
      <c r="D13" t="s">
        <v>84</v>
      </c>
      <c r="E13">
        <v>1</v>
      </c>
      <c r="F13">
        <v>490</v>
      </c>
      <c r="H13" s="5">
        <f>IF(Tabla111[[#This Row],[Cantidad]] &gt; 0,CEILING(( Tabla111[[#This Row],[Cantidad]]*Tabla111[[#This Row],[Precio]]) - IF(ISNUMBER(FIND("x", LOWER(G13))), ( Tabla111[[#This Row],[Cantidad]]* Tabla111[[#This Row],[Precio]] * IF(ISNUMBER(FIND("aceite", LOWER(Tabla111[[#This Row],[Producto]]))), 0.05, 0.1)), 0), 0.5), "")</f>
        <v>490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46256.753102893519</v>
      </c>
      <c r="C14">
        <f t="shared" si="1"/>
        <v>10</v>
      </c>
      <c r="D14" t="s">
        <v>85</v>
      </c>
      <c r="E14">
        <v>2</v>
      </c>
      <c r="F14">
        <v>10</v>
      </c>
      <c r="H14" s="5">
        <f>IF(Tabla111[[#This Row],[Cantidad]] &gt; 0,CEILING(( Tabla111[[#This Row],[Cantidad]]*Tabla111[[#This Row],[Precio]]) - IF(ISNUMBER(FIND("x", LOWER(G14))), ( Tabla111[[#This Row],[Cantidad]]* Tabla111[[#This Row],[Precio]] * IF(ISNUMBER(FIND("aceite", LOWER(Tabla111[[#This Row],[Producto]]))), 0.05, 0.1)), 0), 0.5), "")</f>
        <v>20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46256.753102893519</v>
      </c>
      <c r="C15">
        <f t="shared" si="1"/>
        <v>11</v>
      </c>
      <c r="D15" t="s">
        <v>86</v>
      </c>
      <c r="E15">
        <v>1</v>
      </c>
      <c r="F15">
        <v>95</v>
      </c>
      <c r="H15" s="5">
        <f>IF(Tabla111[[#This Row],[Cantidad]] &gt; 0,CEILING(( Tabla111[[#This Row],[Cantidad]]*Tabla111[[#This Row],[Precio]]) - IF(ISNUMBER(FIND("x", LOWER(G15))), ( Tabla111[[#This Row],[Cantidad]]* Tabla111[[#This Row],[Precio]] * IF(ISNUMBER(FIND("aceite", LOWER(Tabla111[[#This Row],[Producto]]))), 0.05, 0.1)), 0), 0.5), "")</f>
        <v>95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46256.753102893519</v>
      </c>
      <c r="C16">
        <f t="shared" si="1"/>
        <v>12</v>
      </c>
      <c r="D16" t="s">
        <v>87</v>
      </c>
      <c r="E16">
        <v>1</v>
      </c>
      <c r="F16">
        <v>70</v>
      </c>
      <c r="H16" s="5">
        <f>IF(Tabla111[[#This Row],[Cantidad]] &gt; 0,CEILING(( Tabla111[[#This Row],[Cantidad]]*Tabla111[[#This Row],[Precio]]) - IF(ISNUMBER(FIND("x", LOWER(G16))), ( Tabla111[[#This Row],[Cantidad]]* Tabla111[[#This Row],[Precio]] * IF(ISNUMBER(FIND("aceite", LOWER(Tabla111[[#This Row],[Producto]]))), 0.05, 0.1)), 0), 0.5), "")</f>
        <v>70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46256.753102893519</v>
      </c>
      <c r="C17">
        <f t="shared" si="1"/>
        <v>13</v>
      </c>
      <c r="D17" t="s">
        <v>88</v>
      </c>
      <c r="E17">
        <v>1</v>
      </c>
      <c r="F17">
        <v>200</v>
      </c>
      <c r="H17" s="5">
        <f>IF(Tabla111[[#This Row],[Cantidad]] &gt; 0,CEILING(( Tabla111[[#This Row],[Cantidad]]*Tabla111[[#This Row],[Precio]]) - IF(ISNUMBER(FIND("x", LOWER(G17))), ( Tabla111[[#This Row],[Cantidad]]* Tabla111[[#This Row],[Precio]] * IF(ISNUMBER(FIND("aceite", LOWER(Tabla111[[#This Row],[Producto]]))), 0.05, 0.1)), 0), 0.5), "")</f>
        <v>200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46256.753102893519</v>
      </c>
      <c r="C18">
        <f t="shared" si="1"/>
        <v>14</v>
      </c>
      <c r="D18" t="s">
        <v>89</v>
      </c>
      <c r="E18">
        <v>1</v>
      </c>
      <c r="F18">
        <v>55</v>
      </c>
      <c r="G18" t="s">
        <v>30</v>
      </c>
      <c r="H18" s="5">
        <f>IF(Tabla111[[#This Row],[Cantidad]] &gt; 0,CEILING(( Tabla111[[#This Row],[Cantidad]]*Tabla111[[#This Row],[Precio]]) - IF(ISNUMBER(FIND("x", LOWER(G18))), ( Tabla111[[#This Row],[Cantidad]]* Tabla111[[#This Row],[Precio]] * IF(ISNUMBER(FIND("aceite", LOWER(Tabla111[[#This Row],[Producto]]))), 0.05, 0.1)), 0), 0.5), "")</f>
        <v>49.5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46256.753102893519</v>
      </c>
      <c r="C19">
        <f t="shared" si="1"/>
        <v>15</v>
      </c>
      <c r="D19" t="s">
        <v>90</v>
      </c>
      <c r="E19">
        <v>1</v>
      </c>
      <c r="F19">
        <v>10</v>
      </c>
      <c r="G19" t="s">
        <v>30</v>
      </c>
      <c r="H19" s="5">
        <f>IF(Tabla111[[#This Row],[Cantidad]] &gt; 0,CEILING(( Tabla111[[#This Row],[Cantidad]]*Tabla111[[#This Row],[Precio]]) - IF(ISNUMBER(FIND("x", LOWER(G19))), ( Tabla111[[#This Row],[Cantidad]]* Tabla111[[#This Row],[Precio]] * IF(ISNUMBER(FIND("aceite", LOWER(Tabla111[[#This Row],[Producto]]))), 0.05, 0.1)), 0), 0.5), "")</f>
        <v>9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46256.753102893519</v>
      </c>
      <c r="C20">
        <f t="shared" si="1"/>
        <v>16</v>
      </c>
      <c r="D20" t="s">
        <v>92</v>
      </c>
      <c r="E20">
        <v>2</v>
      </c>
      <c r="F20">
        <v>12</v>
      </c>
      <c r="G20" t="s">
        <v>30</v>
      </c>
      <c r="H20" s="5">
        <f>IF(Tabla111[[#This Row],[Cantidad]] &gt; 0,CEILING(( Tabla111[[#This Row],[Cantidad]]*Tabla111[[#This Row],[Precio]]) - IF(ISNUMBER(FIND("x", LOWER(G20))), ( Tabla111[[#This Row],[Cantidad]]* Tabla111[[#This Row],[Precio]] * IF(ISNUMBER(FIND("aceite", LOWER(Tabla111[[#This Row],[Producto]]))), 0.05, 0.1)), 0), 0.5), "")</f>
        <v>22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46256.753102893519</v>
      </c>
      <c r="C21">
        <f t="shared" si="1"/>
        <v>17</v>
      </c>
      <c r="D21" t="s">
        <v>93</v>
      </c>
      <c r="E21">
        <v>1</v>
      </c>
      <c r="F21">
        <v>50</v>
      </c>
      <c r="G21" t="s">
        <v>30</v>
      </c>
      <c r="H21" s="5">
        <f>IF(Tabla111[[#This Row],[Cantidad]] &gt; 0,CEILING(( Tabla111[[#This Row],[Cantidad]]*Tabla111[[#This Row],[Precio]]) - IF(ISNUMBER(FIND("x", LOWER(G21))), ( Tabla111[[#This Row],[Cantidad]]* Tabla111[[#This Row],[Precio]] * IF(ISNUMBER(FIND("aceite", LOWER(Tabla111[[#This Row],[Producto]]))), 0.05, 0.1)), 0), 0.5), "")</f>
        <v>45</v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>
        <f t="shared" si="1"/>
        <v>18</v>
      </c>
      <c r="D22" t="s">
        <v>94</v>
      </c>
      <c r="E22">
        <v>1</v>
      </c>
      <c r="F22">
        <v>40</v>
      </c>
      <c r="G22" t="s">
        <v>30</v>
      </c>
      <c r="H22" s="5">
        <f>IF(Tabla111[[#This Row],[Cantidad]] &gt; 0,CEILING(( Tabla111[[#This Row],[Cantidad]]*Tabla111[[#This Row],[Precio]]) - IF(ISNUMBER(FIND("x", LOWER(G22))), ( Tabla111[[#This Row],[Cantidad]]* Tabla111[[#This Row],[Precio]] * IF(ISNUMBER(FIND("aceite", LOWER(Tabla111[[#This Row],[Producto]]))), 0.05, 0.1)), 0), 0.5), "")</f>
        <v>36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46256.753102893519</v>
      </c>
      <c r="C23">
        <f t="shared" si="1"/>
        <v>19</v>
      </c>
      <c r="D23" t="s">
        <v>43</v>
      </c>
      <c r="E23">
        <v>2</v>
      </c>
      <c r="F23">
        <v>5</v>
      </c>
      <c r="H23" s="5">
        <f>IF(Tabla111[[#This Row],[Cantidad]] &gt; 0,CEILING(( Tabla111[[#This Row],[Cantidad]]*Tabla111[[#This Row],[Precio]]) - IF(ISNUMBER(FIND("x", LOWER(G23))), ( Tabla111[[#This Row],[Cantidad]]* Tabla111[[#This Row],[Precio]] * IF(ISNUMBER(FIND("aceite", LOWER(Tabla111[[#This Row],[Producto]]))), 0.05, 0.1)), 0), 0.5), "")</f>
        <v>10</v>
      </c>
    </row>
    <row r="24" spans="2:18" ht="15" customHeight="1" x14ac:dyDescent="0.25">
      <c r="B24" s="18">
        <f ca="1">IF(Tabla1[[#This Row],['#]]&lt;&gt;"", NOW(), "")</f>
        <v>46256.753102893519</v>
      </c>
      <c r="C24">
        <f t="shared" si="1"/>
        <v>20</v>
      </c>
      <c r="D24" t="s">
        <v>95</v>
      </c>
      <c r="E24">
        <v>3</v>
      </c>
      <c r="F24">
        <v>20</v>
      </c>
      <c r="H24" s="5">
        <f>IF(Tabla111[[#This Row],[Cantidad]] &gt; 0,CEILING(( Tabla111[[#This Row],[Cantidad]]*Tabla111[[#This Row],[Precio]]) - IF(ISNUMBER(FIND("x", LOWER(G24))), ( Tabla111[[#This Row],[Cantidad]]* Tabla111[[#This Row],[Precio]] * IF(ISNUMBER(FIND("aceite", LOWER(Tabla111[[#This Row],[Producto]]))), 0.05, 0.1)), 0), 0.5), "")</f>
        <v>60</v>
      </c>
      <c r="M24" s="32" t="s">
        <v>19</v>
      </c>
      <c r="N24" s="42"/>
      <c r="O24" s="42"/>
      <c r="P24" s="42"/>
      <c r="Q24" s="42"/>
      <c r="R24" s="42"/>
    </row>
    <row r="25" spans="2:18" x14ac:dyDescent="0.25">
      <c r="B25" s="18">
        <f ca="1">IF(Tabla1[[#This Row],['#]]&lt;&gt;"", NOW(), "")</f>
        <v>46256.753102893519</v>
      </c>
      <c r="C25">
        <f t="shared" si="1"/>
        <v>21</v>
      </c>
      <c r="D25" t="s">
        <v>96</v>
      </c>
      <c r="E25">
        <v>1</v>
      </c>
      <c r="F25">
        <v>45</v>
      </c>
      <c r="H25" s="5">
        <f>IF(Tabla111[[#This Row],[Cantidad]] &gt; 0,CEILING(( Tabla111[[#This Row],[Cantidad]]*Tabla111[[#This Row],[Precio]]) - IF(ISNUMBER(FIND("x", LOWER(G25))), ( Tabla111[[#This Row],[Cantidad]]* Tabla111[[#This Row],[Precio]] * IF(ISNUMBER(FIND("aceite", LOWER(Tabla111[[#This Row],[Producto]]))), 0.05, 0.1)), 0), 0.5), "")</f>
        <v>45</v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46256.753102893519</v>
      </c>
      <c r="C26" t="str">
        <f t="shared" si="1"/>
        <v/>
      </c>
      <c r="H26" s="5" t="str">
        <f>IF(Tabla111[[#This Row],[Cantidad]] &gt; 0,CEILING(( Tabla111[[#This Row],[Cantidad]]*Tabla111[[#This Row],[Precio]]) - IF(ISNUMBER(FIND("x", LOWER(G26))), ( Tabla111[[#This Row],[Cantidad]]* Tabla111[[#This Row],[Precio]] * IF(ISNUMBER(FIND("aceite", LOWER(Tabla111[[#This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x14ac:dyDescent="0.25">
      <c r="B27" s="18">
        <f ca="1">IF(Tabla1[[#This Row],['#]]&lt;&gt;"", NOW(), "")</f>
        <v>46256.753102893519</v>
      </c>
      <c r="C27" t="str">
        <f t="shared" si="1"/>
        <v/>
      </c>
      <c r="H27" s="5" t="str">
        <f>IF(Tabla111[[#This Row],[Cantidad]] &gt; 0,CEILING(( Tabla111[[#This Row],[Cantidad]]*Tabla111[[#This Row],[Precio]]) - IF(ISNUMBER(FIND("x", LOWER(G27))), ( Tabla111[[#This Row],[Cantidad]]* Tabla111[[#This Row],[Precio]] * IF(ISNUMBER(FIND("aceite", LOWER(Tabla111[[#This Row],[Producto]]))), 0.05, 0.1)), 0), 0.5), "")</f>
        <v/>
      </c>
      <c r="M27" s="13" t="s">
        <v>83</v>
      </c>
      <c r="N27" s="15">
        <v>40</v>
      </c>
      <c r="O27" s="39"/>
      <c r="P27" s="40"/>
      <c r="Q27" s="40"/>
      <c r="R27" s="41"/>
    </row>
    <row r="28" spans="2:18" ht="30" x14ac:dyDescent="0.25">
      <c r="B28" s="18">
        <f ca="1">IF(Tabla1[[#This Row],['#]]&lt;&gt;"", NOW(), "")</f>
        <v>46256.753102893519</v>
      </c>
      <c r="C28" t="str">
        <f t="shared" si="1"/>
        <v/>
      </c>
      <c r="H28" s="5" t="str">
        <f>IF(Tabla111[[#This Row],[Cantidad]] &gt; 0,CEILING(( Tabla111[[#This Row],[Cantidad]]*Tabla111[[#This Row],[Precio]]) - IF(ISNUMBER(FIND("x", LOWER(G28))), ( Tabla111[[#This Row],[Cantidad]]* Tabla111[[#This Row],[Precio]] * IF(ISNUMBER(FIND("aceite", LOWER(Tabla111[[#This Row],[Producto]]))), 0.05, 0.1)), 0), 0.5), "")</f>
        <v/>
      </c>
      <c r="M28" s="13" t="s">
        <v>91</v>
      </c>
      <c r="N28" s="15">
        <v>2016</v>
      </c>
      <c r="O28" s="39"/>
      <c r="P28" s="40"/>
      <c r="Q28" s="40"/>
      <c r="R28" s="41"/>
    </row>
    <row r="29" spans="2:18" x14ac:dyDescent="0.25">
      <c r="B29" s="18">
        <f ca="1">IF(Tabla1[[#This Row],['#]]&lt;&gt;"", NOW(), "")</f>
        <v>46256.753102893519</v>
      </c>
      <c r="C29" t="str">
        <f t="shared" si="1"/>
        <v/>
      </c>
      <c r="H29" s="5" t="str">
        <f>IF(Tabla111[[#This Row],[Cantidad]] &gt; 0,CEILING(( Tabla111[[#This Row],[Cantidad]]*Tabla111[[#This Row],[Precio]]) - IF(ISNUMBER(FIND("x", LOWER(G29))), ( Tabla111[[#This Row],[Cantidad]]* Tabla111[[#This Row],[Precio]] * IF(ISNUMBER(FIND("aceite", LOWER(Tabla111[[#This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x14ac:dyDescent="0.25">
      <c r="B30" s="18">
        <f ca="1">IF(Tabla1[[#This Row],['#]]&lt;&gt;"", NOW(), "")</f>
        <v>46256.753102893519</v>
      </c>
      <c r="C30" t="str">
        <f t="shared" si="1"/>
        <v/>
      </c>
      <c r="H30" s="5" t="str">
        <f>IF(Tabla111[[#This Row],[Cantidad]] &gt; 0,CEILING(( Tabla111[[#This Row],[Cantidad]]*Tabla111[[#This Row],[Precio]]) - IF(ISNUMBER(FIND("x", LOWER(G30))), ( Tabla111[[#This Row],[Cantidad]]* Tabla111[[#This Row],[Precio]] * IF(ISNUMBER(FIND("aceite", LOWER(Tabla111[[#This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>
        <f ca="1">IF(Tabla1[[#This Row],['#]]&lt;&gt;"", NOW(), "")</f>
        <v>46256.753102893519</v>
      </c>
      <c r="C31" t="str">
        <f t="shared" si="1"/>
        <v/>
      </c>
      <c r="H31" s="5" t="str">
        <f>IF(Tabla111[[#This Row],[Cantidad]] &gt; 0,CEILING(( Tabla111[[#This Row],[Cantidad]]*Tabla111[[#This Row],[Precio]]) - IF(ISNUMBER(FIND("x", LOWER(G31))), ( Tabla111[[#This Row],[Cantidad]]* Tabla111[[#This Row],[Precio]] * IF(ISNUMBER(FIND("aceite", LOWER(Tabla111[[#This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 t="str">
        <f ca="1">IF(Tabla1[[#This Row],['#]]&lt;&gt;"", NOW(), "")</f>
        <v/>
      </c>
      <c r="C32" t="str">
        <f t="shared" si="1"/>
        <v/>
      </c>
      <c r="H32" s="5" t="str">
        <f>IF(Tabla111[[#This Row],[Cantidad]] &gt; 0,CEILING(( Tabla111[[#This Row],[Cantidad]]*Tabla111[[#This Row],[Precio]]) - IF(ISNUMBER(FIND("x", LOWER(G32))), ( Tabla111[[#This Row],[Cantidad]]* Tabla111[[#This Row],[Precio]] * IF(ISNUMBER(FIND("aceite", LOWER(Tabla111[[#This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 t="str">
        <f ca="1">IF(Tabla1[[#This Row],['#]]&lt;&gt;"", NOW(), "")</f>
        <v/>
      </c>
      <c r="C33" t="str">
        <f t="shared" si="1"/>
        <v/>
      </c>
      <c r="H33" s="5" t="str">
        <f>IF(Tabla111[[#This Row],[Cantidad]] &gt; 0,CEILING(( Tabla111[[#This Row],[Cantidad]]*Tabla111[[#This Row],[Precio]]) - IF(ISNUMBER(FIND("x", LOWER(G33))), ( Tabla111[[#This Row],[Cantidad]]* Tabla111[[#This Row],[Precio]] * IF(ISNUMBER(FIND("aceite", LOWER(Tabla111[[#This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 t="str">
        <f ca="1">IF(Tabla1[[#This Row],['#]]&lt;&gt;"", NOW(), "")</f>
        <v/>
      </c>
      <c r="C34" t="str">
        <f t="shared" si="1"/>
        <v/>
      </c>
      <c r="H34" s="5" t="str">
        <f>IF(Tabla111[[#This Row],[Cantidad]] &gt; 0,CEILING(( Tabla111[[#This Row],[Cantidad]]*Tabla111[[#This Row],[Precio]]) - IF(ISNUMBER(FIND("x", LOWER(G34))), ( Tabla111[[#This Row],[Cantidad]]* Tabla111[[#This Row],[Precio]] * IF(ISNUMBER(FIND("aceite", LOWER(Tabla111[[#This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 t="str">
        <f ca="1">IF(Tabla1[[#This Row],['#]]&lt;&gt;"", NOW(), "")</f>
        <v/>
      </c>
      <c r="C35" t="str">
        <f t="shared" si="1"/>
        <v/>
      </c>
      <c r="H35" s="5" t="str">
        <f>IF(Tabla111[[#This Row],[Cantidad]] &gt; 0,CEILING(( Tabla111[[#This Row],[Cantidad]]*Tabla111[[#This Row],[Precio]]) - IF(ISNUMBER(FIND("x", LOWER(G35))), ( Tabla111[[#This Row],[Cantidad]]* Tabla111[[#This Row],[Precio]] * IF(ISNUMBER(FIND("aceite", LOWER(Tabla111[[#This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1"/>
        <v/>
      </c>
      <c r="H36" s="5" t="str">
        <f>IF(Tabla111[[#This Row],[Cantidad]] &gt; 0,CEILING(( Tabla111[[#This Row],[Cantidad]]*Tabla111[[#This Row],[Precio]]) - IF(ISNUMBER(FIND("x", LOWER(G36))), ( Tabla111[[#This Row],[Cantidad]]* Tabla111[[#This Row],[Precio]] * IF(ISNUMBER(FIND("aceite", LOWER(Tabla111[[#This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1"/>
        <v/>
      </c>
      <c r="H37" s="5" t="str">
        <f>IF(Tabla111[[#This Row],[Cantidad]] &gt; 0,CEILING(( Tabla111[[#This Row],[Cantidad]]*Tabla111[[#This Row],[Precio]]) - IF(ISNUMBER(FIND("x", LOWER(G37))), ( Tabla111[[#This Row],[Cantidad]]* Tabla111[[#This Row],[Precio]] * IF(ISNUMBER(FIND("aceite", LOWER(Tabla111[[#This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IF(Tabla111[[#This Row],[Cantidad]] &gt; 0,CEILING(( Tabla111[[#This Row],[Cantidad]]*Tabla111[[#This Row],[Precio]]) - IF(ISNUMBER(FIND("x", LOWER(G38))), ( Tabla111[[#This Row],[Cantidad]]* Tabla111[[#This Row],[Precio]] * IF(ISNUMBER(FIND("aceite", LOWER(Tabla111[[#This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IF(Tabla111[[#This Row],[Cantidad]] &gt; 0,CEILING(( Tabla111[[#This Row],[Cantidad]]*Tabla111[[#This Row],[Precio]]) - IF(ISNUMBER(FIND("x", LOWER(G39))), ( Tabla111[[#This Row],[Cantidad]]* Tabla111[[#This Row],[Precio]] * IF(ISNUMBER(FIND("aceite", LOWER(Tabla111[[#This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IF(Tabla111[[#This Row],[Cantidad]] &gt; 0,CEILING(( Tabla111[[#This Row],[Cantidad]]*Tabla111[[#This Row],[Precio]]) - IF(ISNUMBER(FIND("x", LOWER(G40))), ( Tabla111[[#This Row],[Cantidad]]* Tabla111[[#This Row],[Precio]] * IF(ISNUMBER(FIND("aceite", LOWER(Tabla111[[#This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IF(Tabla111[[#This Row],[Cantidad]] &gt; 0,CEILING(( Tabla111[[#This Row],[Cantidad]]*Tabla111[[#This Row],[Precio]]) - IF(ISNUMBER(FIND("x", LOWER(G41))), ( Tabla111[[#This Row],[Cantidad]]* Tabla111[[#This Row],[Precio]] * IF(ISNUMBER(FIND("aceite", LOWER(Tabla111[[#This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IF(Tabla111[[#This Row],[Cantidad]] &gt; 0,CEILING(( Tabla111[[#This Row],[Cantidad]]*Tabla111[[#This Row],[Precio]]) - IF(ISNUMBER(FIND("x", LOWER(G42))), ( Tabla111[[#This Row],[Cantidad]]* Tabla111[[#This Row],[Precio]] * IF(ISNUMBER(FIND("aceite", LOWER(Tabla111[[#This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IF(Tabla111[[#This Row],[Cantidad]] &gt; 0,CEILING(( Tabla111[[#This Row],[Cantidad]]*Tabla111[[#This Row],[Precio]]) - IF(ISNUMBER(FIND("x", LOWER(G43))), ( Tabla111[[#This Row],[Cantidad]]* Tabla111[[#This Row],[Precio]] * IF(ISNUMBER(FIND("aceite", LOWER(Tabla111[[#This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IF(Tabla111[[#This Row],[Cantidad]] &gt; 0,CEILING(( Tabla111[[#This Row],[Cantidad]]*Tabla111[[#This Row],[Precio]]) - IF(ISNUMBER(FIND("x", LOWER(G44))), ( Tabla111[[#This Row],[Cantidad]]* Tabla111[[#This Row],[Precio]] * IF(ISNUMBER(FIND("aceite", LOWER(Tabla111[[#This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IF(Tabla111[[#This Row],[Cantidad]] &gt; 0,CEILING(( Tabla111[[#This Row],[Cantidad]]*Tabla111[[#This Row],[Precio]]) - IF(ISNUMBER(FIND("x", LOWER(G45))), ( Tabla111[[#This Row],[Cantidad]]* Tabla111[[#This Row],[Precio]] * IF(ISNUMBER(FIND("aceite", LOWER(Tabla111[[#This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IF(Tabla111[[#This Row],[Cantidad]] &gt; 0,CEILING(( Tabla111[[#This Row],[Cantidad]]*Tabla111[[#This Row],[Precio]]) - IF(ISNUMBER(FIND("x", LOWER(G46))), ( Tabla111[[#This Row],[Cantidad]]* Tabla111[[#This Row],[Precio]] * IF(ISNUMBER(FIND("aceite", LOWER(Tabla111[[#This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IF(Tabla111[[#This Row],[Cantidad]] &gt; 0,CEILING(( Tabla111[[#This Row],[Cantidad]]*Tabla111[[#This Row],[Precio]]) - IF(ISNUMBER(FIND("x", LOWER(G47))), ( Tabla111[[#This Row],[Cantidad]]* Tabla111[[#This Row],[Precio]] * IF(ISNUMBER(FIND("aceite", LOWER(Tabla111[[#This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IF(Tabla111[[#This Row],[Cantidad]] &gt; 0,CEILING(( Tabla111[[#This Row],[Cantidad]]*Tabla111[[#This Row],[Precio]]) - IF(ISNUMBER(FIND("x", LOWER(G48))), ( Tabla111[[#This Row],[Cantidad]]* Tabla111[[#This Row],[Precio]] * IF(ISNUMBER(FIND("aceite", LOWER(Tabla111[[#This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IF(Tabla111[[#This Row],[Cantidad]] &gt; 0,CEILING(( Tabla111[[#This Row],[Cantidad]]*Tabla111[[#This Row],[Precio]]) - IF(ISNUMBER(FIND("x", LOWER(G49))), ( Tabla111[[#This Row],[Cantidad]]* Tabla111[[#This Row],[Precio]] * IF(ISNUMBER(FIND("aceite", LOWER(Tabla111[[#This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IF(Tabla111[[#This Row],[Cantidad]] &gt; 0,CEILING(( Tabla111[[#This Row],[Cantidad]]*Tabla111[[#This Row],[Precio]]) - IF(ISNUMBER(FIND("x", LOWER(G50))), ( Tabla111[[#This Row],[Cantidad]]* Tabla111[[#This Row],[Precio]] * IF(ISNUMBER(FIND("aceite", LOWER(Tabla111[[#This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IF(Tabla111[[#This Row],[Cantidad]] &gt; 0,CEILING(( Tabla111[[#This Row],[Cantidad]]*Tabla111[[#This Row],[Precio]]) - IF(ISNUMBER(FIND("x", LOWER(G51))), ( Tabla111[[#This Row],[Cantidad]]* Tabla111[[#This Row],[Precio]] * IF(ISNUMBER(FIND("aceite", LOWER(Tabla111[[#This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IF(Tabla111[[#This Row],[Cantidad]] &gt; 0,CEILING(( Tabla111[[#This Row],[Cantidad]]*Tabla111[[#This Row],[Precio]]) - IF(ISNUMBER(FIND("x", LOWER(G52))), ( Tabla111[[#This Row],[Cantidad]]* Tabla111[[#This Row],[Precio]] * IF(ISNUMBER(FIND("aceite", LOWER(Tabla111[[#This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IF(Tabla111[[#This Row],[Cantidad]] &gt; 0,CEILING(( Tabla111[[#This Row],[Cantidad]]*Tabla111[[#This Row],[Precio]]) - IF(ISNUMBER(FIND("x", LOWER(G53))), ( Tabla111[[#This Row],[Cantidad]]* Tabla111[[#This Row],[Precio]] * IF(ISNUMBER(FIND("aceite", LOWER(Tabla111[[#This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IF(Tabla111[[#This Row],[Cantidad]] &gt; 0,CEILING(( Tabla111[[#This Row],[Cantidad]]*Tabla111[[#This Row],[Precio]]) - IF(ISNUMBER(FIND("x", LOWER(G54))), ( Tabla111[[#This Row],[Cantidad]]* Tabla111[[#This Row],[Precio]] * IF(ISNUMBER(FIND("aceite", LOWER(Tabla111[[#This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IF(Tabla111[[#This Row],[Cantidad]] &gt; 0,CEILING(( Tabla111[[#This Row],[Cantidad]]*Tabla111[[#This Row],[Precio]]) - IF(ISNUMBER(FIND("x", LOWER(G55))), ( Tabla111[[#This Row],[Cantidad]]* Tabla111[[#This Row],[Precio]] * IF(ISNUMBER(FIND("aceite", LOWER(Tabla111[[#This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IF(Tabla111[[#This Row],[Cantidad]] &gt; 0,CEILING(( Tabla111[[#This Row],[Cantidad]]*Tabla111[[#This Row],[Precio]]) - IF(ISNUMBER(FIND("x", LOWER(G56))), ( Tabla111[[#This Row],[Cantidad]]* Tabla111[[#This Row],[Precio]] * IF(ISNUMBER(FIND("aceite", LOWER(Tabla111[[#This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IF(Tabla111[[#This Row],[Cantidad]] &gt; 0,CEILING(( Tabla111[[#This Row],[Cantidad]]*Tabla111[[#This Row],[Precio]]) - IF(ISNUMBER(FIND("x", LOWER(G57))), ( Tabla111[[#This Row],[Cantidad]]* Tabla111[[#This Row],[Precio]] * IF(ISNUMBER(FIND("aceite", LOWER(Tabla111[[#This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IF(Tabla111[[#This Row],[Cantidad]] &gt; 0,CEILING(( Tabla111[[#This Row],[Cantidad]]*Tabla111[[#This Row],[Precio]]) - IF(ISNUMBER(FIND("x", LOWER(G58))), ( Tabla111[[#This Row],[Cantidad]]* Tabla111[[#This Row],[Precio]] * IF(ISNUMBER(FIND("aceite", LOWER(Tabla111[[#This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IF(Tabla111[[#This Row],[Cantidad]] &gt; 0,CEILING(( Tabla111[[#This Row],[Cantidad]]*Tabla111[[#This Row],[Precio]]) - IF(ISNUMBER(FIND("x", LOWER(G59))), ( Tabla111[[#This Row],[Cantidad]]* Tabla111[[#This Row],[Precio]] * IF(ISNUMBER(FIND("aceite", LOWER(Tabla111[[#This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IF(Tabla111[[#This Row],[Cantidad]] &gt; 0,CEILING(( Tabla111[[#This Row],[Cantidad]]*Tabla111[[#This Row],[Precio]]) - IF(ISNUMBER(FIND("x", LOWER(G60))), ( Tabla111[[#This Row],[Cantidad]]* Tabla111[[#This Row],[Precio]] * IF(ISNUMBER(FIND("aceite", LOWER(Tabla111[[#This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IF(Tabla111[[#This Row],[Cantidad]] &gt; 0,CEILING(( Tabla111[[#This Row],[Cantidad]]*Tabla111[[#This Row],[Precio]]) - IF(ISNUMBER(FIND("x", LOWER(G61))), ( Tabla111[[#This Row],[Cantidad]]* Tabla111[[#This Row],[Precio]] * IF(ISNUMBER(FIND("aceite", LOWER(Tabla111[[#This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IF(Tabla111[[#This Row],[Cantidad]] &gt; 0,CEILING(( Tabla111[[#This Row],[Cantidad]]*Tabla111[[#This Row],[Precio]]) - IF(ISNUMBER(FIND("x", LOWER(G62))), ( Tabla111[[#This Row],[Cantidad]]* Tabla111[[#This Row],[Precio]] * IF(ISNUMBER(FIND("aceite", LOWER(Tabla111[[#This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IF(Tabla111[[#This Row],[Cantidad]] &gt; 0,CEILING(( Tabla111[[#This Row],[Cantidad]]*Tabla111[[#This Row],[Precio]]) - IF(ISNUMBER(FIND("x", LOWER(G63))), ( Tabla111[[#This Row],[Cantidad]]* Tabla111[[#This Row],[Precio]] * IF(ISNUMBER(FIND("aceite", LOWER(Tabla111[[#This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IF(Tabla111[[#This Row],[Cantidad]] &gt; 0,CEILING(( Tabla111[[#This Row],[Cantidad]]*Tabla111[[#This Row],[Precio]]) - IF(ISNUMBER(FIND("x", LOWER(G64))), ( Tabla111[[#This Row],[Cantidad]]* Tabla111[[#This Row],[Precio]] * IF(ISNUMBER(FIND("aceite", LOWER(Tabla111[[#This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IF(Tabla111[[#This Row],[Cantidad]] &gt; 0,CEILING(( Tabla111[[#This Row],[Cantidad]]*Tabla111[[#This Row],[Precio]]) - IF(ISNUMBER(FIND("x", LOWER(G65))), ( Tabla111[[#This Row],[Cantidad]]* Tabla111[[#This Row],[Precio]] * IF(ISNUMBER(FIND("aceite", LOWER(Tabla111[[#This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IF(Tabla111[[#This Row],[Cantidad]] &gt; 0,CEILING(( Tabla111[[#This Row],[Cantidad]]*Tabla111[[#This Row],[Precio]]) - IF(ISNUMBER(FIND("x", LOWER(G66))), ( Tabla111[[#This Row],[Cantidad]]* Tabla111[[#This Row],[Precio]] * IF(ISNUMBER(FIND("aceite", LOWER(Tabla111[[#This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IF(Tabla111[[#This Row],[Cantidad]] &gt; 0,CEILING(( Tabla111[[#This Row],[Cantidad]]*Tabla111[[#This Row],[Precio]]) - IF(ISNUMBER(FIND("x", LOWER(G67))), ( Tabla111[[#This Row],[Cantidad]]* Tabla111[[#This Row],[Precio]] * IF(ISNUMBER(FIND("aceite", LOWER(Tabla111[[#This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IF(Tabla111[[#This Row],[Cantidad]] &gt; 0,CEILING(( Tabla111[[#This Row],[Cantidad]]*Tabla111[[#This Row],[Precio]]) - IF(ISNUMBER(FIND("x", LOWER(G68))), ( Tabla111[[#This Row],[Cantidad]]* Tabla111[[#This Row],[Precio]] * IF(ISNUMBER(FIND("aceite", LOWER(Tabla111[[#This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IF(Tabla111[[#This Row],[Cantidad]] &gt; 0,CEILING(( Tabla111[[#This Row],[Cantidad]]*Tabla111[[#This Row],[Precio]]) - IF(ISNUMBER(FIND("x", LOWER(G69))), ( Tabla111[[#This Row],[Cantidad]]* Tabla111[[#This Row],[Precio]] * IF(ISNUMBER(FIND("aceite", LOWER(Tabla111[[#This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IF(Tabla111[[#This Row],[Cantidad]] &gt; 0,CEILING(( Tabla111[[#This Row],[Cantidad]]*Tabla111[[#This Row],[Precio]]) - IF(ISNUMBER(FIND("x", LOWER(G70))), ( Tabla111[[#This Row],[Cantidad]]* Tabla111[[#This Row],[Precio]] * IF(ISNUMBER(FIND("aceite", LOWER(Tabla111[[#This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IF(Tabla111[[#This Row],[Cantidad]] &gt; 0,CEILING(( Tabla111[[#This Row],[Cantidad]]*Tabla111[[#This Row],[Precio]]) - IF(ISNUMBER(FIND("x", LOWER(G71))), ( Tabla111[[#This Row],[Cantidad]]* Tabla111[[#This Row],[Precio]] * IF(ISNUMBER(FIND("aceite", LOWER(Tabla111[[#This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IF(Tabla111[[#This Row],[Cantidad]] &gt; 0,CEILING(( Tabla111[[#This Row],[Cantidad]]*Tabla111[[#This Row],[Precio]]) - IF(ISNUMBER(FIND("x", LOWER(G72))), ( Tabla111[[#This Row],[Cantidad]]* Tabla111[[#This Row],[Precio]] * IF(ISNUMBER(FIND("aceite", LOWER(Tabla111[[#This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IF(Tabla111[[#This Row],[Cantidad]] &gt; 0,CEILING(( Tabla111[[#This Row],[Cantidad]]*Tabla111[[#This Row],[Precio]]) - IF(ISNUMBER(FIND("x", LOWER(G73))), ( Tabla111[[#This Row],[Cantidad]]* Tabla111[[#This Row],[Precio]] * IF(ISNUMBER(FIND("aceite", LOWER(Tabla111[[#This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IF(Tabla111[[#This Row],[Cantidad]] &gt; 0,CEILING(( Tabla111[[#This Row],[Cantidad]]*Tabla111[[#This Row],[Precio]]) - IF(ISNUMBER(FIND("x", LOWER(G74))), ( Tabla111[[#This Row],[Cantidad]]* Tabla111[[#This Row],[Precio]] * IF(ISNUMBER(FIND("aceite", LOWER(Tabla111[[#This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IF(Tabla111[[#This Row],[Cantidad]] &gt; 0,CEILING(( Tabla111[[#This Row],[Cantidad]]*Tabla111[[#This Row],[Precio]]) - IF(ISNUMBER(FIND("x", LOWER(G75))), ( Tabla111[[#This Row],[Cantidad]]* Tabla111[[#This Row],[Precio]] * IF(ISNUMBER(FIND("aceite", LOWER(Tabla111[[#This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IF(Tabla111[[#This Row],[Cantidad]] &gt; 0,CEILING(( Tabla111[[#This Row],[Cantidad]]*Tabla111[[#This Row],[Precio]]) - IF(ISNUMBER(FIND("x", LOWER(G76))), ( Tabla111[[#This Row],[Cantidad]]* Tabla111[[#This Row],[Precio]] * IF(ISNUMBER(FIND("aceite", LOWER(Tabla111[[#This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IF(Tabla111[[#This Row],[Cantidad]] &gt; 0,CEILING(( Tabla111[[#This Row],[Cantidad]]*Tabla111[[#This Row],[Precio]]) - IF(ISNUMBER(FIND("x", LOWER(G77))), ( Tabla111[[#This Row],[Cantidad]]* Tabla111[[#This Row],[Precio]] * IF(ISNUMBER(FIND("aceite", LOWER(Tabla111[[#This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IF(Tabla111[[#This Row],[Cantidad]] &gt; 0,CEILING(( Tabla111[[#This Row],[Cantidad]]*Tabla111[[#This Row],[Precio]]) - IF(ISNUMBER(FIND("x", LOWER(G78))), ( Tabla111[[#This Row],[Cantidad]]* Tabla111[[#This Row],[Precio]] * IF(ISNUMBER(FIND("aceite", LOWER(Tabla111[[#This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IF(Tabla111[[#This Row],[Cantidad]] &gt; 0,CEILING(( Tabla111[[#This Row],[Cantidad]]*Tabla111[[#This Row],[Precio]]) - IF(ISNUMBER(FIND("x", LOWER(G79))), ( Tabla111[[#This Row],[Cantidad]]* Tabla111[[#This Row],[Precio]] * IF(ISNUMBER(FIND("aceite", LOWER(Tabla111[[#This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IF(Tabla111[[#This Row],[Cantidad]] &gt; 0,CEILING(( Tabla111[[#This Row],[Cantidad]]*Tabla111[[#This Row],[Precio]]) - IF(ISNUMBER(FIND("x", LOWER(G80))), ( Tabla111[[#This Row],[Cantidad]]* Tabla111[[#This Row],[Precio]] * IF(ISNUMBER(FIND("aceite", LOWER(Tabla111[[#This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IF(Tabla111[[#This Row],[Cantidad]] &gt; 0,CEILING(( Tabla111[[#This Row],[Cantidad]]*Tabla111[[#This Row],[Precio]]) - IF(ISNUMBER(FIND("x", LOWER(G81))), ( Tabla111[[#This Row],[Cantidad]]* Tabla111[[#This Row],[Precio]] * IF(ISNUMBER(FIND("aceite", LOWER(Tabla111[[#This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IF(Tabla111[[#This Row],[Cantidad]] &gt; 0,CEILING(( Tabla111[[#This Row],[Cantidad]]*Tabla111[[#This Row],[Precio]]) - IF(ISNUMBER(FIND("x", LOWER(G82))), ( Tabla111[[#This Row],[Cantidad]]* Tabla111[[#This Row],[Precio]] * IF(ISNUMBER(FIND("aceite", LOWER(Tabla111[[#This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IF(Tabla111[[#This Row],[Cantidad]] &gt; 0,CEILING(( Tabla111[[#This Row],[Cantidad]]*Tabla111[[#This Row],[Precio]]) - IF(ISNUMBER(FIND("x", LOWER(G83))), ( Tabla111[[#This Row],[Cantidad]]* Tabla111[[#This Row],[Precio]] * IF(ISNUMBER(FIND("aceite", LOWER(Tabla111[[#This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IF(Tabla111[[#This Row],[Cantidad]] &gt; 0,CEILING(( Tabla111[[#This Row],[Cantidad]]*Tabla111[[#This Row],[Precio]]) - IF(ISNUMBER(FIND("x", LOWER(G84))), ( Tabla111[[#This Row],[Cantidad]]* Tabla111[[#This Row],[Precio]] * IF(ISNUMBER(FIND("aceite", LOWER(Tabla111[[#This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IF(Tabla111[[#This Row],[Cantidad]] &gt; 0,CEILING(( Tabla111[[#This Row],[Cantidad]]*Tabla111[[#This Row],[Precio]]) - IF(ISNUMBER(FIND("x", LOWER(G85))), ( Tabla111[[#This Row],[Cantidad]]* Tabla111[[#This Row],[Precio]] * IF(ISNUMBER(FIND("aceite", LOWER(Tabla111[[#This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IF(Tabla111[[#This Row],[Cantidad]] &gt; 0,CEILING(( Tabla111[[#This Row],[Cantidad]]*Tabla111[[#This Row],[Precio]]) - IF(ISNUMBER(FIND("x", LOWER(G86))), ( Tabla111[[#This Row],[Cantidad]]* Tabla111[[#This Row],[Precio]] * IF(ISNUMBER(FIND("aceite", LOWER(Tabla111[[#This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IF(Tabla111[[#This Row],[Cantidad]] &gt; 0,CEILING(( Tabla111[[#This Row],[Cantidad]]*Tabla111[[#This Row],[Precio]]) - IF(ISNUMBER(FIND("x", LOWER(G87))), ( Tabla111[[#This Row],[Cantidad]]* Tabla111[[#This Row],[Precio]] * IF(ISNUMBER(FIND("aceite", LOWER(Tabla111[[#This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IF(Tabla111[[#This Row],[Cantidad]] &gt; 0,CEILING(( Tabla111[[#This Row],[Cantidad]]*Tabla111[[#This Row],[Precio]]) - IF(ISNUMBER(FIND("x", LOWER(G88))), ( Tabla111[[#This Row],[Cantidad]]* Tabla111[[#This Row],[Precio]] * IF(ISNUMBER(FIND("aceite", LOWER(Tabla111[[#This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IF(Tabla111[[#This Row],[Cantidad]] &gt; 0,CEILING(( Tabla111[[#This Row],[Cantidad]]*Tabla111[[#This Row],[Precio]]) - IF(ISNUMBER(FIND("x", LOWER(G89))), ( Tabla111[[#This Row],[Cantidad]]* Tabla111[[#This Row],[Precio]] * IF(ISNUMBER(FIND("aceite", LOWER(Tabla111[[#This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IF(Tabla111[[#This Row],[Cantidad]] &gt; 0,CEILING(( Tabla111[[#This Row],[Cantidad]]*Tabla111[[#This Row],[Precio]]) - IF(ISNUMBER(FIND("x", LOWER(G90))), ( Tabla111[[#This Row],[Cantidad]]* Tabla111[[#This Row],[Precio]] * IF(ISNUMBER(FIND("aceite", LOWER(Tabla111[[#This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IF(Tabla111[[#This Row],[Cantidad]] &gt; 0,CEILING(( Tabla111[[#This Row],[Cantidad]]*Tabla111[[#This Row],[Precio]]) - IF(ISNUMBER(FIND("x", LOWER(G91))), ( Tabla111[[#This Row],[Cantidad]]* Tabla111[[#This Row],[Precio]] * IF(ISNUMBER(FIND("aceite", LOWER(Tabla111[[#This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IF(Tabla111[[#This Row],[Cantidad]] &gt; 0,CEILING(( Tabla111[[#This Row],[Cantidad]]*Tabla111[[#This Row],[Precio]]) - IF(ISNUMBER(FIND("x", LOWER(G92))), ( Tabla111[[#This Row],[Cantidad]]* Tabla111[[#This Row],[Precio]] * IF(ISNUMBER(FIND("aceite", LOWER(Tabla111[[#This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IF(Tabla111[[#This Row],[Cantidad]] &gt; 0,CEILING(( Tabla111[[#This Row],[Cantidad]]*Tabla111[[#This Row],[Precio]]) - IF(ISNUMBER(FIND("x", LOWER(G93))), ( Tabla111[[#This Row],[Cantidad]]* Tabla111[[#This Row],[Precio]] * IF(ISNUMBER(FIND("aceite", LOWER(Tabla111[[#This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IF(Tabla111[[#This Row],[Cantidad]] &gt; 0,CEILING(( Tabla111[[#This Row],[Cantidad]]*Tabla111[[#This Row],[Precio]]) - IF(ISNUMBER(FIND("x", LOWER(G94))), ( Tabla111[[#This Row],[Cantidad]]* Tabla111[[#This Row],[Precio]] * IF(ISNUMBER(FIND("aceite", LOWER(Tabla111[[#This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IF(Tabla111[[#This Row],[Cantidad]] &gt; 0,CEILING(( Tabla111[[#This Row],[Cantidad]]*Tabla111[[#This Row],[Precio]]) - IF(ISNUMBER(FIND("x", LOWER(G95))), ( Tabla111[[#This Row],[Cantidad]]* Tabla111[[#This Row],[Precio]] * IF(ISNUMBER(FIND("aceite", LOWER(Tabla111[[#This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IF(Tabla111[[#This Row],[Cantidad]] &gt; 0,CEILING(( Tabla111[[#This Row],[Cantidad]]*Tabla111[[#This Row],[Precio]]) - IF(ISNUMBER(FIND("x", LOWER(G96))), ( Tabla111[[#This Row],[Cantidad]]* Tabla111[[#This Row],[Precio]] * IF(ISNUMBER(FIND("aceite", LOWER(Tabla111[[#This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IF(Tabla111[[#This Row],[Cantidad]] &gt; 0,CEILING(( Tabla111[[#This Row],[Cantidad]]*Tabla111[[#This Row],[Precio]]) - IF(ISNUMBER(FIND("x", LOWER(G97))), ( Tabla111[[#This Row],[Cantidad]]* Tabla111[[#This Row],[Precio]] * IF(ISNUMBER(FIND("aceite", LOWER(Tabla111[[#This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IF(Tabla111[[#This Row],[Cantidad]] &gt; 0,CEILING(( Tabla111[[#This Row],[Cantidad]]*Tabla111[[#This Row],[Precio]]) - IF(ISNUMBER(FIND("x", LOWER(G98))), ( Tabla111[[#This Row],[Cantidad]]* Tabla111[[#This Row],[Precio]] * IF(ISNUMBER(FIND("aceite", LOWER(Tabla111[[#This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IF(Tabla111[[#This Row],[Cantidad]] &gt; 0,CEILING(( Tabla111[[#This Row],[Cantidad]]*Tabla111[[#This Row],[Precio]]) - IF(ISNUMBER(FIND("x", LOWER(G99))), ( Tabla111[[#This Row],[Cantidad]]* Tabla111[[#This Row],[Precio]] * IF(ISNUMBER(FIND("aceite", LOWER(Tabla111[[#This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IF(Tabla111[[#This Row],[Cantidad]] &gt; 0,CEILING(( Tabla111[[#This Row],[Cantidad]]*Tabla111[[#This Row],[Precio]]) - IF(ISNUMBER(FIND("x", LOWER(G100))), ( Tabla111[[#This Row],[Cantidad]]* Tabla111[[#This Row],[Precio]] * IF(ISNUMBER(FIND("aceite", LOWER(Tabla111[[#This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IF(Tabla111[[#This Row],[Cantidad]] &gt; 0,CEILING(( Tabla111[[#This Row],[Cantidad]]*Tabla111[[#This Row],[Precio]]) - IF(ISNUMBER(FIND("x", LOWER(G101))), ( Tabla111[[#This Row],[Cantidad]]* Tabla111[[#This Row],[Precio]] * IF(ISNUMBER(FIND("aceite", LOWER(Tabla111[[#This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IF(Tabla111[[#This Row],[Cantidad]] &gt; 0,CEILING(( Tabla111[[#This Row],[Cantidad]]*Tabla111[[#This Row],[Precio]]) - IF(ISNUMBER(FIND("x", LOWER(G102))), ( Tabla111[[#This Row],[Cantidad]]* Tabla111[[#This Row],[Precio]] * IF(ISNUMBER(FIND("aceite", LOWER(Tabla111[[#This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IF(Tabla111[[#This Row],[Cantidad]] &gt; 0,CEILING(( Tabla111[[#This Row],[Cantidad]]*Tabla111[[#This Row],[Precio]]) - IF(ISNUMBER(FIND("x", LOWER(G103))), ( Tabla111[[#This Row],[Cantidad]]* Tabla111[[#This Row],[Precio]] * IF(ISNUMBER(FIND("aceite", LOWER(Tabla111[[#This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9" priority="1">
      <formula>C5&gt;0&amp;ISBLANK(B5)</formula>
    </cfRule>
  </conditionalFormatting>
  <conditionalFormatting sqref="D5:D6">
    <cfRule type="expression" dxfId="8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03"/>
  <sheetViews>
    <sheetView workbookViewId="0">
      <selection activeCell="D13" sqref="D13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98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SUM(Tabla112[Importa])</f>
        <v>1233.5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8</v>
      </c>
      <c r="M4" s="36"/>
      <c r="N4" s="36"/>
      <c r="O4" s="36"/>
      <c r="P4" s="36"/>
      <c r="Q4" s="36"/>
      <c r="R4" s="36"/>
    </row>
    <row r="5" spans="2:18" x14ac:dyDescent="0.25">
      <c r="B5" s="18">
        <f ca="1">IF(Tabla112[[#This Row],['#]]&lt;&gt;"", NOW(), "")</f>
        <v>46256.753102893519</v>
      </c>
      <c r="C5">
        <f t="shared" ref="C5:C68" si="0">IF(ISNUMBER(E5), IF(ISNUMBER(C4), C4+1, 1), "")</f>
        <v>1</v>
      </c>
      <c r="D5" t="s">
        <v>110</v>
      </c>
      <c r="E5">
        <v>3</v>
      </c>
      <c r="F5">
        <v>15</v>
      </c>
      <c r="H5" s="5">
        <f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f>
        <v>45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46256.753102893519</v>
      </c>
      <c r="C6">
        <f t="shared" si="0"/>
        <v>2</v>
      </c>
      <c r="D6" t="s">
        <v>43</v>
      </c>
      <c r="E6">
        <v>3</v>
      </c>
      <c r="F6">
        <v>5</v>
      </c>
      <c r="H6" s="5">
        <f>IF(Tabla112[[#This Row],[Cantidad]] &gt; 0,CEILING(( Tabla112[[#This Row],[Cantidad]]*Tabla112[[#This Row],[Precio]]) - IF(ISNUMBER(FIND("x", LOWER(G6))), ( Tabla112[[#This Row],[Cantidad]]* Tabla112[[#This Row],[Precio]] * IF(ISNUMBER(FIND("aceite", LOWER(Tabla112[[#This Row],[Producto]]))), 0.05, 0.1)), 0), 0.5), "")</f>
        <v>15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46256.753102893519</v>
      </c>
      <c r="C7">
        <f t="shared" si="0"/>
        <v>3</v>
      </c>
      <c r="D7" t="s">
        <v>66</v>
      </c>
      <c r="E7">
        <v>1</v>
      </c>
      <c r="F7">
        <v>130</v>
      </c>
      <c r="H7" s="5">
        <f>IF(Tabla112[[#This Row],[Cantidad]] &gt; 0,CEILING(( Tabla112[[#This Row],[Cantidad]]*Tabla112[[#This Row],[Precio]]) - IF(ISNUMBER(FIND("x", LOWER(G7))), ( Tabla112[[#This Row],[Cantidad]]* Tabla112[[#This Row],[Precio]] * IF(ISNUMBER(FIND("aceite", LOWER(Tabla112[[#This Row],[Producto]]))), 0.05, 0.1)), 0), 0.5), "")</f>
        <v>130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46256.753102893519</v>
      </c>
      <c r="C8">
        <f t="shared" si="0"/>
        <v>4</v>
      </c>
      <c r="D8" t="s">
        <v>111</v>
      </c>
      <c r="E8">
        <v>1</v>
      </c>
      <c r="F8">
        <v>839</v>
      </c>
      <c r="G8" t="s">
        <v>30</v>
      </c>
      <c r="H8" s="5">
        <f>IF(Tabla112[[#This Row],[Cantidad]] &gt; 0,CEILING(( Tabla112[[#This Row],[Cantidad]]*Tabla112[[#This Row],[Precio]]) - IF(ISNUMBER(FIND("x", LOWER(G8))), ( Tabla112[[#This Row],[Cantidad]]* Tabla112[[#This Row],[Precio]] * IF(ISNUMBER(FIND("aceite", LOWER(Tabla112[[#This Row],[Producto]]))), 0.05, 0.1)), 0), 0.5), "")</f>
        <v>755.5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46256.753102893519</v>
      </c>
      <c r="C9">
        <f t="shared" si="0"/>
        <v>5</v>
      </c>
      <c r="D9" t="s">
        <v>112</v>
      </c>
      <c r="E9">
        <v>1</v>
      </c>
      <c r="F9">
        <v>25</v>
      </c>
      <c r="H9" s="5">
        <f>IF(Tabla112[[#This Row],[Cantidad]] &gt; 0,CEILING(( Tabla112[[#This Row],[Cantidad]]*Tabla112[[#This Row],[Precio]]) - IF(ISNUMBER(FIND("x", LOWER(G9))), ( Tabla112[[#This Row],[Cantidad]]* Tabla112[[#This Row],[Precio]] * IF(ISNUMBER(FIND("aceite", LOWER(Tabla112[[#This Row],[Producto]]))), 0.05, 0.1)), 0), 0.5), "")</f>
        <v>25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46256.753102893519</v>
      </c>
      <c r="C10">
        <f t="shared" si="0"/>
        <v>6</v>
      </c>
      <c r="D10" t="s">
        <v>113</v>
      </c>
      <c r="E10">
        <v>1</v>
      </c>
      <c r="F10">
        <v>83</v>
      </c>
      <c r="H10" s="5">
        <f>IF(Tabla112[[#This Row],[Cantidad]] &gt; 0,CEILING(( Tabla112[[#This Row],[Cantidad]]*Tabla112[[#This Row],[Precio]]) - IF(ISNUMBER(FIND("x", LOWER(G10))), ( Tabla112[[#This Row],[Cantidad]]* Tabla112[[#This Row],[Precio]] * IF(ISNUMBER(FIND("aceite", LOWER(Tabla112[[#This Row],[Producto]]))), 0.05, 0.1)), 0), 0.5), "")</f>
        <v>83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46256.753102893519</v>
      </c>
      <c r="C11">
        <f t="shared" si="0"/>
        <v>7</v>
      </c>
      <c r="D11" t="s">
        <v>114</v>
      </c>
      <c r="E11">
        <v>1</v>
      </c>
      <c r="F11">
        <v>50</v>
      </c>
      <c r="H11" s="5">
        <f>IF(Tabla112[[#This Row],[Cantidad]] &gt; 0,CEILING(( Tabla112[[#This Row],[Cantidad]]*Tabla112[[#This Row],[Precio]]) - IF(ISNUMBER(FIND("x", LOWER(G11))), ( Tabla112[[#This Row],[Cantidad]]* Tabla112[[#This Row],[Precio]] * IF(ISNUMBER(FIND("aceite", LOWER(Tabla112[[#This Row],[Producto]]))), 0.05, 0.1)), 0), 0.5), "")</f>
        <v>50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46256.753102893519</v>
      </c>
      <c r="C12">
        <f t="shared" si="0"/>
        <v>8</v>
      </c>
      <c r="D12" t="s">
        <v>66</v>
      </c>
      <c r="E12">
        <v>1</v>
      </c>
      <c r="F12">
        <v>130</v>
      </c>
      <c r="H12" s="5">
        <f>IF(Tabla112[[#This Row],[Cantidad]] &gt; 0,CEILING(( Tabla112[[#This Row],[Cantidad]]*Tabla112[[#This Row],[Precio]]) - IF(ISNUMBER(FIND("x", LOWER(G12))), ( Tabla112[[#This Row],[Cantidad]]* Tabla112[[#This Row],[Precio]] * IF(ISNUMBER(FIND("aceite", LOWER(Tabla112[[#This Row],[Producto]]))), 0.05, 0.1)), 0), 0.5), "")</f>
        <v>130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46256.753102893519</v>
      </c>
      <c r="C13" t="str">
        <f t="shared" si="0"/>
        <v/>
      </c>
      <c r="H13" s="5" t="str">
        <f>IF(Tabla112[[#This Row],[Cantidad]] &gt; 0,CEILING(( Tabla112[[#This Row],[Cantidad]]*Tabla112[[#This Row],[Precio]]) - IF(ISNUMBER(FIND("x", LOWER(G13))), ( Tabla112[[#This Row],[Cantidad]]* Tabla112[[#This Row],[Precio]] * IF(ISNUMBER(FIND("aceite", LOWER(Tabla112[[#This Row],[Producto]]))), 0.05, 0.1)), 0), 0.5), "")</f>
        <v/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46256.753102893519</v>
      </c>
      <c r="C14" t="str">
        <f t="shared" si="0"/>
        <v/>
      </c>
      <c r="H14" s="5" t="str">
        <f>IF(Tabla112[[#This Row],[Cantidad]] &gt; 0,CEILING(( Tabla112[[#This Row],[Cantidad]]*Tabla112[[#This Row],[Precio]]) - IF(ISNUMBER(FIND("x", LOWER(G14))), ( Tabla112[[#This Row],[Cantidad]]* Tabla112[[#This Row],[Precio]] * IF(ISNUMBER(FIND("aceite", LOWER(Tabla112[[#This Row],[Producto]]))), 0.05, 0.1)), 0), 0.5), "")</f>
        <v/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46256.753102893519</v>
      </c>
      <c r="C15" t="str">
        <f t="shared" si="0"/>
        <v/>
      </c>
      <c r="H15" s="5" t="str">
        <f>IF(Tabla112[[#This Row],[Cantidad]] &gt; 0,CEILING(( Tabla112[[#This Row],[Cantidad]]*Tabla112[[#This Row],[Precio]]) - IF(ISNUMBER(FIND("x", LOWER(G15))), ( Tabla112[[#This Row],[Cantidad]]* Tabla112[[#This Row],[Precio]] * IF(ISNUMBER(FIND("aceite", LOWER(Tabla112[[#This Row],[Producto]]))), 0.05, 0.1)), 0), 0.5), "")</f>
        <v/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46256.753102893519</v>
      </c>
      <c r="C16" t="str">
        <f t="shared" si="0"/>
        <v/>
      </c>
      <c r="H16" s="5" t="str">
        <f>IF(Tabla112[[#This Row],[Cantidad]] &gt; 0,CEILING(( Tabla112[[#This Row],[Cantidad]]*Tabla112[[#This Row],[Precio]]) - IF(ISNUMBER(FIND("x", LOWER(G16))), ( Tabla112[[#This Row],[Cantidad]]* Tabla112[[#This Row],[Precio]] * IF(ISNUMBER(FIND("aceite", LOWER(Tabla112[[#This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46256.753102893519</v>
      </c>
      <c r="C17" t="str">
        <f t="shared" si="0"/>
        <v/>
      </c>
      <c r="H17" s="5" t="str">
        <f>IF(Tabla112[[#This Row],[Cantidad]] &gt; 0,CEILING(( Tabla112[[#This Row],[Cantidad]]*Tabla112[[#This Row],[Precio]]) - IF(ISNUMBER(FIND("x", LOWER(G17))), ( Tabla112[[#This Row],[Cantidad]]* Tabla112[[#This Row],[Precio]] * IF(ISNUMBER(FIND("aceite", LOWER(Tabla112[[#This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46256.753102893519</v>
      </c>
      <c r="C18" t="str">
        <f t="shared" si="0"/>
        <v/>
      </c>
      <c r="H18" s="5" t="str">
        <f>IF(Tabla112[[#This Row],[Cantidad]] &gt; 0,CEILING(( Tabla112[[#This Row],[Cantidad]]*Tabla112[[#This Row],[Precio]]) - IF(ISNUMBER(FIND("x", LOWER(G18))), ( Tabla112[[#This Row],[Cantidad]]* Tabla112[[#This Row],[Precio]] * IF(ISNUMBER(FIND("aceite", LOWER(Tabla112[[#This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46256.753102893519</v>
      </c>
      <c r="C19" t="str">
        <f t="shared" si="0"/>
        <v/>
      </c>
      <c r="H19" s="5" t="str">
        <f>IF(Tabla112[[#This Row],[Cantidad]] &gt; 0,CEILING(( Tabla112[[#This Row],[Cantidad]]*Tabla112[[#This Row],[Precio]]) - IF(ISNUMBER(FIND("x", LOWER(G19))), ( Tabla112[[#This Row],[Cantidad]]* Tabla112[[#This Row],[Precio]] * IF(ISNUMBER(FIND("aceite", LOWER(Tabla112[[#This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46256.753102893519</v>
      </c>
      <c r="C20" t="str">
        <f t="shared" si="0"/>
        <v/>
      </c>
      <c r="H20" s="5" t="str">
        <f>IF(Tabla112[[#This Row],[Cantidad]] &gt; 0,CEILING(( Tabla112[[#This Row],[Cantidad]]*Tabla112[[#This Row],[Precio]]) - IF(ISNUMBER(FIND("x", LOWER(G20))), ( Tabla112[[#This Row],[Cantidad]]* Tabla112[[#This Row],[Precio]] * IF(ISNUMBER(FIND("aceite", LOWER(Tabla112[[#This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46256.753102893519</v>
      </c>
      <c r="C21" t="str">
        <f t="shared" si="0"/>
        <v/>
      </c>
      <c r="H21" s="5" t="str">
        <f>IF(Tabla112[[#This Row],[Cantidad]] &gt; 0,CEILING(( Tabla112[[#This Row],[Cantidad]]*Tabla112[[#This Row],[Precio]]) - IF(ISNUMBER(FIND("x", LOWER(G21))), ( Tabla112[[#This Row],[Cantidad]]* Tabla112[[#This Row],[Precio]] * IF(ISNUMBER(FIND("aceite", LOWER(Tabla112[[#This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IF(Tabla112[[#This Row],[Cantidad]] &gt; 0,CEILING(( Tabla112[[#This Row],[Cantidad]]*Tabla112[[#This Row],[Precio]]) - IF(ISNUMBER(FIND("x", LOWER(G22))), ( Tabla112[[#This Row],[Cantidad]]* Tabla112[[#This Row],[Precio]] * IF(ISNUMBER(FIND("aceite", LOWER(Tabla112[[#This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46256.753102893519</v>
      </c>
      <c r="C23" t="str">
        <f t="shared" si="0"/>
        <v/>
      </c>
      <c r="H23" s="5" t="str">
        <f>IF(Tabla112[[#This Row],[Cantidad]] &gt; 0,CEILING(( Tabla112[[#This Row],[Cantidad]]*Tabla112[[#This Row],[Precio]]) - IF(ISNUMBER(FIND("x", LOWER(G23))), ( Tabla112[[#This Row],[Cantidad]]* Tabla112[[#This Row],[Precio]] * IF(ISNUMBER(FIND("aceite", LOWER(Tabla112[[#This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46256.753102893519</v>
      </c>
      <c r="C24" t="str">
        <f t="shared" si="0"/>
        <v/>
      </c>
      <c r="H24" s="5" t="str">
        <f>IF(Tabla112[[#This Row],[Cantidad]] &gt; 0,CEILING(( Tabla112[[#This Row],[Cantidad]]*Tabla112[[#This Row],[Precio]]) - IF(ISNUMBER(FIND("x", LOWER(G24))), ( Tabla112[[#This Row],[Cantidad]]* Tabla112[[#This Row],[Precio]] * IF(ISNUMBER(FIND("aceite", LOWER(Tabla112[[#This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46256.753102893519</v>
      </c>
      <c r="C25" t="str">
        <f t="shared" si="0"/>
        <v/>
      </c>
      <c r="H25" s="5" t="str">
        <f>IF(Tabla112[[#This Row],[Cantidad]] &gt; 0,CEILING(( Tabla112[[#This Row],[Cantidad]]*Tabla112[[#This Row],[Precio]]) - IF(ISNUMBER(FIND("x", LOWER(G25))), ( Tabla112[[#This Row],[Cantidad]]* Tabla112[[#This Row],[Precio]] * IF(ISNUMBER(FIND("aceite", LOWER(Tabla112[[#This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46256.753102893519</v>
      </c>
      <c r="C26" t="str">
        <f t="shared" si="0"/>
        <v/>
      </c>
      <c r="H26" s="5" t="str">
        <f>IF(Tabla112[[#This Row],[Cantidad]] &gt; 0,CEILING(( Tabla112[[#This Row],[Cantidad]]*Tabla112[[#This Row],[Precio]]) - IF(ISNUMBER(FIND("x", LOWER(G26))), ( Tabla112[[#This Row],[Cantidad]]* Tabla112[[#This Row],[Precio]] * IF(ISNUMBER(FIND("aceite", LOWER(Tabla112[[#This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>
        <f ca="1">IF(Tabla1[[#This Row],['#]]&lt;&gt;"", NOW(), "")</f>
        <v>46256.753102893519</v>
      </c>
      <c r="C27" t="str">
        <f t="shared" si="0"/>
        <v/>
      </c>
      <c r="H27" s="5" t="str">
        <f>IF(Tabla112[[#This Row],[Cantidad]] &gt; 0,CEILING(( Tabla112[[#This Row],[Cantidad]]*Tabla112[[#This Row],[Precio]]) - IF(ISNUMBER(FIND("x", LOWER(G27))), ( Tabla112[[#This Row],[Cantidad]]* Tabla112[[#This Row],[Precio]] * IF(ISNUMBER(FIND("aceite", LOWER(Tabla112[[#This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>
        <f ca="1">IF(Tabla1[[#This Row],['#]]&lt;&gt;"", NOW(), "")</f>
        <v>46256.753102893519</v>
      </c>
      <c r="C28" t="str">
        <f t="shared" si="0"/>
        <v/>
      </c>
      <c r="H28" s="5" t="str">
        <f>IF(Tabla112[[#This Row],[Cantidad]] &gt; 0,CEILING(( Tabla112[[#This Row],[Cantidad]]*Tabla112[[#This Row],[Precio]]) - IF(ISNUMBER(FIND("x", LOWER(G28))), ( Tabla112[[#This Row],[Cantidad]]* Tabla112[[#This Row],[Precio]] * IF(ISNUMBER(FIND("aceite", LOWER(Tabla112[[#This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>
        <f ca="1">IF(Tabla1[[#This Row],['#]]&lt;&gt;"", NOW(), "")</f>
        <v>46256.753102893519</v>
      </c>
      <c r="C29" t="str">
        <f t="shared" si="0"/>
        <v/>
      </c>
      <c r="H29" s="5" t="str">
        <f>IF(Tabla112[[#This Row],[Cantidad]] &gt; 0,CEILING(( Tabla112[[#This Row],[Cantidad]]*Tabla112[[#This Row],[Precio]]) - IF(ISNUMBER(FIND("x", LOWER(G29))), ( Tabla112[[#This Row],[Cantidad]]* Tabla112[[#This Row],[Precio]] * IF(ISNUMBER(FIND("aceite", LOWER(Tabla112[[#This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>
        <f ca="1">IF(Tabla1[[#This Row],['#]]&lt;&gt;"", NOW(), "")</f>
        <v>46256.753102893519</v>
      </c>
      <c r="C30" t="str">
        <f t="shared" si="0"/>
        <v/>
      </c>
      <c r="H30" s="5" t="str">
        <f>IF(Tabla112[[#This Row],[Cantidad]] &gt; 0,CEILING(( Tabla112[[#This Row],[Cantidad]]*Tabla112[[#This Row],[Precio]]) - IF(ISNUMBER(FIND("x", LOWER(G30))), ( Tabla112[[#This Row],[Cantidad]]* Tabla112[[#This Row],[Precio]] * IF(ISNUMBER(FIND("aceite", LOWER(Tabla112[[#This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>
        <f ca="1">IF(Tabla1[[#This Row],['#]]&lt;&gt;"", NOW(), "")</f>
        <v>46256.753102893519</v>
      </c>
      <c r="C31" t="str">
        <f t="shared" si="0"/>
        <v/>
      </c>
      <c r="H31" s="5" t="str">
        <f>IF(Tabla112[[#This Row],[Cantidad]] &gt; 0,CEILING(( Tabla112[[#This Row],[Cantidad]]*Tabla112[[#This Row],[Precio]]) - IF(ISNUMBER(FIND("x", LOWER(G31))), ( Tabla112[[#This Row],[Cantidad]]* Tabla112[[#This Row],[Precio]] * IF(ISNUMBER(FIND("aceite", LOWER(Tabla112[[#This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IF(Tabla112[[#This Row],[Cantidad]] &gt; 0,CEILING(( Tabla112[[#This Row],[Cantidad]]*Tabla112[[#This Row],[Precio]]) - IF(ISNUMBER(FIND("x", LOWER(G32))), ( Tabla112[[#This Row],[Cantidad]]* Tabla112[[#This Row],[Precio]] * IF(ISNUMBER(FIND("aceite", LOWER(Tabla112[[#This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IF(Tabla112[[#This Row],[Cantidad]] &gt; 0,CEILING(( Tabla112[[#This Row],[Cantidad]]*Tabla112[[#This Row],[Precio]]) - IF(ISNUMBER(FIND("x", LOWER(G33))), ( Tabla112[[#This Row],[Cantidad]]* Tabla112[[#This Row],[Precio]] * IF(ISNUMBER(FIND("aceite", LOWER(Tabla112[[#This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IF(Tabla112[[#This Row],[Cantidad]] &gt; 0,CEILING(( Tabla112[[#This Row],[Cantidad]]*Tabla112[[#This Row],[Precio]]) - IF(ISNUMBER(FIND("x", LOWER(G34))), ( Tabla112[[#This Row],[Cantidad]]* Tabla112[[#This Row],[Precio]] * IF(ISNUMBER(FIND("aceite", LOWER(Tabla112[[#This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IF(Tabla112[[#This Row],[Cantidad]] &gt; 0,CEILING(( Tabla112[[#This Row],[Cantidad]]*Tabla112[[#This Row],[Precio]]) - IF(ISNUMBER(FIND("x", LOWER(G35))), ( Tabla112[[#This Row],[Cantidad]]* Tabla112[[#This Row],[Precio]] * IF(ISNUMBER(FIND("aceite", LOWER(Tabla112[[#This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IF(Tabla112[[#This Row],[Cantidad]] &gt; 0,CEILING(( Tabla112[[#This Row],[Cantidad]]*Tabla112[[#This Row],[Precio]]) - IF(ISNUMBER(FIND("x", LOWER(G36))), ( Tabla112[[#This Row],[Cantidad]]* Tabla112[[#This Row],[Precio]] * IF(ISNUMBER(FIND("aceite", LOWER(Tabla112[[#This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IF(Tabla112[[#This Row],[Cantidad]] &gt; 0,CEILING(( Tabla112[[#This Row],[Cantidad]]*Tabla112[[#This Row],[Precio]]) - IF(ISNUMBER(FIND("x", LOWER(G37))), ( Tabla112[[#This Row],[Cantidad]]* Tabla112[[#This Row],[Precio]] * IF(ISNUMBER(FIND("aceite", LOWER(Tabla112[[#This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IF(Tabla112[[#This Row],[Cantidad]] &gt; 0,CEILING(( Tabla112[[#This Row],[Cantidad]]*Tabla112[[#This Row],[Precio]]) - IF(ISNUMBER(FIND("x", LOWER(G38))), ( Tabla112[[#This Row],[Cantidad]]* Tabla112[[#This Row],[Precio]] * IF(ISNUMBER(FIND("aceite", LOWER(Tabla112[[#This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IF(Tabla112[[#This Row],[Cantidad]] &gt; 0,CEILING(( Tabla112[[#This Row],[Cantidad]]*Tabla112[[#This Row],[Precio]]) - IF(ISNUMBER(FIND("x", LOWER(G39))), ( Tabla112[[#This Row],[Cantidad]]* Tabla112[[#This Row],[Precio]] * IF(ISNUMBER(FIND("aceite", LOWER(Tabla112[[#This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IF(Tabla112[[#This Row],[Cantidad]] &gt; 0,CEILING(( Tabla112[[#This Row],[Cantidad]]*Tabla112[[#This Row],[Precio]]) - IF(ISNUMBER(FIND("x", LOWER(G40))), ( Tabla112[[#This Row],[Cantidad]]* Tabla112[[#This Row],[Precio]] * IF(ISNUMBER(FIND("aceite", LOWER(Tabla112[[#This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IF(Tabla112[[#This Row],[Cantidad]] &gt; 0,CEILING(( Tabla112[[#This Row],[Cantidad]]*Tabla112[[#This Row],[Precio]]) - IF(ISNUMBER(FIND("x", LOWER(G41))), ( Tabla112[[#This Row],[Cantidad]]* Tabla112[[#This Row],[Precio]] * IF(ISNUMBER(FIND("aceite", LOWER(Tabla112[[#This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IF(Tabla112[[#This Row],[Cantidad]] &gt; 0,CEILING(( Tabla112[[#This Row],[Cantidad]]*Tabla112[[#This Row],[Precio]]) - IF(ISNUMBER(FIND("x", LOWER(G42))), ( Tabla112[[#This Row],[Cantidad]]* Tabla112[[#This Row],[Precio]] * IF(ISNUMBER(FIND("aceite", LOWER(Tabla112[[#This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IF(Tabla112[[#This Row],[Cantidad]] &gt; 0,CEILING(( Tabla112[[#This Row],[Cantidad]]*Tabla112[[#This Row],[Precio]]) - IF(ISNUMBER(FIND("x", LOWER(G43))), ( Tabla112[[#This Row],[Cantidad]]* Tabla112[[#This Row],[Precio]] * IF(ISNUMBER(FIND("aceite", LOWER(Tabla112[[#This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IF(Tabla112[[#This Row],[Cantidad]] &gt; 0,CEILING(( Tabla112[[#This Row],[Cantidad]]*Tabla112[[#This Row],[Precio]]) - IF(ISNUMBER(FIND("x", LOWER(G44))), ( Tabla112[[#This Row],[Cantidad]]* Tabla112[[#This Row],[Precio]] * IF(ISNUMBER(FIND("aceite", LOWER(Tabla112[[#This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IF(Tabla112[[#This Row],[Cantidad]] &gt; 0,CEILING(( Tabla112[[#This Row],[Cantidad]]*Tabla112[[#This Row],[Precio]]) - IF(ISNUMBER(FIND("x", LOWER(G45))), ( Tabla112[[#This Row],[Cantidad]]* Tabla112[[#This Row],[Precio]] * IF(ISNUMBER(FIND("aceite", LOWER(Tabla112[[#This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IF(Tabla112[[#This Row],[Cantidad]] &gt; 0,CEILING(( Tabla112[[#This Row],[Cantidad]]*Tabla112[[#This Row],[Precio]]) - IF(ISNUMBER(FIND("x", LOWER(G46))), ( Tabla112[[#This Row],[Cantidad]]* Tabla112[[#This Row],[Precio]] * IF(ISNUMBER(FIND("aceite", LOWER(Tabla112[[#This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IF(Tabla112[[#This Row],[Cantidad]] &gt; 0,CEILING(( Tabla112[[#This Row],[Cantidad]]*Tabla112[[#This Row],[Precio]]) - IF(ISNUMBER(FIND("x", LOWER(G47))), ( Tabla112[[#This Row],[Cantidad]]* Tabla112[[#This Row],[Precio]] * IF(ISNUMBER(FIND("aceite", LOWER(Tabla112[[#This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IF(Tabla112[[#This Row],[Cantidad]] &gt; 0,CEILING(( Tabla112[[#This Row],[Cantidad]]*Tabla112[[#This Row],[Precio]]) - IF(ISNUMBER(FIND("x", LOWER(G48))), ( Tabla112[[#This Row],[Cantidad]]* Tabla112[[#This Row],[Precio]] * IF(ISNUMBER(FIND("aceite", LOWER(Tabla112[[#This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IF(Tabla112[[#This Row],[Cantidad]] &gt; 0,CEILING(( Tabla112[[#This Row],[Cantidad]]*Tabla112[[#This Row],[Precio]]) - IF(ISNUMBER(FIND("x", LOWER(G49))), ( Tabla112[[#This Row],[Cantidad]]* Tabla112[[#This Row],[Precio]] * IF(ISNUMBER(FIND("aceite", LOWER(Tabla112[[#This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IF(Tabla112[[#This Row],[Cantidad]] &gt; 0,CEILING(( Tabla112[[#This Row],[Cantidad]]*Tabla112[[#This Row],[Precio]]) - IF(ISNUMBER(FIND("x", LOWER(G50))), ( Tabla112[[#This Row],[Cantidad]]* Tabla112[[#This Row],[Precio]] * IF(ISNUMBER(FIND("aceite", LOWER(Tabla112[[#This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IF(Tabla112[[#This Row],[Cantidad]] &gt; 0,CEILING(( Tabla112[[#This Row],[Cantidad]]*Tabla112[[#This Row],[Precio]]) - IF(ISNUMBER(FIND("x", LOWER(G51))), ( Tabla112[[#This Row],[Cantidad]]* Tabla112[[#This Row],[Precio]] * IF(ISNUMBER(FIND("aceite", LOWER(Tabla112[[#This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IF(Tabla112[[#This Row],[Cantidad]] &gt; 0,CEILING(( Tabla112[[#This Row],[Cantidad]]*Tabla112[[#This Row],[Precio]]) - IF(ISNUMBER(FIND("x", LOWER(G52))), ( Tabla112[[#This Row],[Cantidad]]* Tabla112[[#This Row],[Precio]] * IF(ISNUMBER(FIND("aceite", LOWER(Tabla112[[#This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IF(Tabla112[[#This Row],[Cantidad]] &gt; 0,CEILING(( Tabla112[[#This Row],[Cantidad]]*Tabla112[[#This Row],[Precio]]) - IF(ISNUMBER(FIND("x", LOWER(G53))), ( Tabla112[[#This Row],[Cantidad]]* Tabla112[[#This Row],[Precio]] * IF(ISNUMBER(FIND("aceite", LOWER(Tabla112[[#This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IF(Tabla112[[#This Row],[Cantidad]] &gt; 0,CEILING(( Tabla112[[#This Row],[Cantidad]]*Tabla112[[#This Row],[Precio]]) - IF(ISNUMBER(FIND("x", LOWER(G54))), ( Tabla112[[#This Row],[Cantidad]]* Tabla112[[#This Row],[Precio]] * IF(ISNUMBER(FIND("aceite", LOWER(Tabla112[[#This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IF(Tabla112[[#This Row],[Cantidad]] &gt; 0,CEILING(( Tabla112[[#This Row],[Cantidad]]*Tabla112[[#This Row],[Precio]]) - IF(ISNUMBER(FIND("x", LOWER(G55))), ( Tabla112[[#This Row],[Cantidad]]* Tabla112[[#This Row],[Precio]] * IF(ISNUMBER(FIND("aceite", LOWER(Tabla112[[#This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IF(Tabla112[[#This Row],[Cantidad]] &gt; 0,CEILING(( Tabla112[[#This Row],[Cantidad]]*Tabla112[[#This Row],[Precio]]) - IF(ISNUMBER(FIND("x", LOWER(G56))), ( Tabla112[[#This Row],[Cantidad]]* Tabla112[[#This Row],[Precio]] * IF(ISNUMBER(FIND("aceite", LOWER(Tabla112[[#This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IF(Tabla112[[#This Row],[Cantidad]] &gt; 0,CEILING(( Tabla112[[#This Row],[Cantidad]]*Tabla112[[#This Row],[Precio]]) - IF(ISNUMBER(FIND("x", LOWER(G57))), ( Tabla112[[#This Row],[Cantidad]]* Tabla112[[#This Row],[Precio]] * IF(ISNUMBER(FIND("aceite", LOWER(Tabla112[[#This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IF(Tabla112[[#This Row],[Cantidad]] &gt; 0,CEILING(( Tabla112[[#This Row],[Cantidad]]*Tabla112[[#This Row],[Precio]]) - IF(ISNUMBER(FIND("x", LOWER(G58))), ( Tabla112[[#This Row],[Cantidad]]* Tabla112[[#This Row],[Precio]] * IF(ISNUMBER(FIND("aceite", LOWER(Tabla112[[#This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IF(Tabla112[[#This Row],[Cantidad]] &gt; 0,CEILING(( Tabla112[[#This Row],[Cantidad]]*Tabla112[[#This Row],[Precio]]) - IF(ISNUMBER(FIND("x", LOWER(G59))), ( Tabla112[[#This Row],[Cantidad]]* Tabla112[[#This Row],[Precio]] * IF(ISNUMBER(FIND("aceite", LOWER(Tabla112[[#This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IF(Tabla112[[#This Row],[Cantidad]] &gt; 0,CEILING(( Tabla112[[#This Row],[Cantidad]]*Tabla112[[#This Row],[Precio]]) - IF(ISNUMBER(FIND("x", LOWER(G60))), ( Tabla112[[#This Row],[Cantidad]]* Tabla112[[#This Row],[Precio]] * IF(ISNUMBER(FIND("aceite", LOWER(Tabla112[[#This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IF(Tabla112[[#This Row],[Cantidad]] &gt; 0,CEILING(( Tabla112[[#This Row],[Cantidad]]*Tabla112[[#This Row],[Precio]]) - IF(ISNUMBER(FIND("x", LOWER(G61))), ( Tabla112[[#This Row],[Cantidad]]* Tabla112[[#This Row],[Precio]] * IF(ISNUMBER(FIND("aceite", LOWER(Tabla112[[#This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IF(Tabla112[[#This Row],[Cantidad]] &gt; 0,CEILING(( Tabla112[[#This Row],[Cantidad]]*Tabla112[[#This Row],[Precio]]) - IF(ISNUMBER(FIND("x", LOWER(G62))), ( Tabla112[[#This Row],[Cantidad]]* Tabla112[[#This Row],[Precio]] * IF(ISNUMBER(FIND("aceite", LOWER(Tabla112[[#This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IF(Tabla112[[#This Row],[Cantidad]] &gt; 0,CEILING(( Tabla112[[#This Row],[Cantidad]]*Tabla112[[#This Row],[Precio]]) - IF(ISNUMBER(FIND("x", LOWER(G63))), ( Tabla112[[#This Row],[Cantidad]]* Tabla112[[#This Row],[Precio]] * IF(ISNUMBER(FIND("aceite", LOWER(Tabla112[[#This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IF(Tabla112[[#This Row],[Cantidad]] &gt; 0,CEILING(( Tabla112[[#This Row],[Cantidad]]*Tabla112[[#This Row],[Precio]]) - IF(ISNUMBER(FIND("x", LOWER(G64))), ( Tabla112[[#This Row],[Cantidad]]* Tabla112[[#This Row],[Precio]] * IF(ISNUMBER(FIND("aceite", LOWER(Tabla112[[#This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IF(Tabla112[[#This Row],[Cantidad]] &gt; 0,CEILING(( Tabla112[[#This Row],[Cantidad]]*Tabla112[[#This Row],[Precio]]) - IF(ISNUMBER(FIND("x", LOWER(G65))), ( Tabla112[[#This Row],[Cantidad]]* Tabla112[[#This Row],[Precio]] * IF(ISNUMBER(FIND("aceite", LOWER(Tabla112[[#This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IF(Tabla112[[#This Row],[Cantidad]] &gt; 0,CEILING(( Tabla112[[#This Row],[Cantidad]]*Tabla112[[#This Row],[Precio]]) - IF(ISNUMBER(FIND("x", LOWER(G66))), ( Tabla112[[#This Row],[Cantidad]]* Tabla112[[#This Row],[Precio]] * IF(ISNUMBER(FIND("aceite", LOWER(Tabla112[[#This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IF(Tabla112[[#This Row],[Cantidad]] &gt; 0,CEILING(( Tabla112[[#This Row],[Cantidad]]*Tabla112[[#This Row],[Precio]]) - IF(ISNUMBER(FIND("x", LOWER(G67))), ( Tabla112[[#This Row],[Cantidad]]* Tabla112[[#This Row],[Precio]] * IF(ISNUMBER(FIND("aceite", LOWER(Tabla112[[#This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IF(Tabla112[[#This Row],[Cantidad]] &gt; 0,CEILING(( Tabla112[[#This Row],[Cantidad]]*Tabla112[[#This Row],[Precio]]) - IF(ISNUMBER(FIND("x", LOWER(G68))), ( Tabla112[[#This Row],[Cantidad]]* Tabla112[[#This Row],[Precio]] * IF(ISNUMBER(FIND("aceite", LOWER(Tabla112[[#This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IF(Tabla112[[#This Row],[Cantidad]] &gt; 0,CEILING(( Tabla112[[#This Row],[Cantidad]]*Tabla112[[#This Row],[Precio]]) - IF(ISNUMBER(FIND("x", LOWER(G69))), ( Tabla112[[#This Row],[Cantidad]]* Tabla112[[#This Row],[Precio]] * IF(ISNUMBER(FIND("aceite", LOWER(Tabla112[[#This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IF(Tabla112[[#This Row],[Cantidad]] &gt; 0,CEILING(( Tabla112[[#This Row],[Cantidad]]*Tabla112[[#This Row],[Precio]]) - IF(ISNUMBER(FIND("x", LOWER(G70))), ( Tabla112[[#This Row],[Cantidad]]* Tabla112[[#This Row],[Precio]] * IF(ISNUMBER(FIND("aceite", LOWER(Tabla112[[#This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IF(Tabla112[[#This Row],[Cantidad]] &gt; 0,CEILING(( Tabla112[[#This Row],[Cantidad]]*Tabla112[[#This Row],[Precio]]) - IF(ISNUMBER(FIND("x", LOWER(G71))), ( Tabla112[[#This Row],[Cantidad]]* Tabla112[[#This Row],[Precio]] * IF(ISNUMBER(FIND("aceite", LOWER(Tabla112[[#This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IF(Tabla112[[#This Row],[Cantidad]] &gt; 0,CEILING(( Tabla112[[#This Row],[Cantidad]]*Tabla112[[#This Row],[Precio]]) - IF(ISNUMBER(FIND("x", LOWER(G72))), ( Tabla112[[#This Row],[Cantidad]]* Tabla112[[#This Row],[Precio]] * IF(ISNUMBER(FIND("aceite", LOWER(Tabla112[[#This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IF(Tabla112[[#This Row],[Cantidad]] &gt; 0,CEILING(( Tabla112[[#This Row],[Cantidad]]*Tabla112[[#This Row],[Precio]]) - IF(ISNUMBER(FIND("x", LOWER(G73))), ( Tabla112[[#This Row],[Cantidad]]* Tabla112[[#This Row],[Precio]] * IF(ISNUMBER(FIND("aceite", LOWER(Tabla112[[#This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IF(Tabla112[[#This Row],[Cantidad]] &gt; 0,CEILING(( Tabla112[[#This Row],[Cantidad]]*Tabla112[[#This Row],[Precio]]) - IF(ISNUMBER(FIND("x", LOWER(G74))), ( Tabla112[[#This Row],[Cantidad]]* Tabla112[[#This Row],[Precio]] * IF(ISNUMBER(FIND("aceite", LOWER(Tabla112[[#This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IF(Tabla112[[#This Row],[Cantidad]] &gt; 0,CEILING(( Tabla112[[#This Row],[Cantidad]]*Tabla112[[#This Row],[Precio]]) - IF(ISNUMBER(FIND("x", LOWER(G75))), ( Tabla112[[#This Row],[Cantidad]]* Tabla112[[#This Row],[Precio]] * IF(ISNUMBER(FIND("aceite", LOWER(Tabla112[[#This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IF(Tabla112[[#This Row],[Cantidad]] &gt; 0,CEILING(( Tabla112[[#This Row],[Cantidad]]*Tabla112[[#This Row],[Precio]]) - IF(ISNUMBER(FIND("x", LOWER(G76))), ( Tabla112[[#This Row],[Cantidad]]* Tabla112[[#This Row],[Precio]] * IF(ISNUMBER(FIND("aceite", LOWER(Tabla112[[#This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IF(Tabla112[[#This Row],[Cantidad]] &gt; 0,CEILING(( Tabla112[[#This Row],[Cantidad]]*Tabla112[[#This Row],[Precio]]) - IF(ISNUMBER(FIND("x", LOWER(G77))), ( Tabla112[[#This Row],[Cantidad]]* Tabla112[[#This Row],[Precio]] * IF(ISNUMBER(FIND("aceite", LOWER(Tabla112[[#This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IF(Tabla112[[#This Row],[Cantidad]] &gt; 0,CEILING(( Tabla112[[#This Row],[Cantidad]]*Tabla112[[#This Row],[Precio]]) - IF(ISNUMBER(FIND("x", LOWER(G78))), ( Tabla112[[#This Row],[Cantidad]]* Tabla112[[#This Row],[Precio]] * IF(ISNUMBER(FIND("aceite", LOWER(Tabla112[[#This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IF(Tabla112[[#This Row],[Cantidad]] &gt; 0,CEILING(( Tabla112[[#This Row],[Cantidad]]*Tabla112[[#This Row],[Precio]]) - IF(ISNUMBER(FIND("x", LOWER(G79))), ( Tabla112[[#This Row],[Cantidad]]* Tabla112[[#This Row],[Precio]] * IF(ISNUMBER(FIND("aceite", LOWER(Tabla112[[#This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IF(Tabla112[[#This Row],[Cantidad]] &gt; 0,CEILING(( Tabla112[[#This Row],[Cantidad]]*Tabla112[[#This Row],[Precio]]) - IF(ISNUMBER(FIND("x", LOWER(G80))), ( Tabla112[[#This Row],[Cantidad]]* Tabla112[[#This Row],[Precio]] * IF(ISNUMBER(FIND("aceite", LOWER(Tabla112[[#This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IF(Tabla112[[#This Row],[Cantidad]] &gt; 0,CEILING(( Tabla112[[#This Row],[Cantidad]]*Tabla112[[#This Row],[Precio]]) - IF(ISNUMBER(FIND("x", LOWER(G81))), ( Tabla112[[#This Row],[Cantidad]]* Tabla112[[#This Row],[Precio]] * IF(ISNUMBER(FIND("aceite", LOWER(Tabla112[[#This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IF(Tabla112[[#This Row],[Cantidad]] &gt; 0,CEILING(( Tabla112[[#This Row],[Cantidad]]*Tabla112[[#This Row],[Precio]]) - IF(ISNUMBER(FIND("x", LOWER(G82))), ( Tabla112[[#This Row],[Cantidad]]* Tabla112[[#This Row],[Precio]] * IF(ISNUMBER(FIND("aceite", LOWER(Tabla112[[#This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IF(Tabla112[[#This Row],[Cantidad]] &gt; 0,CEILING(( Tabla112[[#This Row],[Cantidad]]*Tabla112[[#This Row],[Precio]]) - IF(ISNUMBER(FIND("x", LOWER(G83))), ( Tabla112[[#This Row],[Cantidad]]* Tabla112[[#This Row],[Precio]] * IF(ISNUMBER(FIND("aceite", LOWER(Tabla112[[#This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IF(Tabla112[[#This Row],[Cantidad]] &gt; 0,CEILING(( Tabla112[[#This Row],[Cantidad]]*Tabla112[[#This Row],[Precio]]) - IF(ISNUMBER(FIND("x", LOWER(G84))), ( Tabla112[[#This Row],[Cantidad]]* Tabla112[[#This Row],[Precio]] * IF(ISNUMBER(FIND("aceite", LOWER(Tabla112[[#This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IF(Tabla112[[#This Row],[Cantidad]] &gt; 0,CEILING(( Tabla112[[#This Row],[Cantidad]]*Tabla112[[#This Row],[Precio]]) - IF(ISNUMBER(FIND("x", LOWER(G85))), ( Tabla112[[#This Row],[Cantidad]]* Tabla112[[#This Row],[Precio]] * IF(ISNUMBER(FIND("aceite", LOWER(Tabla112[[#This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IF(Tabla112[[#This Row],[Cantidad]] &gt; 0,CEILING(( Tabla112[[#This Row],[Cantidad]]*Tabla112[[#This Row],[Precio]]) - IF(ISNUMBER(FIND("x", LOWER(G86))), ( Tabla112[[#This Row],[Cantidad]]* Tabla112[[#This Row],[Precio]] * IF(ISNUMBER(FIND("aceite", LOWER(Tabla112[[#This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IF(Tabla112[[#This Row],[Cantidad]] &gt; 0,CEILING(( Tabla112[[#This Row],[Cantidad]]*Tabla112[[#This Row],[Precio]]) - IF(ISNUMBER(FIND("x", LOWER(G87))), ( Tabla112[[#This Row],[Cantidad]]* Tabla112[[#This Row],[Precio]] * IF(ISNUMBER(FIND("aceite", LOWER(Tabla112[[#This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IF(Tabla112[[#This Row],[Cantidad]] &gt; 0,CEILING(( Tabla112[[#This Row],[Cantidad]]*Tabla112[[#This Row],[Precio]]) - IF(ISNUMBER(FIND("x", LOWER(G88))), ( Tabla112[[#This Row],[Cantidad]]* Tabla112[[#This Row],[Precio]] * IF(ISNUMBER(FIND("aceite", LOWER(Tabla112[[#This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IF(Tabla112[[#This Row],[Cantidad]] &gt; 0,CEILING(( Tabla112[[#This Row],[Cantidad]]*Tabla112[[#This Row],[Precio]]) - IF(ISNUMBER(FIND("x", LOWER(G89))), ( Tabla112[[#This Row],[Cantidad]]* Tabla112[[#This Row],[Precio]] * IF(ISNUMBER(FIND("aceite", LOWER(Tabla112[[#This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IF(Tabla112[[#This Row],[Cantidad]] &gt; 0,CEILING(( Tabla112[[#This Row],[Cantidad]]*Tabla112[[#This Row],[Precio]]) - IF(ISNUMBER(FIND("x", LOWER(G90))), ( Tabla112[[#This Row],[Cantidad]]* Tabla112[[#This Row],[Precio]] * IF(ISNUMBER(FIND("aceite", LOWER(Tabla112[[#This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IF(Tabla112[[#This Row],[Cantidad]] &gt; 0,CEILING(( Tabla112[[#This Row],[Cantidad]]*Tabla112[[#This Row],[Precio]]) - IF(ISNUMBER(FIND("x", LOWER(G91))), ( Tabla112[[#This Row],[Cantidad]]* Tabla112[[#This Row],[Precio]] * IF(ISNUMBER(FIND("aceite", LOWER(Tabla112[[#This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IF(Tabla112[[#This Row],[Cantidad]] &gt; 0,CEILING(( Tabla112[[#This Row],[Cantidad]]*Tabla112[[#This Row],[Precio]]) - IF(ISNUMBER(FIND("x", LOWER(G92))), ( Tabla112[[#This Row],[Cantidad]]* Tabla112[[#This Row],[Precio]] * IF(ISNUMBER(FIND("aceite", LOWER(Tabla112[[#This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IF(Tabla112[[#This Row],[Cantidad]] &gt; 0,CEILING(( Tabla112[[#This Row],[Cantidad]]*Tabla112[[#This Row],[Precio]]) - IF(ISNUMBER(FIND("x", LOWER(G93))), ( Tabla112[[#This Row],[Cantidad]]* Tabla112[[#This Row],[Precio]] * IF(ISNUMBER(FIND("aceite", LOWER(Tabla112[[#This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IF(Tabla112[[#This Row],[Cantidad]] &gt; 0,CEILING(( Tabla112[[#This Row],[Cantidad]]*Tabla112[[#This Row],[Precio]]) - IF(ISNUMBER(FIND("x", LOWER(G94))), ( Tabla112[[#This Row],[Cantidad]]* Tabla112[[#This Row],[Precio]] * IF(ISNUMBER(FIND("aceite", LOWER(Tabla112[[#This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IF(Tabla112[[#This Row],[Cantidad]] &gt; 0,CEILING(( Tabla112[[#This Row],[Cantidad]]*Tabla112[[#This Row],[Precio]]) - IF(ISNUMBER(FIND("x", LOWER(G95))), ( Tabla112[[#This Row],[Cantidad]]* Tabla112[[#This Row],[Precio]] * IF(ISNUMBER(FIND("aceite", LOWER(Tabla112[[#This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IF(Tabla112[[#This Row],[Cantidad]] &gt; 0,CEILING(( Tabla112[[#This Row],[Cantidad]]*Tabla112[[#This Row],[Precio]]) - IF(ISNUMBER(FIND("x", LOWER(G96))), ( Tabla112[[#This Row],[Cantidad]]* Tabla112[[#This Row],[Precio]] * IF(ISNUMBER(FIND("aceite", LOWER(Tabla112[[#This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IF(Tabla112[[#This Row],[Cantidad]] &gt; 0,CEILING(( Tabla112[[#This Row],[Cantidad]]*Tabla112[[#This Row],[Precio]]) - IF(ISNUMBER(FIND("x", LOWER(G97))), ( Tabla112[[#This Row],[Cantidad]]* Tabla112[[#This Row],[Precio]] * IF(ISNUMBER(FIND("aceite", LOWER(Tabla112[[#This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IF(Tabla112[[#This Row],[Cantidad]] &gt; 0,CEILING(( Tabla112[[#This Row],[Cantidad]]*Tabla112[[#This Row],[Precio]]) - IF(ISNUMBER(FIND("x", LOWER(G98))), ( Tabla112[[#This Row],[Cantidad]]* Tabla112[[#This Row],[Precio]] * IF(ISNUMBER(FIND("aceite", LOWER(Tabla112[[#This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IF(Tabla112[[#This Row],[Cantidad]] &gt; 0,CEILING(( Tabla112[[#This Row],[Cantidad]]*Tabla112[[#This Row],[Precio]]) - IF(ISNUMBER(FIND("x", LOWER(G99))), ( Tabla112[[#This Row],[Cantidad]]* Tabla112[[#This Row],[Precio]] * IF(ISNUMBER(FIND("aceite", LOWER(Tabla112[[#This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IF(Tabla112[[#This Row],[Cantidad]] &gt; 0,CEILING(( Tabla112[[#This Row],[Cantidad]]*Tabla112[[#This Row],[Precio]]) - IF(ISNUMBER(FIND("x", LOWER(G100))), ( Tabla112[[#This Row],[Cantidad]]* Tabla112[[#This Row],[Precio]] * IF(ISNUMBER(FIND("aceite", LOWER(Tabla112[[#This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IF(Tabla112[[#This Row],[Cantidad]] &gt; 0,CEILING(( Tabla112[[#This Row],[Cantidad]]*Tabla112[[#This Row],[Precio]]) - IF(ISNUMBER(FIND("x", LOWER(G101))), ( Tabla112[[#This Row],[Cantidad]]* Tabla112[[#This Row],[Precio]] * IF(ISNUMBER(FIND("aceite", LOWER(Tabla112[[#This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IF(Tabla112[[#This Row],[Cantidad]] &gt; 0,CEILING(( Tabla112[[#This Row],[Cantidad]]*Tabla112[[#This Row],[Precio]]) - IF(ISNUMBER(FIND("x", LOWER(G102))), ( Tabla112[[#This Row],[Cantidad]]* Tabla112[[#This Row],[Precio]] * IF(ISNUMBER(FIND("aceite", LOWER(Tabla112[[#This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IF(Tabla112[[#This Row],[Cantidad]] &gt; 0,CEILING(( Tabla112[[#This Row],[Cantidad]]*Tabla112[[#This Row],[Precio]]) - IF(ISNUMBER(FIND("x", LOWER(G103))), ( Tabla112[[#This Row],[Cantidad]]* Tabla112[[#This Row],[Precio]] * IF(ISNUMBER(FIND("aceite", LOWER(Tabla112[[#This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7" priority="1">
      <formula>C5&gt;0&amp;ISBLANK(B5)</formula>
    </cfRule>
  </conditionalFormatting>
  <conditionalFormatting sqref="D5:D6">
    <cfRule type="expression" dxfId="6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103"/>
  <sheetViews>
    <sheetView workbookViewId="0">
      <selection activeCell="D40" sqref="D40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1" bestFit="1" customWidth="1"/>
  </cols>
  <sheetData>
    <row r="2" spans="2:18" ht="28.5" x14ac:dyDescent="0.45">
      <c r="C2" s="34" t="s">
        <v>99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SUM(Tabla113[Importa])</f>
        <v>6732.5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35</v>
      </c>
      <c r="M4" s="36" t="s">
        <v>145</v>
      </c>
      <c r="N4" s="36"/>
      <c r="O4" s="36"/>
      <c r="P4" s="36"/>
      <c r="Q4" s="36"/>
      <c r="R4" s="36"/>
    </row>
    <row r="5" spans="2:18" x14ac:dyDescent="0.25">
      <c r="B5" s="18">
        <f ca="1">IF(Tabla113[[#This Row],['#]]&lt;&gt;"", NOW(), "")</f>
        <v>46256.753102893519</v>
      </c>
      <c r="C5">
        <f t="shared" ref="C5:C68" si="0">IF(ISNUMBER(E5), IF(ISNUMBER(C4), C4+1, 1), "")</f>
        <v>1</v>
      </c>
      <c r="D5" t="s">
        <v>114</v>
      </c>
      <c r="E5">
        <v>1</v>
      </c>
      <c r="F5">
        <v>50</v>
      </c>
      <c r="G5" t="s">
        <v>30</v>
      </c>
      <c r="H5" s="5">
        <f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f>
        <v>45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46256.753102893519</v>
      </c>
      <c r="C6">
        <f t="shared" si="0"/>
        <v>2</v>
      </c>
      <c r="D6" t="s">
        <v>115</v>
      </c>
      <c r="E6">
        <v>1</v>
      </c>
      <c r="F6">
        <v>480</v>
      </c>
      <c r="G6" t="s">
        <v>30</v>
      </c>
      <c r="H6" s="5">
        <f>IF(Tabla113[[#This Row],[Cantidad]] &gt; 0,CEILING(( Tabla113[[#This Row],[Cantidad]]*Tabla113[[#This Row],[Precio]]) - IF(ISNUMBER(FIND("x", LOWER(G6))), ( Tabla113[[#This Row],[Cantidad]]* Tabla113[[#This Row],[Precio]] * IF(ISNUMBER(FIND("aceite", LOWER(Tabla113[[#This Row],[Producto]]))), 0.05, 0.1)), 0), 0.5), "")</f>
        <v>432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46256.753102893519</v>
      </c>
      <c r="C7">
        <f t="shared" si="0"/>
        <v>3</v>
      </c>
      <c r="D7" t="s">
        <v>116</v>
      </c>
      <c r="E7">
        <v>1</v>
      </c>
      <c r="F7">
        <v>500</v>
      </c>
      <c r="G7" t="s">
        <v>30</v>
      </c>
      <c r="H7" s="5">
        <f>IF(Tabla113[[#This Row],[Cantidad]] &gt; 0,CEILING(( Tabla113[[#This Row],[Cantidad]]*Tabla113[[#This Row],[Precio]]) - IF(ISNUMBER(FIND("x", LOWER(G7))), ( Tabla113[[#This Row],[Cantidad]]* Tabla113[[#This Row],[Precio]] * IF(ISNUMBER(FIND("aceite", LOWER(Tabla113[[#This Row],[Producto]]))), 0.05, 0.1)), 0), 0.5), "")</f>
        <v>450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46256.753102893519</v>
      </c>
      <c r="C8">
        <f t="shared" si="0"/>
        <v>4</v>
      </c>
      <c r="D8" t="s">
        <v>117</v>
      </c>
      <c r="E8">
        <v>1</v>
      </c>
      <c r="F8">
        <v>700</v>
      </c>
      <c r="H8" s="5">
        <f>IF(Tabla113[[#This Row],[Cantidad]] &gt; 0,CEILING(( Tabla113[[#This Row],[Cantidad]]*Tabla113[[#This Row],[Precio]]) - IF(ISNUMBER(FIND("x", LOWER(G8))), ( Tabla113[[#This Row],[Cantidad]]* Tabla113[[#This Row],[Precio]] * IF(ISNUMBER(FIND("aceite", LOWER(Tabla113[[#This Row],[Producto]]))), 0.05, 0.1)), 0), 0.5), "")</f>
        <v>700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46256.753102893519</v>
      </c>
      <c r="C9">
        <f t="shared" si="0"/>
        <v>5</v>
      </c>
      <c r="D9" t="s">
        <v>118</v>
      </c>
      <c r="E9">
        <v>1</v>
      </c>
      <c r="F9">
        <v>40</v>
      </c>
      <c r="G9" t="s">
        <v>30</v>
      </c>
      <c r="H9" s="5">
        <f>IF(Tabla113[[#This Row],[Cantidad]] &gt; 0,CEILING(( Tabla113[[#This Row],[Cantidad]]*Tabla113[[#This Row],[Precio]]) - IF(ISNUMBER(FIND("x", LOWER(G9))), ( Tabla113[[#This Row],[Cantidad]]* Tabla113[[#This Row],[Precio]] * IF(ISNUMBER(FIND("aceite", LOWER(Tabla113[[#This Row],[Producto]]))), 0.05, 0.1)), 0), 0.5), "")</f>
        <v>36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46256.753102893519</v>
      </c>
      <c r="C10">
        <f t="shared" si="0"/>
        <v>6</v>
      </c>
      <c r="D10" t="s">
        <v>119</v>
      </c>
      <c r="E10">
        <v>1</v>
      </c>
      <c r="F10">
        <v>68</v>
      </c>
      <c r="G10" t="s">
        <v>30</v>
      </c>
      <c r="H10" s="5">
        <f>IF(Tabla113[[#This Row],[Cantidad]] &gt; 0,CEILING(( Tabla113[[#This Row],[Cantidad]]*Tabla113[[#This Row],[Precio]]) - IF(ISNUMBER(FIND("x", LOWER(G10))), ( Tabla113[[#This Row],[Cantidad]]* Tabla113[[#This Row],[Precio]] * IF(ISNUMBER(FIND("aceite", LOWER(Tabla113[[#This Row],[Producto]]))), 0.05, 0.1)), 0), 0.5), "")</f>
        <v>61.5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46256.753102893519</v>
      </c>
      <c r="C11">
        <f t="shared" si="0"/>
        <v>7</v>
      </c>
      <c r="D11" t="s">
        <v>120</v>
      </c>
      <c r="E11">
        <v>1</v>
      </c>
      <c r="F11">
        <v>85</v>
      </c>
      <c r="G11" t="s">
        <v>30</v>
      </c>
      <c r="H11" s="5">
        <f>IF(Tabla113[[#This Row],[Cantidad]] &gt; 0,CEILING(( Tabla113[[#This Row],[Cantidad]]*Tabla113[[#This Row],[Precio]]) - IF(ISNUMBER(FIND("x", LOWER(G11))), ( Tabla113[[#This Row],[Cantidad]]* Tabla113[[#This Row],[Precio]] * IF(ISNUMBER(FIND("aceite", LOWER(Tabla113[[#This Row],[Producto]]))), 0.05, 0.1)), 0), 0.5), "")</f>
        <v>76.5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46256.753102893519</v>
      </c>
      <c r="C12">
        <f t="shared" si="0"/>
        <v>8</v>
      </c>
      <c r="D12" t="s">
        <v>121</v>
      </c>
      <c r="E12">
        <v>1</v>
      </c>
      <c r="F12">
        <v>205</v>
      </c>
      <c r="G12" t="s">
        <v>30</v>
      </c>
      <c r="H12" s="5">
        <f>IF(Tabla113[[#This Row],[Cantidad]] &gt; 0,CEILING(( Tabla113[[#This Row],[Cantidad]]*Tabla113[[#This Row],[Precio]]) - IF(ISNUMBER(FIND("x", LOWER(G12))), ( Tabla113[[#This Row],[Cantidad]]* Tabla113[[#This Row],[Precio]] * IF(ISNUMBER(FIND("aceite", LOWER(Tabla113[[#This Row],[Producto]]))), 0.05, 0.1)), 0), 0.5), "")</f>
        <v>184.5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46256.753102893519</v>
      </c>
      <c r="C13">
        <f t="shared" si="0"/>
        <v>9</v>
      </c>
      <c r="D13" t="s">
        <v>122</v>
      </c>
      <c r="E13">
        <v>1</v>
      </c>
      <c r="F13">
        <v>1050</v>
      </c>
      <c r="G13" t="s">
        <v>30</v>
      </c>
      <c r="H13" s="5">
        <f>IF(Tabla113[[#This Row],[Cantidad]] &gt; 0,CEILING(( Tabla113[[#This Row],[Cantidad]]*Tabla113[[#This Row],[Precio]]) - IF(ISNUMBER(FIND("x", LOWER(G13))), ( Tabla113[[#This Row],[Cantidad]]* Tabla113[[#This Row],[Precio]] * IF(ISNUMBER(FIND("aceite", LOWER(Tabla113[[#This Row],[Producto]]))), 0.05, 0.1)), 0), 0.5), "")</f>
        <v>945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46256.753102893519</v>
      </c>
      <c r="C14">
        <f t="shared" si="0"/>
        <v>10</v>
      </c>
      <c r="D14" t="s">
        <v>123</v>
      </c>
      <c r="E14">
        <v>1</v>
      </c>
      <c r="F14">
        <v>700</v>
      </c>
      <c r="H14" s="5">
        <f>IF(Tabla113[[#This Row],[Cantidad]] &gt; 0,CEILING(( Tabla113[[#This Row],[Cantidad]]*Tabla113[[#This Row],[Precio]]) - IF(ISNUMBER(FIND("x", LOWER(G14))), ( Tabla113[[#This Row],[Cantidad]]* Tabla113[[#This Row],[Precio]] * IF(ISNUMBER(FIND("aceite", LOWER(Tabla113[[#This Row],[Producto]]))), 0.05, 0.1)), 0), 0.5), "")</f>
        <v>700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46256.753102893519</v>
      </c>
      <c r="C15">
        <f t="shared" si="0"/>
        <v>11</v>
      </c>
      <c r="D15" t="s">
        <v>124</v>
      </c>
      <c r="E15">
        <v>1</v>
      </c>
      <c r="F15">
        <v>290</v>
      </c>
      <c r="G15" t="s">
        <v>30</v>
      </c>
      <c r="H15" s="5">
        <f>IF(Tabla113[[#This Row],[Cantidad]] &gt; 0,CEILING(( Tabla113[[#This Row],[Cantidad]]*Tabla113[[#This Row],[Precio]]) - IF(ISNUMBER(FIND("x", LOWER(G15))), ( Tabla113[[#This Row],[Cantidad]]* Tabla113[[#This Row],[Precio]] * IF(ISNUMBER(FIND("aceite", LOWER(Tabla113[[#This Row],[Producto]]))), 0.05, 0.1)), 0), 0.5), "")</f>
        <v>261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46256.753102893519</v>
      </c>
      <c r="C16">
        <f t="shared" si="0"/>
        <v>12</v>
      </c>
      <c r="D16" t="s">
        <v>125</v>
      </c>
      <c r="E16">
        <v>1</v>
      </c>
      <c r="F16">
        <v>692</v>
      </c>
      <c r="H16" s="5">
        <f>IF(Tabla113[[#This Row],[Cantidad]] &gt; 0,CEILING(( Tabla113[[#This Row],[Cantidad]]*Tabla113[[#This Row],[Precio]]) - IF(ISNUMBER(FIND("x", LOWER(G16))), ( Tabla113[[#This Row],[Cantidad]]* Tabla113[[#This Row],[Precio]] * IF(ISNUMBER(FIND("aceite", LOWER(Tabla113[[#This Row],[Producto]]))), 0.05, 0.1)), 0), 0.5), "")</f>
        <v>692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46256.753102893519</v>
      </c>
      <c r="C17">
        <f t="shared" si="0"/>
        <v>13</v>
      </c>
      <c r="D17" t="s">
        <v>126</v>
      </c>
      <c r="E17">
        <v>3</v>
      </c>
      <c r="F17">
        <v>320</v>
      </c>
      <c r="G17" t="s">
        <v>30</v>
      </c>
      <c r="H17" s="5">
        <f>IF(Tabla113[[#This Row],[Cantidad]] &gt; 0,CEILING(( Tabla113[[#This Row],[Cantidad]]*Tabla113[[#This Row],[Precio]]) - IF(ISNUMBER(FIND("x", LOWER(G17))), ( Tabla113[[#This Row],[Cantidad]]* Tabla113[[#This Row],[Precio]] * IF(ISNUMBER(FIND("aceite", LOWER(Tabla113[[#This Row],[Producto]]))), 0.05, 0.1)), 0), 0.5), "")</f>
        <v>912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46256.753102893519</v>
      </c>
      <c r="C18">
        <f t="shared" si="0"/>
        <v>14</v>
      </c>
      <c r="D18" t="s">
        <v>66</v>
      </c>
      <c r="E18">
        <v>1</v>
      </c>
      <c r="F18">
        <v>130</v>
      </c>
      <c r="G18" t="s">
        <v>30</v>
      </c>
      <c r="H18" s="5">
        <f>IF(Tabla113[[#This Row],[Cantidad]] &gt; 0,CEILING(( Tabla113[[#This Row],[Cantidad]]*Tabla113[[#This Row],[Precio]]) - IF(ISNUMBER(FIND("x", LOWER(G18))), ( Tabla113[[#This Row],[Cantidad]]* Tabla113[[#This Row],[Precio]] * IF(ISNUMBER(FIND("aceite", LOWER(Tabla113[[#This Row],[Producto]]))), 0.05, 0.1)), 0), 0.5), "")</f>
        <v>123.5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46256.753102893519</v>
      </c>
      <c r="C19">
        <f t="shared" si="0"/>
        <v>15</v>
      </c>
      <c r="D19" t="s">
        <v>127</v>
      </c>
      <c r="E19">
        <v>1</v>
      </c>
      <c r="F19">
        <v>83</v>
      </c>
      <c r="G19" t="s">
        <v>30</v>
      </c>
      <c r="H19" s="5">
        <f>IF(Tabla113[[#This Row],[Cantidad]] &gt; 0,CEILING(( Tabla113[[#This Row],[Cantidad]]*Tabla113[[#This Row],[Precio]]) - IF(ISNUMBER(FIND("x", LOWER(G19))), ( Tabla113[[#This Row],[Cantidad]]* Tabla113[[#This Row],[Precio]] * IF(ISNUMBER(FIND("aceite", LOWER(Tabla113[[#This Row],[Producto]]))), 0.05, 0.1)), 0), 0.5), "")</f>
        <v>75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46256.753102893519</v>
      </c>
      <c r="C20">
        <f t="shared" si="0"/>
        <v>16</v>
      </c>
      <c r="D20" t="s">
        <v>26</v>
      </c>
      <c r="E20">
        <v>1</v>
      </c>
      <c r="F20">
        <v>15</v>
      </c>
      <c r="G20" t="s">
        <v>30</v>
      </c>
      <c r="H20" s="5">
        <f>IF(Tabla113[[#This Row],[Cantidad]] &gt; 0,CEILING(( Tabla113[[#This Row],[Cantidad]]*Tabla113[[#This Row],[Precio]]) - IF(ISNUMBER(FIND("x", LOWER(G20))), ( Tabla113[[#This Row],[Cantidad]]* Tabla113[[#This Row],[Precio]] * IF(ISNUMBER(FIND("aceite", LOWER(Tabla113[[#This Row],[Producto]]))), 0.05, 0.1)), 0), 0.5), "")</f>
        <v>13.5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46256.753102893519</v>
      </c>
      <c r="C21">
        <f t="shared" si="0"/>
        <v>17</v>
      </c>
      <c r="D21" t="s">
        <v>48</v>
      </c>
      <c r="E21">
        <v>1</v>
      </c>
      <c r="F21">
        <v>50</v>
      </c>
      <c r="G21" t="s">
        <v>30</v>
      </c>
      <c r="H21" s="5">
        <f>IF(Tabla113[[#This Row],[Cantidad]] &gt; 0,CEILING(( Tabla113[[#This Row],[Cantidad]]*Tabla113[[#This Row],[Precio]]) - IF(ISNUMBER(FIND("x", LOWER(G21))), ( Tabla113[[#This Row],[Cantidad]]* Tabla113[[#This Row],[Precio]] * IF(ISNUMBER(FIND("aceite", LOWER(Tabla113[[#This Row],[Producto]]))), 0.05, 0.1)), 0), 0.5), "")</f>
        <v>45</v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128</v>
      </c>
      <c r="E22">
        <v>1</v>
      </c>
      <c r="F22">
        <v>71</v>
      </c>
      <c r="G22" t="s">
        <v>30</v>
      </c>
      <c r="H22" s="5">
        <f>IF(Tabla113[[#This Row],[Cantidad]] &gt; 0,CEILING(( Tabla113[[#This Row],[Cantidad]]*Tabla113[[#This Row],[Precio]]) - IF(ISNUMBER(FIND("x", LOWER(G22))), ( Tabla113[[#This Row],[Cantidad]]* Tabla113[[#This Row],[Precio]] * IF(ISNUMBER(FIND("aceite", LOWER(Tabla113[[#This Row],[Producto]]))), 0.05, 0.1)), 0), 0.5), "")</f>
        <v>64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46256.753102893519</v>
      </c>
      <c r="C23">
        <f t="shared" si="0"/>
        <v>19</v>
      </c>
      <c r="D23" t="s">
        <v>129</v>
      </c>
      <c r="E23">
        <v>1</v>
      </c>
      <c r="F23">
        <v>70</v>
      </c>
      <c r="H23" s="5">
        <f>IF(Tabla113[[#This Row],[Cantidad]] &gt; 0,CEILING(( Tabla113[[#This Row],[Cantidad]]*Tabla113[[#This Row],[Precio]]) - IF(ISNUMBER(FIND("x", LOWER(G23))), ( Tabla113[[#This Row],[Cantidad]]* Tabla113[[#This Row],[Precio]] * IF(ISNUMBER(FIND("aceite", LOWER(Tabla113[[#This Row],[Producto]]))), 0.05, 0.1)), 0), 0.5), "")</f>
        <v>70</v>
      </c>
    </row>
    <row r="24" spans="2:18" ht="15" customHeight="1" x14ac:dyDescent="0.25">
      <c r="B24" s="18">
        <f ca="1">IF(Tabla1[[#This Row],['#]]&lt;&gt;"", NOW(), "")</f>
        <v>46256.753102893519</v>
      </c>
      <c r="C24">
        <f t="shared" si="0"/>
        <v>20</v>
      </c>
      <c r="D24" t="s">
        <v>130</v>
      </c>
      <c r="E24">
        <v>1</v>
      </c>
      <c r="F24">
        <v>70</v>
      </c>
      <c r="H24" s="5">
        <f>IF(Tabla113[[#This Row],[Cantidad]] &gt; 0,CEILING(( Tabla113[[#This Row],[Cantidad]]*Tabla113[[#This Row],[Precio]]) - IF(ISNUMBER(FIND("x", LOWER(G24))), ( Tabla113[[#This Row],[Cantidad]]* Tabla113[[#This Row],[Precio]] * IF(ISNUMBER(FIND("aceite", LOWER(Tabla113[[#This Row],[Producto]]))), 0.05, 0.1)), 0), 0.5), "")</f>
        <v>70</v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46256.753102893519</v>
      </c>
      <c r="C25">
        <f t="shared" si="0"/>
        <v>21</v>
      </c>
      <c r="D25" t="s">
        <v>131</v>
      </c>
      <c r="E25">
        <v>1</v>
      </c>
      <c r="F25">
        <v>15</v>
      </c>
      <c r="H25" s="5">
        <f>IF(Tabla113[[#This Row],[Cantidad]] &gt; 0,CEILING(( Tabla113[[#This Row],[Cantidad]]*Tabla113[[#This Row],[Precio]]) - IF(ISNUMBER(FIND("x", LOWER(G25))), ( Tabla113[[#This Row],[Cantidad]]* Tabla113[[#This Row],[Precio]] * IF(ISNUMBER(FIND("aceite", LOWER(Tabla113[[#This Row],[Producto]]))), 0.05, 0.1)), 0), 0.5), "")</f>
        <v>15</v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46256.753102893519</v>
      </c>
      <c r="C26">
        <f t="shared" si="0"/>
        <v>22</v>
      </c>
      <c r="D26" t="s">
        <v>132</v>
      </c>
      <c r="E26">
        <v>1</v>
      </c>
      <c r="F26">
        <v>175</v>
      </c>
      <c r="G26" t="s">
        <v>30</v>
      </c>
      <c r="H26" s="5">
        <f>IF(Tabla113[[#This Row],[Cantidad]] &gt; 0,CEILING(( Tabla113[[#This Row],[Cantidad]]*Tabla113[[#This Row],[Precio]]) - IF(ISNUMBER(FIND("x", LOWER(G26))), ( Tabla113[[#This Row],[Cantidad]]* Tabla113[[#This Row],[Precio]] * IF(ISNUMBER(FIND("aceite", LOWER(Tabla113[[#This Row],[Producto]]))), 0.05, 0.1)), 0), 0.5), "")</f>
        <v>157.5</v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>
        <f ca="1">IF(Tabla1[[#This Row],['#]]&lt;&gt;"", NOW(), "")</f>
        <v>46256.753102893519</v>
      </c>
      <c r="C27">
        <f t="shared" si="0"/>
        <v>23</v>
      </c>
      <c r="D27" t="s">
        <v>133</v>
      </c>
      <c r="E27">
        <v>1</v>
      </c>
      <c r="F27">
        <v>35</v>
      </c>
      <c r="G27" t="s">
        <v>30</v>
      </c>
      <c r="H27" s="5">
        <f>IF(Tabla113[[#This Row],[Cantidad]] &gt; 0,CEILING(( Tabla113[[#This Row],[Cantidad]]*Tabla113[[#This Row],[Precio]]) - IF(ISNUMBER(FIND("x", LOWER(G27))), ( Tabla113[[#This Row],[Cantidad]]* Tabla113[[#This Row],[Precio]] * IF(ISNUMBER(FIND("aceite", LOWER(Tabla113[[#This Row],[Producto]]))), 0.05, 0.1)), 0), 0.5), "")</f>
        <v>31.5</v>
      </c>
      <c r="M27" s="13" t="s">
        <v>100</v>
      </c>
      <c r="N27" s="15">
        <v>2320</v>
      </c>
      <c r="O27" s="39" t="s">
        <v>101</v>
      </c>
      <c r="P27" s="40"/>
      <c r="Q27" s="40"/>
      <c r="R27" s="41"/>
    </row>
    <row r="28" spans="2:18" ht="15" customHeight="1" x14ac:dyDescent="0.25">
      <c r="B28" s="18">
        <f ca="1">IF(Tabla1[[#This Row],['#]]&lt;&gt;"", NOW(), "")</f>
        <v>46256.753102893519</v>
      </c>
      <c r="C28">
        <f t="shared" si="0"/>
        <v>24</v>
      </c>
      <c r="D28" t="s">
        <v>134</v>
      </c>
      <c r="E28">
        <v>1</v>
      </c>
      <c r="F28">
        <v>42</v>
      </c>
      <c r="H28" s="5">
        <f>IF(Tabla113[[#This Row],[Cantidad]] &gt; 0,CEILING(( Tabla113[[#This Row],[Cantidad]]*Tabla113[[#This Row],[Precio]]) - IF(ISNUMBER(FIND("x", LOWER(G28))), ( Tabla113[[#This Row],[Cantidad]]* Tabla113[[#This Row],[Precio]] * IF(ISNUMBER(FIND("aceite", LOWER(Tabla113[[#This Row],[Producto]]))), 0.05, 0.1)), 0), 0.5), "")</f>
        <v>42</v>
      </c>
      <c r="M28" s="13" t="s">
        <v>102</v>
      </c>
      <c r="N28" s="15">
        <v>1750</v>
      </c>
      <c r="O28" s="39" t="s">
        <v>101</v>
      </c>
      <c r="P28" s="40"/>
      <c r="Q28" s="40"/>
      <c r="R28" s="41"/>
    </row>
    <row r="29" spans="2:18" ht="15" customHeight="1" x14ac:dyDescent="0.25">
      <c r="B29" s="18">
        <f ca="1">IF(Tabla1[[#This Row],['#]]&lt;&gt;"", NOW(), "")</f>
        <v>46256.753102893519</v>
      </c>
      <c r="C29">
        <f t="shared" si="0"/>
        <v>25</v>
      </c>
      <c r="D29" t="s">
        <v>135</v>
      </c>
      <c r="E29">
        <v>1</v>
      </c>
      <c r="F29">
        <v>70</v>
      </c>
      <c r="G29" t="s">
        <v>30</v>
      </c>
      <c r="H29" s="5">
        <f>IF(Tabla113[[#This Row],[Cantidad]] &gt; 0,CEILING(( Tabla113[[#This Row],[Cantidad]]*Tabla113[[#This Row],[Precio]]) - IF(ISNUMBER(FIND("x", LOWER(G29))), ( Tabla113[[#This Row],[Cantidad]]* Tabla113[[#This Row],[Precio]] * IF(ISNUMBER(FIND("aceite", LOWER(Tabla113[[#This Row],[Producto]]))), 0.05, 0.1)), 0), 0.5), "")</f>
        <v>63</v>
      </c>
      <c r="M29" s="13" t="s">
        <v>103</v>
      </c>
      <c r="N29" s="15">
        <v>4100</v>
      </c>
      <c r="O29" s="39" t="s">
        <v>104</v>
      </c>
      <c r="P29" s="40"/>
      <c r="Q29" s="40"/>
      <c r="R29" s="41"/>
    </row>
    <row r="30" spans="2:18" ht="15" customHeight="1" x14ac:dyDescent="0.25">
      <c r="B30" s="18">
        <f ca="1">IF(Tabla1[[#This Row],['#]]&lt;&gt;"", NOW(), "")</f>
        <v>46256.753102893519</v>
      </c>
      <c r="C30">
        <f t="shared" si="0"/>
        <v>26</v>
      </c>
      <c r="D30" t="s">
        <v>136</v>
      </c>
      <c r="E30">
        <v>1</v>
      </c>
      <c r="F30">
        <v>100</v>
      </c>
      <c r="G30" t="s">
        <v>30</v>
      </c>
      <c r="H30" s="5">
        <f>IF(Tabla113[[#This Row],[Cantidad]] &gt; 0,CEILING(( Tabla113[[#This Row],[Cantidad]]*Tabla113[[#This Row],[Precio]]) - IF(ISNUMBER(FIND("x", LOWER(G30))), ( Tabla113[[#This Row],[Cantidad]]* Tabla113[[#This Row],[Precio]] * IF(ISNUMBER(FIND("aceite", LOWER(Tabla113[[#This Row],[Producto]]))), 0.05, 0.1)), 0), 0.5), "")</f>
        <v>90</v>
      </c>
      <c r="M30" s="13" t="s">
        <v>83</v>
      </c>
      <c r="N30" s="15">
        <v>40</v>
      </c>
      <c r="O30" s="39" t="s">
        <v>105</v>
      </c>
      <c r="P30" s="40"/>
      <c r="Q30" s="40"/>
      <c r="R30" s="41"/>
    </row>
    <row r="31" spans="2:18" ht="15" customHeight="1" x14ac:dyDescent="0.25">
      <c r="B31" s="18">
        <f ca="1">IF(Tabla1[[#This Row],['#]]&lt;&gt;"", NOW(), "")</f>
        <v>46256.753102893519</v>
      </c>
      <c r="C31">
        <f t="shared" si="0"/>
        <v>27</v>
      </c>
      <c r="D31" t="s">
        <v>137</v>
      </c>
      <c r="E31">
        <v>1</v>
      </c>
      <c r="F31">
        <v>150</v>
      </c>
      <c r="G31" t="s">
        <v>30</v>
      </c>
      <c r="H31" s="5">
        <f>IF(Tabla113[[#This Row],[Cantidad]] &gt; 0,CEILING(( Tabla113[[#This Row],[Cantidad]]*Tabla113[[#This Row],[Precio]]) - IF(ISNUMBER(FIND("x", LOWER(G31))), ( Tabla113[[#This Row],[Cantidad]]* Tabla113[[#This Row],[Precio]] * IF(ISNUMBER(FIND("aceite", LOWER(Tabla113[[#This Row],[Producto]]))), 0.05, 0.1)), 0), 0.5), "")</f>
        <v>135</v>
      </c>
      <c r="M31" s="13" t="s">
        <v>106</v>
      </c>
      <c r="N31" s="15">
        <v>2016</v>
      </c>
      <c r="O31" s="39" t="s">
        <v>105</v>
      </c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>
        <f t="shared" si="0"/>
        <v>28</v>
      </c>
      <c r="D32" t="s">
        <v>138</v>
      </c>
      <c r="E32">
        <v>4</v>
      </c>
      <c r="F32">
        <v>5</v>
      </c>
      <c r="G32" t="s">
        <v>30</v>
      </c>
      <c r="H32" s="5">
        <f>IF(Tabla113[[#This Row],[Cantidad]] &gt; 0,CEILING(( Tabla113[[#This Row],[Cantidad]]*Tabla113[[#This Row],[Precio]]) - IF(ISNUMBER(FIND("x", LOWER(G32))), ( Tabla113[[#This Row],[Cantidad]]* Tabla113[[#This Row],[Precio]] * IF(ISNUMBER(FIND("aceite", LOWER(Tabla113[[#This Row],[Producto]]))), 0.05, 0.1)), 0), 0.5), "")</f>
        <v>18</v>
      </c>
      <c r="M32" s="13" t="s">
        <v>140</v>
      </c>
      <c r="N32" s="15">
        <v>1906</v>
      </c>
      <c r="O32" s="39" t="s">
        <v>109</v>
      </c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>
        <f t="shared" si="0"/>
        <v>29</v>
      </c>
      <c r="D33" t="s">
        <v>139</v>
      </c>
      <c r="E33">
        <v>1</v>
      </c>
      <c r="F33">
        <v>10</v>
      </c>
      <c r="G33" t="s">
        <v>30</v>
      </c>
      <c r="H33" s="5">
        <f>IF(Tabla113[[#This Row],[Cantidad]] &gt; 0,CEILING(( Tabla113[[#This Row],[Cantidad]]*Tabla113[[#This Row],[Precio]]) - IF(ISNUMBER(FIND("x", LOWER(G33))), ( Tabla113[[#This Row],[Cantidad]]* Tabla113[[#This Row],[Precio]] * IF(ISNUMBER(FIND("aceite", LOWER(Tabla113[[#This Row],[Producto]]))), 0.05, 0.1)), 0), 0.5), "")</f>
        <v>9</v>
      </c>
      <c r="M33" s="13" t="s">
        <v>107</v>
      </c>
      <c r="N33" s="15">
        <v>1500</v>
      </c>
      <c r="O33" s="39" t="s">
        <v>109</v>
      </c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>
        <f t="shared" si="0"/>
        <v>30</v>
      </c>
      <c r="D34" t="s">
        <v>89</v>
      </c>
      <c r="E34">
        <v>1</v>
      </c>
      <c r="F34">
        <v>60</v>
      </c>
      <c r="H34" s="5">
        <f>IF(Tabla113[[#This Row],[Cantidad]] &gt; 0,CEILING(( Tabla113[[#This Row],[Cantidad]]*Tabla113[[#This Row],[Precio]]) - IF(ISNUMBER(FIND("x", LOWER(G34))), ( Tabla113[[#This Row],[Cantidad]]* Tabla113[[#This Row],[Precio]] * IF(ISNUMBER(FIND("aceite", LOWER(Tabla113[[#This Row],[Producto]]))), 0.05, 0.1)), 0), 0.5), "")</f>
        <v>60</v>
      </c>
      <c r="M34" s="13" t="s">
        <v>51</v>
      </c>
      <c r="N34" s="15">
        <v>13632</v>
      </c>
      <c r="O34" s="39" t="s">
        <v>108</v>
      </c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>
        <f t="shared" si="0"/>
        <v>31</v>
      </c>
      <c r="D35" t="s">
        <v>141</v>
      </c>
      <c r="E35">
        <v>1</v>
      </c>
      <c r="F35">
        <v>75</v>
      </c>
      <c r="G35" t="s">
        <v>30</v>
      </c>
      <c r="H35" s="5">
        <f>IF(Tabla113[[#This Row],[Cantidad]] &gt; 0,CEILING(( Tabla113[[#This Row],[Cantidad]]*Tabla113[[#This Row],[Precio]]) - IF(ISNUMBER(FIND("x", LOWER(G35))), ( Tabla113[[#This Row],[Cantidad]]* Tabla113[[#This Row],[Precio]] * IF(ISNUMBER(FIND("aceite", LOWER(Tabla113[[#This Row],[Producto]]))), 0.05, 0.1)), 0), 0.5), "")</f>
        <v>67.5</v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>
        <f t="shared" si="0"/>
        <v>32</v>
      </c>
      <c r="D36" t="s">
        <v>142</v>
      </c>
      <c r="E36">
        <v>1</v>
      </c>
      <c r="F36">
        <v>50</v>
      </c>
      <c r="H36" s="5">
        <f>IF(Tabla113[[#This Row],[Cantidad]] &gt; 0,CEILING(( Tabla113[[#This Row],[Cantidad]]*Tabla113[[#This Row],[Precio]]) - IF(ISNUMBER(FIND("x", LOWER(G36))), ( Tabla113[[#This Row],[Cantidad]]* Tabla113[[#This Row],[Precio]] * IF(ISNUMBER(FIND("aceite", LOWER(Tabla113[[#This Row],[Producto]]))), 0.05, 0.1)), 0), 0.5), "")</f>
        <v>50</v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>
        <f t="shared" si="0"/>
        <v>33</v>
      </c>
      <c r="D37" t="s">
        <v>143</v>
      </c>
      <c r="E37">
        <v>1</v>
      </c>
      <c r="F37">
        <v>15</v>
      </c>
      <c r="H37" s="5">
        <f>IF(Tabla113[[#This Row],[Cantidad]] &gt; 0,CEILING(( Tabla113[[#This Row],[Cantidad]]*Tabla113[[#This Row],[Precio]]) - IF(ISNUMBER(FIND("x", LOWER(G37))), ( Tabla113[[#This Row],[Cantidad]]* Tabla113[[#This Row],[Precio]] * IF(ISNUMBER(FIND("aceite", LOWER(Tabla113[[#This Row],[Producto]]))), 0.05, 0.1)), 0), 0.5), "")</f>
        <v>15</v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>
        <f t="shared" si="0"/>
        <v>34</v>
      </c>
      <c r="D38" t="s">
        <v>144</v>
      </c>
      <c r="E38">
        <v>1</v>
      </c>
      <c r="F38">
        <v>5</v>
      </c>
      <c r="G38" t="s">
        <v>30</v>
      </c>
      <c r="H38" s="5">
        <f>IF(Tabla113[[#This Row],[Cantidad]] &gt; 0,CEILING(( Tabla113[[#This Row],[Cantidad]]*Tabla113[[#This Row],[Precio]]) - IF(ISNUMBER(FIND("x", LOWER(G38))), ( Tabla113[[#This Row],[Cantidad]]* Tabla113[[#This Row],[Precio]] * IF(ISNUMBER(FIND("aceite", LOWER(Tabla113[[#This Row],[Producto]]))), 0.05, 0.1)), 0), 0.5), "")</f>
        <v>4.5</v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>
        <f t="shared" si="0"/>
        <v>35</v>
      </c>
      <c r="D39" t="s">
        <v>38</v>
      </c>
      <c r="E39">
        <v>1</v>
      </c>
      <c r="F39">
        <v>20</v>
      </c>
      <c r="G39" t="s">
        <v>30</v>
      </c>
      <c r="H39" s="5">
        <f>IF(Tabla113[[#This Row],[Cantidad]] &gt; 0,CEILING(( Tabla113[[#This Row],[Cantidad]]*Tabla113[[#This Row],[Precio]]) - IF(ISNUMBER(FIND("x", LOWER(G39))), ( Tabla113[[#This Row],[Cantidad]]* Tabla113[[#This Row],[Precio]] * IF(ISNUMBER(FIND("aceite", LOWER(Tabla113[[#This Row],[Producto]]))), 0.05, 0.1)), 0), 0.5), "")</f>
        <v>18</v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IF(Tabla113[[#This Row],[Cantidad]] &gt; 0,CEILING(( Tabla113[[#This Row],[Cantidad]]*Tabla113[[#This Row],[Precio]]) - IF(ISNUMBER(FIND("x", LOWER(G40))), ( Tabla113[[#This Row],[Cantidad]]* Tabla113[[#This Row],[Precio]] * IF(ISNUMBER(FIND("aceite", LOWER(Tabla113[[#This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IF(Tabla113[[#This Row],[Cantidad]] &gt; 0,CEILING(( Tabla113[[#This Row],[Cantidad]]*Tabla113[[#This Row],[Precio]]) - IF(ISNUMBER(FIND("x", LOWER(G41))), ( Tabla113[[#This Row],[Cantidad]]* Tabla113[[#This Row],[Precio]] * IF(ISNUMBER(FIND("aceite", LOWER(Tabla113[[#This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IF(Tabla113[[#This Row],[Cantidad]] &gt; 0,CEILING(( Tabla113[[#This Row],[Cantidad]]*Tabla113[[#This Row],[Precio]]) - IF(ISNUMBER(FIND("x", LOWER(G42))), ( Tabla113[[#This Row],[Cantidad]]* Tabla113[[#This Row],[Precio]] * IF(ISNUMBER(FIND("aceite", LOWER(Tabla113[[#This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IF(Tabla113[[#This Row],[Cantidad]] &gt; 0,CEILING(( Tabla113[[#This Row],[Cantidad]]*Tabla113[[#This Row],[Precio]]) - IF(ISNUMBER(FIND("x", LOWER(G43))), ( Tabla113[[#This Row],[Cantidad]]* Tabla113[[#This Row],[Precio]] * IF(ISNUMBER(FIND("aceite", LOWER(Tabla113[[#This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IF(Tabla113[[#This Row],[Cantidad]] &gt; 0,CEILING(( Tabla113[[#This Row],[Cantidad]]*Tabla113[[#This Row],[Precio]]) - IF(ISNUMBER(FIND("x", LOWER(G44))), ( Tabla113[[#This Row],[Cantidad]]* Tabla113[[#This Row],[Precio]] * IF(ISNUMBER(FIND("aceite", LOWER(Tabla113[[#This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IF(Tabla113[[#This Row],[Cantidad]] &gt; 0,CEILING(( Tabla113[[#This Row],[Cantidad]]*Tabla113[[#This Row],[Precio]]) - IF(ISNUMBER(FIND("x", LOWER(G45))), ( Tabla113[[#This Row],[Cantidad]]* Tabla113[[#This Row],[Precio]] * IF(ISNUMBER(FIND("aceite", LOWER(Tabla113[[#This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IF(Tabla113[[#This Row],[Cantidad]] &gt; 0,CEILING(( Tabla113[[#This Row],[Cantidad]]*Tabla113[[#This Row],[Precio]]) - IF(ISNUMBER(FIND("x", LOWER(G46))), ( Tabla113[[#This Row],[Cantidad]]* Tabla113[[#This Row],[Precio]] * IF(ISNUMBER(FIND("aceite", LOWER(Tabla113[[#This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IF(Tabla113[[#This Row],[Cantidad]] &gt; 0,CEILING(( Tabla113[[#This Row],[Cantidad]]*Tabla113[[#This Row],[Precio]]) - IF(ISNUMBER(FIND("x", LOWER(G47))), ( Tabla113[[#This Row],[Cantidad]]* Tabla113[[#This Row],[Precio]] * IF(ISNUMBER(FIND("aceite", LOWER(Tabla113[[#This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IF(Tabla113[[#This Row],[Cantidad]] &gt; 0,CEILING(( Tabla113[[#This Row],[Cantidad]]*Tabla113[[#This Row],[Precio]]) - IF(ISNUMBER(FIND("x", LOWER(G48))), ( Tabla113[[#This Row],[Cantidad]]* Tabla113[[#This Row],[Precio]] * IF(ISNUMBER(FIND("aceite", LOWER(Tabla113[[#This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IF(Tabla113[[#This Row],[Cantidad]] &gt; 0,CEILING(( Tabla113[[#This Row],[Cantidad]]*Tabla113[[#This Row],[Precio]]) - IF(ISNUMBER(FIND("x", LOWER(G49))), ( Tabla113[[#This Row],[Cantidad]]* Tabla113[[#This Row],[Precio]] * IF(ISNUMBER(FIND("aceite", LOWER(Tabla113[[#This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IF(Tabla113[[#This Row],[Cantidad]] &gt; 0,CEILING(( Tabla113[[#This Row],[Cantidad]]*Tabla113[[#This Row],[Precio]]) - IF(ISNUMBER(FIND("x", LOWER(G50))), ( Tabla113[[#This Row],[Cantidad]]* Tabla113[[#This Row],[Precio]] * IF(ISNUMBER(FIND("aceite", LOWER(Tabla113[[#This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IF(Tabla113[[#This Row],[Cantidad]] &gt; 0,CEILING(( Tabla113[[#This Row],[Cantidad]]*Tabla113[[#This Row],[Precio]]) - IF(ISNUMBER(FIND("x", LOWER(G51))), ( Tabla113[[#This Row],[Cantidad]]* Tabla113[[#This Row],[Precio]] * IF(ISNUMBER(FIND("aceite", LOWER(Tabla113[[#This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IF(Tabla113[[#This Row],[Cantidad]] &gt; 0,CEILING(( Tabla113[[#This Row],[Cantidad]]*Tabla113[[#This Row],[Precio]]) - IF(ISNUMBER(FIND("x", LOWER(G52))), ( Tabla113[[#This Row],[Cantidad]]* Tabla113[[#This Row],[Precio]] * IF(ISNUMBER(FIND("aceite", LOWER(Tabla113[[#This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IF(Tabla113[[#This Row],[Cantidad]] &gt; 0,CEILING(( Tabla113[[#This Row],[Cantidad]]*Tabla113[[#This Row],[Precio]]) - IF(ISNUMBER(FIND("x", LOWER(G53))), ( Tabla113[[#This Row],[Cantidad]]* Tabla113[[#This Row],[Precio]] * IF(ISNUMBER(FIND("aceite", LOWER(Tabla113[[#This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IF(Tabla113[[#This Row],[Cantidad]] &gt; 0,CEILING(( Tabla113[[#This Row],[Cantidad]]*Tabla113[[#This Row],[Precio]]) - IF(ISNUMBER(FIND("x", LOWER(G54))), ( Tabla113[[#This Row],[Cantidad]]* Tabla113[[#This Row],[Precio]] * IF(ISNUMBER(FIND("aceite", LOWER(Tabla113[[#This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IF(Tabla113[[#This Row],[Cantidad]] &gt; 0,CEILING(( Tabla113[[#This Row],[Cantidad]]*Tabla113[[#This Row],[Precio]]) - IF(ISNUMBER(FIND("x", LOWER(G55))), ( Tabla113[[#This Row],[Cantidad]]* Tabla113[[#This Row],[Precio]] * IF(ISNUMBER(FIND("aceite", LOWER(Tabla113[[#This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IF(Tabla113[[#This Row],[Cantidad]] &gt; 0,CEILING(( Tabla113[[#This Row],[Cantidad]]*Tabla113[[#This Row],[Precio]]) - IF(ISNUMBER(FIND("x", LOWER(G56))), ( Tabla113[[#This Row],[Cantidad]]* Tabla113[[#This Row],[Precio]] * IF(ISNUMBER(FIND("aceite", LOWER(Tabla113[[#This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IF(Tabla113[[#This Row],[Cantidad]] &gt; 0,CEILING(( Tabla113[[#This Row],[Cantidad]]*Tabla113[[#This Row],[Precio]]) - IF(ISNUMBER(FIND("x", LOWER(G57))), ( Tabla113[[#This Row],[Cantidad]]* Tabla113[[#This Row],[Precio]] * IF(ISNUMBER(FIND("aceite", LOWER(Tabla113[[#This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IF(Tabla113[[#This Row],[Cantidad]] &gt; 0,CEILING(( Tabla113[[#This Row],[Cantidad]]*Tabla113[[#This Row],[Precio]]) - IF(ISNUMBER(FIND("x", LOWER(G58))), ( Tabla113[[#This Row],[Cantidad]]* Tabla113[[#This Row],[Precio]] * IF(ISNUMBER(FIND("aceite", LOWER(Tabla113[[#This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IF(Tabla113[[#This Row],[Cantidad]] &gt; 0,CEILING(( Tabla113[[#This Row],[Cantidad]]*Tabla113[[#This Row],[Precio]]) - IF(ISNUMBER(FIND("x", LOWER(G59))), ( Tabla113[[#This Row],[Cantidad]]* Tabla113[[#This Row],[Precio]] * IF(ISNUMBER(FIND("aceite", LOWER(Tabla113[[#This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IF(Tabla113[[#This Row],[Cantidad]] &gt; 0,CEILING(( Tabla113[[#This Row],[Cantidad]]*Tabla113[[#This Row],[Precio]]) - IF(ISNUMBER(FIND("x", LOWER(G60))), ( Tabla113[[#This Row],[Cantidad]]* Tabla113[[#This Row],[Precio]] * IF(ISNUMBER(FIND("aceite", LOWER(Tabla113[[#This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IF(Tabla113[[#This Row],[Cantidad]] &gt; 0,CEILING(( Tabla113[[#This Row],[Cantidad]]*Tabla113[[#This Row],[Precio]]) - IF(ISNUMBER(FIND("x", LOWER(G61))), ( Tabla113[[#This Row],[Cantidad]]* Tabla113[[#This Row],[Precio]] * IF(ISNUMBER(FIND("aceite", LOWER(Tabla113[[#This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IF(Tabla113[[#This Row],[Cantidad]] &gt; 0,CEILING(( Tabla113[[#This Row],[Cantidad]]*Tabla113[[#This Row],[Precio]]) - IF(ISNUMBER(FIND("x", LOWER(G62))), ( Tabla113[[#This Row],[Cantidad]]* Tabla113[[#This Row],[Precio]] * IF(ISNUMBER(FIND("aceite", LOWER(Tabla113[[#This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IF(Tabla113[[#This Row],[Cantidad]] &gt; 0,CEILING(( Tabla113[[#This Row],[Cantidad]]*Tabla113[[#This Row],[Precio]]) - IF(ISNUMBER(FIND("x", LOWER(G63))), ( Tabla113[[#This Row],[Cantidad]]* Tabla113[[#This Row],[Precio]] * IF(ISNUMBER(FIND("aceite", LOWER(Tabla113[[#This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IF(Tabla113[[#This Row],[Cantidad]] &gt; 0,CEILING(( Tabla113[[#This Row],[Cantidad]]*Tabla113[[#This Row],[Precio]]) - IF(ISNUMBER(FIND("x", LOWER(G64))), ( Tabla113[[#This Row],[Cantidad]]* Tabla113[[#This Row],[Precio]] * IF(ISNUMBER(FIND("aceite", LOWER(Tabla113[[#This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IF(Tabla113[[#This Row],[Cantidad]] &gt; 0,CEILING(( Tabla113[[#This Row],[Cantidad]]*Tabla113[[#This Row],[Precio]]) - IF(ISNUMBER(FIND("x", LOWER(G65))), ( Tabla113[[#This Row],[Cantidad]]* Tabla113[[#This Row],[Precio]] * IF(ISNUMBER(FIND("aceite", LOWER(Tabla113[[#This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IF(Tabla113[[#This Row],[Cantidad]] &gt; 0,CEILING(( Tabla113[[#This Row],[Cantidad]]*Tabla113[[#This Row],[Precio]]) - IF(ISNUMBER(FIND("x", LOWER(G66))), ( Tabla113[[#This Row],[Cantidad]]* Tabla113[[#This Row],[Precio]] * IF(ISNUMBER(FIND("aceite", LOWER(Tabla113[[#This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IF(Tabla113[[#This Row],[Cantidad]] &gt; 0,CEILING(( Tabla113[[#This Row],[Cantidad]]*Tabla113[[#This Row],[Precio]]) - IF(ISNUMBER(FIND("x", LOWER(G67))), ( Tabla113[[#This Row],[Cantidad]]* Tabla113[[#This Row],[Precio]] * IF(ISNUMBER(FIND("aceite", LOWER(Tabla113[[#This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IF(Tabla113[[#This Row],[Cantidad]] &gt; 0,CEILING(( Tabla113[[#This Row],[Cantidad]]*Tabla113[[#This Row],[Precio]]) - IF(ISNUMBER(FIND("x", LOWER(G68))), ( Tabla113[[#This Row],[Cantidad]]* Tabla113[[#This Row],[Precio]] * IF(ISNUMBER(FIND("aceite", LOWER(Tabla113[[#This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IF(Tabla113[[#This Row],[Cantidad]] &gt; 0,CEILING(( Tabla113[[#This Row],[Cantidad]]*Tabla113[[#This Row],[Precio]]) - IF(ISNUMBER(FIND("x", LOWER(G69))), ( Tabla113[[#This Row],[Cantidad]]* Tabla113[[#This Row],[Precio]] * IF(ISNUMBER(FIND("aceite", LOWER(Tabla113[[#This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IF(Tabla113[[#This Row],[Cantidad]] &gt; 0,CEILING(( Tabla113[[#This Row],[Cantidad]]*Tabla113[[#This Row],[Precio]]) - IF(ISNUMBER(FIND("x", LOWER(G70))), ( Tabla113[[#This Row],[Cantidad]]* Tabla113[[#This Row],[Precio]] * IF(ISNUMBER(FIND("aceite", LOWER(Tabla113[[#This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IF(Tabla113[[#This Row],[Cantidad]] &gt; 0,CEILING(( Tabla113[[#This Row],[Cantidad]]*Tabla113[[#This Row],[Precio]]) - IF(ISNUMBER(FIND("x", LOWER(G71))), ( Tabla113[[#This Row],[Cantidad]]* Tabla113[[#This Row],[Precio]] * IF(ISNUMBER(FIND("aceite", LOWER(Tabla113[[#This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IF(Tabla113[[#This Row],[Cantidad]] &gt; 0,CEILING(( Tabla113[[#This Row],[Cantidad]]*Tabla113[[#This Row],[Precio]]) - IF(ISNUMBER(FIND("x", LOWER(G72))), ( Tabla113[[#This Row],[Cantidad]]* Tabla113[[#This Row],[Precio]] * IF(ISNUMBER(FIND("aceite", LOWER(Tabla113[[#This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IF(Tabla113[[#This Row],[Cantidad]] &gt; 0,CEILING(( Tabla113[[#This Row],[Cantidad]]*Tabla113[[#This Row],[Precio]]) - IF(ISNUMBER(FIND("x", LOWER(G73))), ( Tabla113[[#This Row],[Cantidad]]* Tabla113[[#This Row],[Precio]] * IF(ISNUMBER(FIND("aceite", LOWER(Tabla113[[#This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IF(Tabla113[[#This Row],[Cantidad]] &gt; 0,CEILING(( Tabla113[[#This Row],[Cantidad]]*Tabla113[[#This Row],[Precio]]) - IF(ISNUMBER(FIND("x", LOWER(G74))), ( Tabla113[[#This Row],[Cantidad]]* Tabla113[[#This Row],[Precio]] * IF(ISNUMBER(FIND("aceite", LOWER(Tabla113[[#This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IF(Tabla113[[#This Row],[Cantidad]] &gt; 0,CEILING(( Tabla113[[#This Row],[Cantidad]]*Tabla113[[#This Row],[Precio]]) - IF(ISNUMBER(FIND("x", LOWER(G75))), ( Tabla113[[#This Row],[Cantidad]]* Tabla113[[#This Row],[Precio]] * IF(ISNUMBER(FIND("aceite", LOWER(Tabla113[[#This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IF(Tabla113[[#This Row],[Cantidad]] &gt; 0,CEILING(( Tabla113[[#This Row],[Cantidad]]*Tabla113[[#This Row],[Precio]]) - IF(ISNUMBER(FIND("x", LOWER(G76))), ( Tabla113[[#This Row],[Cantidad]]* Tabla113[[#This Row],[Precio]] * IF(ISNUMBER(FIND("aceite", LOWER(Tabla113[[#This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IF(Tabla113[[#This Row],[Cantidad]] &gt; 0,CEILING(( Tabla113[[#This Row],[Cantidad]]*Tabla113[[#This Row],[Precio]]) - IF(ISNUMBER(FIND("x", LOWER(G77))), ( Tabla113[[#This Row],[Cantidad]]* Tabla113[[#This Row],[Precio]] * IF(ISNUMBER(FIND("aceite", LOWER(Tabla113[[#This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IF(Tabla113[[#This Row],[Cantidad]] &gt; 0,CEILING(( Tabla113[[#This Row],[Cantidad]]*Tabla113[[#This Row],[Precio]]) - IF(ISNUMBER(FIND("x", LOWER(G78))), ( Tabla113[[#This Row],[Cantidad]]* Tabla113[[#This Row],[Precio]] * IF(ISNUMBER(FIND("aceite", LOWER(Tabla113[[#This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IF(Tabla113[[#This Row],[Cantidad]] &gt; 0,CEILING(( Tabla113[[#This Row],[Cantidad]]*Tabla113[[#This Row],[Precio]]) - IF(ISNUMBER(FIND("x", LOWER(G79))), ( Tabla113[[#This Row],[Cantidad]]* Tabla113[[#This Row],[Precio]] * IF(ISNUMBER(FIND("aceite", LOWER(Tabla113[[#This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IF(Tabla113[[#This Row],[Cantidad]] &gt; 0,CEILING(( Tabla113[[#This Row],[Cantidad]]*Tabla113[[#This Row],[Precio]]) - IF(ISNUMBER(FIND("x", LOWER(G80))), ( Tabla113[[#This Row],[Cantidad]]* Tabla113[[#This Row],[Precio]] * IF(ISNUMBER(FIND("aceite", LOWER(Tabla113[[#This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IF(Tabla113[[#This Row],[Cantidad]] &gt; 0,CEILING(( Tabla113[[#This Row],[Cantidad]]*Tabla113[[#This Row],[Precio]]) - IF(ISNUMBER(FIND("x", LOWER(G81))), ( Tabla113[[#This Row],[Cantidad]]* Tabla113[[#This Row],[Precio]] * IF(ISNUMBER(FIND("aceite", LOWER(Tabla113[[#This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IF(Tabla113[[#This Row],[Cantidad]] &gt; 0,CEILING(( Tabla113[[#This Row],[Cantidad]]*Tabla113[[#This Row],[Precio]]) - IF(ISNUMBER(FIND("x", LOWER(G82))), ( Tabla113[[#This Row],[Cantidad]]* Tabla113[[#This Row],[Precio]] * IF(ISNUMBER(FIND("aceite", LOWER(Tabla113[[#This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IF(Tabla113[[#This Row],[Cantidad]] &gt; 0,CEILING(( Tabla113[[#This Row],[Cantidad]]*Tabla113[[#This Row],[Precio]]) - IF(ISNUMBER(FIND("x", LOWER(G83))), ( Tabla113[[#This Row],[Cantidad]]* Tabla113[[#This Row],[Precio]] * IF(ISNUMBER(FIND("aceite", LOWER(Tabla113[[#This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IF(Tabla113[[#This Row],[Cantidad]] &gt; 0,CEILING(( Tabla113[[#This Row],[Cantidad]]*Tabla113[[#This Row],[Precio]]) - IF(ISNUMBER(FIND("x", LOWER(G84))), ( Tabla113[[#This Row],[Cantidad]]* Tabla113[[#This Row],[Precio]] * IF(ISNUMBER(FIND("aceite", LOWER(Tabla113[[#This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IF(Tabla113[[#This Row],[Cantidad]] &gt; 0,CEILING(( Tabla113[[#This Row],[Cantidad]]*Tabla113[[#This Row],[Precio]]) - IF(ISNUMBER(FIND("x", LOWER(G85))), ( Tabla113[[#This Row],[Cantidad]]* Tabla113[[#This Row],[Precio]] * IF(ISNUMBER(FIND("aceite", LOWER(Tabla113[[#This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IF(Tabla113[[#This Row],[Cantidad]] &gt; 0,CEILING(( Tabla113[[#This Row],[Cantidad]]*Tabla113[[#This Row],[Precio]]) - IF(ISNUMBER(FIND("x", LOWER(G86))), ( Tabla113[[#This Row],[Cantidad]]* Tabla113[[#This Row],[Precio]] * IF(ISNUMBER(FIND("aceite", LOWER(Tabla113[[#This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IF(Tabla113[[#This Row],[Cantidad]] &gt; 0,CEILING(( Tabla113[[#This Row],[Cantidad]]*Tabla113[[#This Row],[Precio]]) - IF(ISNUMBER(FIND("x", LOWER(G87))), ( Tabla113[[#This Row],[Cantidad]]* Tabla113[[#This Row],[Precio]] * IF(ISNUMBER(FIND("aceite", LOWER(Tabla113[[#This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IF(Tabla113[[#This Row],[Cantidad]] &gt; 0,CEILING(( Tabla113[[#This Row],[Cantidad]]*Tabla113[[#This Row],[Precio]]) - IF(ISNUMBER(FIND("x", LOWER(G88))), ( Tabla113[[#This Row],[Cantidad]]* Tabla113[[#This Row],[Precio]] * IF(ISNUMBER(FIND("aceite", LOWER(Tabla113[[#This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IF(Tabla113[[#This Row],[Cantidad]] &gt; 0,CEILING(( Tabla113[[#This Row],[Cantidad]]*Tabla113[[#This Row],[Precio]]) - IF(ISNUMBER(FIND("x", LOWER(G89))), ( Tabla113[[#This Row],[Cantidad]]* Tabla113[[#This Row],[Precio]] * IF(ISNUMBER(FIND("aceite", LOWER(Tabla113[[#This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IF(Tabla113[[#This Row],[Cantidad]] &gt; 0,CEILING(( Tabla113[[#This Row],[Cantidad]]*Tabla113[[#This Row],[Precio]]) - IF(ISNUMBER(FIND("x", LOWER(G90))), ( Tabla113[[#This Row],[Cantidad]]* Tabla113[[#This Row],[Precio]] * IF(ISNUMBER(FIND("aceite", LOWER(Tabla113[[#This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IF(Tabla113[[#This Row],[Cantidad]] &gt; 0,CEILING(( Tabla113[[#This Row],[Cantidad]]*Tabla113[[#This Row],[Precio]]) - IF(ISNUMBER(FIND("x", LOWER(G91))), ( Tabla113[[#This Row],[Cantidad]]* Tabla113[[#This Row],[Precio]] * IF(ISNUMBER(FIND("aceite", LOWER(Tabla113[[#This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IF(Tabla113[[#This Row],[Cantidad]] &gt; 0,CEILING(( Tabla113[[#This Row],[Cantidad]]*Tabla113[[#This Row],[Precio]]) - IF(ISNUMBER(FIND("x", LOWER(G92))), ( Tabla113[[#This Row],[Cantidad]]* Tabla113[[#This Row],[Precio]] * IF(ISNUMBER(FIND("aceite", LOWER(Tabla113[[#This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IF(Tabla113[[#This Row],[Cantidad]] &gt; 0,CEILING(( Tabla113[[#This Row],[Cantidad]]*Tabla113[[#This Row],[Precio]]) - IF(ISNUMBER(FIND("x", LOWER(G93))), ( Tabla113[[#This Row],[Cantidad]]* Tabla113[[#This Row],[Precio]] * IF(ISNUMBER(FIND("aceite", LOWER(Tabla113[[#This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IF(Tabla113[[#This Row],[Cantidad]] &gt; 0,CEILING(( Tabla113[[#This Row],[Cantidad]]*Tabla113[[#This Row],[Precio]]) - IF(ISNUMBER(FIND("x", LOWER(G94))), ( Tabla113[[#This Row],[Cantidad]]* Tabla113[[#This Row],[Precio]] * IF(ISNUMBER(FIND("aceite", LOWER(Tabla113[[#This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IF(Tabla113[[#This Row],[Cantidad]] &gt; 0,CEILING(( Tabla113[[#This Row],[Cantidad]]*Tabla113[[#This Row],[Precio]]) - IF(ISNUMBER(FIND("x", LOWER(G95))), ( Tabla113[[#This Row],[Cantidad]]* Tabla113[[#This Row],[Precio]] * IF(ISNUMBER(FIND("aceite", LOWER(Tabla113[[#This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IF(Tabla113[[#This Row],[Cantidad]] &gt; 0,CEILING(( Tabla113[[#This Row],[Cantidad]]*Tabla113[[#This Row],[Precio]]) - IF(ISNUMBER(FIND("x", LOWER(G96))), ( Tabla113[[#This Row],[Cantidad]]* Tabla113[[#This Row],[Precio]] * IF(ISNUMBER(FIND("aceite", LOWER(Tabla113[[#This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IF(Tabla113[[#This Row],[Cantidad]] &gt; 0,CEILING(( Tabla113[[#This Row],[Cantidad]]*Tabla113[[#This Row],[Precio]]) - IF(ISNUMBER(FIND("x", LOWER(G97))), ( Tabla113[[#This Row],[Cantidad]]* Tabla113[[#This Row],[Precio]] * IF(ISNUMBER(FIND("aceite", LOWER(Tabla113[[#This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IF(Tabla113[[#This Row],[Cantidad]] &gt; 0,CEILING(( Tabla113[[#This Row],[Cantidad]]*Tabla113[[#This Row],[Precio]]) - IF(ISNUMBER(FIND("x", LOWER(G98))), ( Tabla113[[#This Row],[Cantidad]]* Tabla113[[#This Row],[Precio]] * IF(ISNUMBER(FIND("aceite", LOWER(Tabla113[[#This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IF(Tabla113[[#This Row],[Cantidad]] &gt; 0,CEILING(( Tabla113[[#This Row],[Cantidad]]*Tabla113[[#This Row],[Precio]]) - IF(ISNUMBER(FIND("x", LOWER(G99))), ( Tabla113[[#This Row],[Cantidad]]* Tabla113[[#This Row],[Precio]] * IF(ISNUMBER(FIND("aceite", LOWER(Tabla113[[#This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IF(Tabla113[[#This Row],[Cantidad]] &gt; 0,CEILING(( Tabla113[[#This Row],[Cantidad]]*Tabla113[[#This Row],[Precio]]) - IF(ISNUMBER(FIND("x", LOWER(G100))), ( Tabla113[[#This Row],[Cantidad]]* Tabla113[[#This Row],[Precio]] * IF(ISNUMBER(FIND("aceite", LOWER(Tabla113[[#This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IF(Tabla113[[#This Row],[Cantidad]] &gt; 0,CEILING(( Tabla113[[#This Row],[Cantidad]]*Tabla113[[#This Row],[Precio]]) - IF(ISNUMBER(FIND("x", LOWER(G101))), ( Tabla113[[#This Row],[Cantidad]]* Tabla113[[#This Row],[Precio]] * IF(ISNUMBER(FIND("aceite", LOWER(Tabla113[[#This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IF(Tabla113[[#This Row],[Cantidad]] &gt; 0,CEILING(( Tabla113[[#This Row],[Cantidad]]*Tabla113[[#This Row],[Precio]]) - IF(ISNUMBER(FIND("x", LOWER(G102))), ( Tabla113[[#This Row],[Cantidad]]* Tabla113[[#This Row],[Precio]] * IF(ISNUMBER(FIND("aceite", LOWER(Tabla113[[#This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IF(Tabla113[[#This Row],[Cantidad]] &gt; 0,CEILING(( Tabla113[[#This Row],[Cantidad]]*Tabla113[[#This Row],[Precio]]) - IF(ISNUMBER(FIND("x", LOWER(G103))), ( Tabla113[[#This Row],[Cantidad]]* Tabla113[[#This Row],[Precio]] * IF(ISNUMBER(FIND("aceite", LOWER(Tabla113[[#This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5" priority="1">
      <formula>C5&gt;0&amp;ISBLANK(B5)</formula>
    </cfRule>
  </conditionalFormatting>
  <conditionalFormatting sqref="D5:D6">
    <cfRule type="expression" dxfId="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3"/>
  <sheetViews>
    <sheetView tabSelected="1" workbookViewId="0">
      <selection activeCell="D16" sqref="D16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146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SUM(Tabla114[Importa])</f>
        <v>2196.5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11</v>
      </c>
      <c r="M4" s="36" t="s">
        <v>155</v>
      </c>
      <c r="N4" s="36"/>
      <c r="O4" s="36"/>
      <c r="P4" s="36"/>
      <c r="Q4" s="36"/>
      <c r="R4" s="36"/>
    </row>
    <row r="5" spans="2:18" x14ac:dyDescent="0.25">
      <c r="B5" s="18">
        <f ca="1">IF(Tabla114[[#This Row],['#]]&lt;&gt;"", NOW(), "")</f>
        <v>46256.753102893519</v>
      </c>
      <c r="C5">
        <f t="shared" ref="C5:C68" si="0">IF(ISNUMBER(E5), IF(ISNUMBER(C4), C4+1, 1), "")</f>
        <v>1</v>
      </c>
      <c r="D5" t="s">
        <v>147</v>
      </c>
      <c r="E5">
        <v>1</v>
      </c>
      <c r="F5">
        <v>878</v>
      </c>
      <c r="H5" s="5">
        <f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f>
        <v>878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46256.753102893519</v>
      </c>
      <c r="C6">
        <f t="shared" si="0"/>
        <v>2</v>
      </c>
      <c r="D6" t="s">
        <v>66</v>
      </c>
      <c r="E6">
        <v>2</v>
      </c>
      <c r="F6">
        <v>130</v>
      </c>
      <c r="G6" t="s">
        <v>30</v>
      </c>
      <c r="H6" s="5">
        <f>IF(Tabla114[[#This Row],[Cantidad]] &gt; 0,CEILING(( Tabla114[[#This Row],[Cantidad]]*Tabla114[[#This Row],[Precio]]) - IF(ISNUMBER(FIND("x", LOWER(G6))), ( Tabla114[[#This Row],[Cantidad]]* Tabla114[[#This Row],[Precio]] * IF(ISNUMBER(FIND("aceite", LOWER(Tabla114[[#This Row],[Producto]]))), 0.05, 0.1)), 0), 0.5), "")</f>
        <v>247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46256.753102893519</v>
      </c>
      <c r="C7">
        <f t="shared" si="0"/>
        <v>3</v>
      </c>
      <c r="D7" t="s">
        <v>148</v>
      </c>
      <c r="E7">
        <v>1</v>
      </c>
      <c r="F7">
        <v>95</v>
      </c>
      <c r="H7" s="5">
        <f>IF(Tabla114[[#This Row],[Cantidad]] &gt; 0,CEILING(( Tabla114[[#This Row],[Cantidad]]*Tabla114[[#This Row],[Precio]]) - IF(ISNUMBER(FIND("x", LOWER(G7))), ( Tabla114[[#This Row],[Cantidad]]* Tabla114[[#This Row],[Precio]] * IF(ISNUMBER(FIND("aceite", LOWER(Tabla114[[#This Row],[Producto]]))), 0.05, 0.1)), 0), 0.5), "")</f>
        <v>95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46256.753102893519</v>
      </c>
      <c r="C8">
        <f t="shared" si="0"/>
        <v>4</v>
      </c>
      <c r="D8" t="s">
        <v>71</v>
      </c>
      <c r="E8">
        <v>1</v>
      </c>
      <c r="F8">
        <v>65</v>
      </c>
      <c r="H8" s="5">
        <f>IF(Tabla114[[#This Row],[Cantidad]] &gt; 0,CEILING(( Tabla114[[#This Row],[Cantidad]]*Tabla114[[#This Row],[Precio]]) - IF(ISNUMBER(FIND("x", LOWER(G8))), ( Tabla114[[#This Row],[Cantidad]]* Tabla114[[#This Row],[Precio]] * IF(ISNUMBER(FIND("aceite", LOWER(Tabla114[[#This Row],[Producto]]))), 0.05, 0.1)), 0), 0.5), "")</f>
        <v>65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46256.753102893519</v>
      </c>
      <c r="C9">
        <f t="shared" si="0"/>
        <v>5</v>
      </c>
      <c r="D9" t="s">
        <v>149</v>
      </c>
      <c r="E9">
        <v>4</v>
      </c>
      <c r="F9">
        <v>5</v>
      </c>
      <c r="H9" s="5">
        <f>IF(Tabla114[[#This Row],[Cantidad]] &gt; 0,CEILING(( Tabla114[[#This Row],[Cantidad]]*Tabla114[[#This Row],[Precio]]) - IF(ISNUMBER(FIND("x", LOWER(G9))), ( Tabla114[[#This Row],[Cantidad]]* Tabla114[[#This Row],[Precio]] * IF(ISNUMBER(FIND("aceite", LOWER(Tabla114[[#This Row],[Producto]]))), 0.05, 0.1)), 0), 0.5), "")</f>
        <v>20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46256.753102893519</v>
      </c>
      <c r="C10">
        <f t="shared" si="0"/>
        <v>6</v>
      </c>
      <c r="D10" t="s">
        <v>150</v>
      </c>
      <c r="E10">
        <v>1</v>
      </c>
      <c r="F10">
        <v>484</v>
      </c>
      <c r="G10" t="s">
        <v>30</v>
      </c>
      <c r="H10" s="5">
        <f>IF(Tabla114[[#This Row],[Cantidad]] &gt; 0,CEILING(( Tabla114[[#This Row],[Cantidad]]*Tabla114[[#This Row],[Precio]]) - IF(ISNUMBER(FIND("x", LOWER(G10))), ( Tabla114[[#This Row],[Cantidad]]* Tabla114[[#This Row],[Precio]] * IF(ISNUMBER(FIND("aceite", LOWER(Tabla114[[#This Row],[Producto]]))), 0.05, 0.1)), 0), 0.5), "")</f>
        <v>436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46256.753102893519</v>
      </c>
      <c r="C11">
        <f t="shared" si="0"/>
        <v>7</v>
      </c>
      <c r="D11" t="s">
        <v>66</v>
      </c>
      <c r="E11">
        <v>1</v>
      </c>
      <c r="F11">
        <v>130</v>
      </c>
      <c r="G11" t="s">
        <v>30</v>
      </c>
      <c r="H11" s="5">
        <f>IF(Tabla114[[#This Row],[Cantidad]] &gt; 0,CEILING(( Tabla114[[#This Row],[Cantidad]]*Tabla114[[#This Row],[Precio]]) - IF(ISNUMBER(FIND("x", LOWER(G11))), ( Tabla114[[#This Row],[Cantidad]]* Tabla114[[#This Row],[Precio]] * IF(ISNUMBER(FIND("aceite", LOWER(Tabla114[[#This Row],[Producto]]))), 0.05, 0.1)), 0), 0.5), "")</f>
        <v>123.5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46256.753102893519</v>
      </c>
      <c r="C12">
        <f t="shared" si="0"/>
        <v>8</v>
      </c>
      <c r="D12" t="s">
        <v>151</v>
      </c>
      <c r="E12">
        <v>1</v>
      </c>
      <c r="F12">
        <v>15</v>
      </c>
      <c r="H12" s="5">
        <f>IF(Tabla114[[#This Row],[Cantidad]] &gt; 0,CEILING(( Tabla114[[#This Row],[Cantidad]]*Tabla114[[#This Row],[Precio]]) - IF(ISNUMBER(FIND("x", LOWER(G12))), ( Tabla114[[#This Row],[Cantidad]]* Tabla114[[#This Row],[Precio]] * IF(ISNUMBER(FIND("aceite", LOWER(Tabla114[[#This Row],[Producto]]))), 0.05, 0.1)), 0), 0.5), "")</f>
        <v>15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46256.753102893519</v>
      </c>
      <c r="C13">
        <f t="shared" si="0"/>
        <v>9</v>
      </c>
      <c r="D13" t="s">
        <v>152</v>
      </c>
      <c r="E13">
        <v>1</v>
      </c>
      <c r="F13">
        <v>230</v>
      </c>
      <c r="G13" t="s">
        <v>30</v>
      </c>
      <c r="H13" s="5">
        <f>IF(Tabla114[[#This Row],[Cantidad]] &gt; 0,CEILING(( Tabla114[[#This Row],[Cantidad]]*Tabla114[[#This Row],[Precio]]) - IF(ISNUMBER(FIND("x", LOWER(G13))), ( Tabla114[[#This Row],[Cantidad]]* Tabla114[[#This Row],[Precio]] * IF(ISNUMBER(FIND("aceite", LOWER(Tabla114[[#This Row],[Producto]]))), 0.05, 0.1)), 0), 0.5), "")</f>
        <v>207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46256.753102893519</v>
      </c>
      <c r="C14">
        <f t="shared" si="0"/>
        <v>10</v>
      </c>
      <c r="D14" t="s">
        <v>153</v>
      </c>
      <c r="E14">
        <v>1</v>
      </c>
      <c r="F14">
        <v>85</v>
      </c>
      <c r="H14" s="5">
        <f>IF(Tabla114[[#This Row],[Cantidad]] &gt; 0,CEILING(( Tabla114[[#This Row],[Cantidad]]*Tabla114[[#This Row],[Precio]]) - IF(ISNUMBER(FIND("x", LOWER(G14))), ( Tabla114[[#This Row],[Cantidad]]* Tabla114[[#This Row],[Precio]] * IF(ISNUMBER(FIND("aceite", LOWER(Tabla114[[#This Row],[Producto]]))), 0.05, 0.1)), 0), 0.5), "")</f>
        <v>85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46256.753102893519</v>
      </c>
      <c r="C15">
        <f t="shared" si="0"/>
        <v>11</v>
      </c>
      <c r="D15" t="s">
        <v>154</v>
      </c>
      <c r="E15">
        <v>1</v>
      </c>
      <c r="F15">
        <v>25</v>
      </c>
      <c r="H15" s="5">
        <f>IF(Tabla114[[#This Row],[Cantidad]] &gt; 0,CEILING(( Tabla114[[#This Row],[Cantidad]]*Tabla114[[#This Row],[Precio]]) - IF(ISNUMBER(FIND("x", LOWER(G15))), ( Tabla114[[#This Row],[Cantidad]]* Tabla114[[#This Row],[Precio]] * IF(ISNUMBER(FIND("aceite", LOWER(Tabla114[[#This Row],[Producto]]))), 0.05, 0.1)), 0), 0.5), "")</f>
        <v>25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46256.753102893519</v>
      </c>
      <c r="C16" t="str">
        <f t="shared" si="0"/>
        <v/>
      </c>
      <c r="H16" s="5" t="str">
        <f>IF(Tabla114[[#This Row],[Cantidad]] &gt; 0,CEILING(( Tabla114[[#This Row],[Cantidad]]*Tabla114[[#This Row],[Precio]]) - IF(ISNUMBER(FIND("x", LOWER(G16))), ( Tabla114[[#This Row],[Cantidad]]* Tabla114[[#This Row],[Precio]] * IF(ISNUMBER(FIND("aceite", LOWER(Tabla114[[#This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46256.753102893519</v>
      </c>
      <c r="C17" t="str">
        <f t="shared" si="0"/>
        <v/>
      </c>
      <c r="H17" s="5" t="str">
        <f>IF(Tabla114[[#This Row],[Cantidad]] &gt; 0,CEILING(( Tabla114[[#This Row],[Cantidad]]*Tabla114[[#This Row],[Precio]]) - IF(ISNUMBER(FIND("x", LOWER(G17))), ( Tabla114[[#This Row],[Cantidad]]* Tabla114[[#This Row],[Precio]] * IF(ISNUMBER(FIND("aceite", LOWER(Tabla114[[#This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46256.753102893519</v>
      </c>
      <c r="C18" t="str">
        <f t="shared" si="0"/>
        <v/>
      </c>
      <c r="H18" s="5" t="str">
        <f>IF(Tabla114[[#This Row],[Cantidad]] &gt; 0,CEILING(( Tabla114[[#This Row],[Cantidad]]*Tabla114[[#This Row],[Precio]]) - IF(ISNUMBER(FIND("x", LOWER(G18))), ( Tabla114[[#This Row],[Cantidad]]* Tabla114[[#This Row],[Precio]] * IF(ISNUMBER(FIND("aceite", LOWER(Tabla114[[#This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46256.753102893519</v>
      </c>
      <c r="C19" t="str">
        <f t="shared" si="0"/>
        <v/>
      </c>
      <c r="H19" s="5" t="str">
        <f>IF(Tabla114[[#This Row],[Cantidad]] &gt; 0,CEILING(( Tabla114[[#This Row],[Cantidad]]*Tabla114[[#This Row],[Precio]]) - IF(ISNUMBER(FIND("x", LOWER(G19))), ( Tabla114[[#This Row],[Cantidad]]* Tabla114[[#This Row],[Precio]] * IF(ISNUMBER(FIND("aceite", LOWER(Tabla114[[#This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46256.753102893519</v>
      </c>
      <c r="C20" t="str">
        <f t="shared" si="0"/>
        <v/>
      </c>
      <c r="H20" s="5" t="str">
        <f>IF(Tabla114[[#This Row],[Cantidad]] &gt; 0,CEILING(( Tabla114[[#This Row],[Cantidad]]*Tabla114[[#This Row],[Precio]]) - IF(ISNUMBER(FIND("x", LOWER(G20))), ( Tabla114[[#This Row],[Cantidad]]* Tabla114[[#This Row],[Precio]] * IF(ISNUMBER(FIND("aceite", LOWER(Tabla114[[#This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46256.753102893519</v>
      </c>
      <c r="C21" t="str">
        <f t="shared" si="0"/>
        <v/>
      </c>
      <c r="H21" s="5" t="str">
        <f>IF(Tabla114[[#This Row],[Cantidad]] &gt; 0,CEILING(( Tabla114[[#This Row],[Cantidad]]*Tabla114[[#This Row],[Precio]]) - IF(ISNUMBER(FIND("x", LOWER(G21))), ( Tabla114[[#This Row],[Cantidad]]* Tabla114[[#This Row],[Precio]] * IF(ISNUMBER(FIND("aceite", LOWER(Tabla114[[#This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IF(Tabla114[[#This Row],[Cantidad]] &gt; 0,CEILING(( Tabla114[[#This Row],[Cantidad]]*Tabla114[[#This Row],[Precio]]) - IF(ISNUMBER(FIND("x", LOWER(G22))), ( Tabla114[[#This Row],[Cantidad]]* Tabla114[[#This Row],[Precio]] * IF(ISNUMBER(FIND("aceite", LOWER(Tabla114[[#This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46256.753102893519</v>
      </c>
      <c r="C23" t="str">
        <f t="shared" si="0"/>
        <v/>
      </c>
      <c r="H23" s="5" t="str">
        <f>IF(Tabla114[[#This Row],[Cantidad]] &gt; 0,CEILING(( Tabla114[[#This Row],[Cantidad]]*Tabla114[[#This Row],[Precio]]) - IF(ISNUMBER(FIND("x", LOWER(G23))), ( Tabla114[[#This Row],[Cantidad]]* Tabla114[[#This Row],[Precio]] * IF(ISNUMBER(FIND("aceite", LOWER(Tabla114[[#This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46256.753102893519</v>
      </c>
      <c r="C24" t="str">
        <f t="shared" si="0"/>
        <v/>
      </c>
      <c r="H24" s="5" t="str">
        <f>IF(Tabla114[[#This Row],[Cantidad]] &gt; 0,CEILING(( Tabla114[[#This Row],[Cantidad]]*Tabla114[[#This Row],[Precio]]) - IF(ISNUMBER(FIND("x", LOWER(G24))), ( Tabla114[[#This Row],[Cantidad]]* Tabla114[[#This Row],[Precio]] * IF(ISNUMBER(FIND("aceite", LOWER(Tabla114[[#This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46256.753102893519</v>
      </c>
      <c r="C25" t="str">
        <f t="shared" si="0"/>
        <v/>
      </c>
      <c r="H25" s="5" t="str">
        <f>IF(Tabla114[[#This Row],[Cantidad]] &gt; 0,CEILING(( Tabla114[[#This Row],[Cantidad]]*Tabla114[[#This Row],[Precio]]) - IF(ISNUMBER(FIND("x", LOWER(G25))), ( Tabla114[[#This Row],[Cantidad]]* Tabla114[[#This Row],[Precio]] * IF(ISNUMBER(FIND("aceite", LOWER(Tabla114[[#This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46256.753102893519</v>
      </c>
      <c r="C26" t="str">
        <f t="shared" si="0"/>
        <v/>
      </c>
      <c r="H26" s="5" t="str">
        <f>IF(Tabla114[[#This Row],[Cantidad]] &gt; 0,CEILING(( Tabla114[[#This Row],[Cantidad]]*Tabla114[[#This Row],[Precio]]) - IF(ISNUMBER(FIND("x", LOWER(G26))), ( Tabla114[[#This Row],[Cantidad]]* Tabla114[[#This Row],[Precio]] * IF(ISNUMBER(FIND("aceite", LOWER(Tabla114[[#This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>
        <f ca="1">IF(Tabla1[[#This Row],['#]]&lt;&gt;"", NOW(), "")</f>
        <v>46256.753102893519</v>
      </c>
      <c r="C27" t="str">
        <f t="shared" si="0"/>
        <v/>
      </c>
      <c r="H27" s="5" t="str">
        <f>IF(Tabla114[[#This Row],[Cantidad]] &gt; 0,CEILING(( Tabla114[[#This Row],[Cantidad]]*Tabla114[[#This Row],[Precio]]) - IF(ISNUMBER(FIND("x", LOWER(G27))), ( Tabla114[[#This Row],[Cantidad]]* Tabla114[[#This Row],[Precio]] * IF(ISNUMBER(FIND("aceite", LOWER(Tabla114[[#This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>
        <f ca="1">IF(Tabla1[[#This Row],['#]]&lt;&gt;"", NOW(), "")</f>
        <v>46256.753102893519</v>
      </c>
      <c r="C28" t="str">
        <f t="shared" si="0"/>
        <v/>
      </c>
      <c r="H28" s="5" t="str">
        <f>IF(Tabla114[[#This Row],[Cantidad]] &gt; 0,CEILING(( Tabla114[[#This Row],[Cantidad]]*Tabla114[[#This Row],[Precio]]) - IF(ISNUMBER(FIND("x", LOWER(G28))), ( Tabla114[[#This Row],[Cantidad]]* Tabla114[[#This Row],[Precio]] * IF(ISNUMBER(FIND("aceite", LOWER(Tabla114[[#This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>
        <f ca="1">IF(Tabla1[[#This Row],['#]]&lt;&gt;"", NOW(), "")</f>
        <v>46256.753102893519</v>
      </c>
      <c r="C29" t="str">
        <f t="shared" si="0"/>
        <v/>
      </c>
      <c r="H29" s="5" t="str">
        <f>IF(Tabla114[[#This Row],[Cantidad]] &gt; 0,CEILING(( Tabla114[[#This Row],[Cantidad]]*Tabla114[[#This Row],[Precio]]) - IF(ISNUMBER(FIND("x", LOWER(G29))), ( Tabla114[[#This Row],[Cantidad]]* Tabla114[[#This Row],[Precio]] * IF(ISNUMBER(FIND("aceite", LOWER(Tabla114[[#This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>
        <f ca="1">IF(Tabla1[[#This Row],['#]]&lt;&gt;"", NOW(), "")</f>
        <v>46256.753102893519</v>
      </c>
      <c r="C30" t="str">
        <f t="shared" si="0"/>
        <v/>
      </c>
      <c r="H30" s="5" t="str">
        <f>IF(Tabla114[[#This Row],[Cantidad]] &gt; 0,CEILING(( Tabla114[[#This Row],[Cantidad]]*Tabla114[[#This Row],[Precio]]) - IF(ISNUMBER(FIND("x", LOWER(G30))), ( Tabla114[[#This Row],[Cantidad]]* Tabla114[[#This Row],[Precio]] * IF(ISNUMBER(FIND("aceite", LOWER(Tabla114[[#This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>
        <f ca="1">IF(Tabla1[[#This Row],['#]]&lt;&gt;"", NOW(), "")</f>
        <v>46256.753102893519</v>
      </c>
      <c r="C31" t="str">
        <f t="shared" si="0"/>
        <v/>
      </c>
      <c r="H31" s="5" t="str">
        <f>IF(Tabla114[[#This Row],[Cantidad]] &gt; 0,CEILING(( Tabla114[[#This Row],[Cantidad]]*Tabla114[[#This Row],[Precio]]) - IF(ISNUMBER(FIND("x", LOWER(G31))), ( Tabla114[[#This Row],[Cantidad]]* Tabla114[[#This Row],[Precio]] * IF(ISNUMBER(FIND("aceite", LOWER(Tabla114[[#This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IF(Tabla114[[#This Row],[Cantidad]] &gt; 0,CEILING(( Tabla114[[#This Row],[Cantidad]]*Tabla114[[#This Row],[Precio]]) - IF(ISNUMBER(FIND("x", LOWER(G32))), ( Tabla114[[#This Row],[Cantidad]]* Tabla114[[#This Row],[Precio]] * IF(ISNUMBER(FIND("aceite", LOWER(Tabla114[[#This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IF(Tabla114[[#This Row],[Cantidad]] &gt; 0,CEILING(( Tabla114[[#This Row],[Cantidad]]*Tabla114[[#This Row],[Precio]]) - IF(ISNUMBER(FIND("x", LOWER(G33))), ( Tabla114[[#This Row],[Cantidad]]* Tabla114[[#This Row],[Precio]] * IF(ISNUMBER(FIND("aceite", LOWER(Tabla114[[#This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IF(Tabla114[[#This Row],[Cantidad]] &gt; 0,CEILING(( Tabla114[[#This Row],[Cantidad]]*Tabla114[[#This Row],[Precio]]) - IF(ISNUMBER(FIND("x", LOWER(G34))), ( Tabla114[[#This Row],[Cantidad]]* Tabla114[[#This Row],[Precio]] * IF(ISNUMBER(FIND("aceite", LOWER(Tabla114[[#This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IF(Tabla114[[#This Row],[Cantidad]] &gt; 0,CEILING(( Tabla114[[#This Row],[Cantidad]]*Tabla114[[#This Row],[Precio]]) - IF(ISNUMBER(FIND("x", LOWER(G35))), ( Tabla114[[#This Row],[Cantidad]]* Tabla114[[#This Row],[Precio]] * IF(ISNUMBER(FIND("aceite", LOWER(Tabla114[[#This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IF(Tabla114[[#This Row],[Cantidad]] &gt; 0,CEILING(( Tabla114[[#This Row],[Cantidad]]*Tabla114[[#This Row],[Precio]]) - IF(ISNUMBER(FIND("x", LOWER(G36))), ( Tabla114[[#This Row],[Cantidad]]* Tabla114[[#This Row],[Precio]] * IF(ISNUMBER(FIND("aceite", LOWER(Tabla114[[#This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IF(Tabla114[[#This Row],[Cantidad]] &gt; 0,CEILING(( Tabla114[[#This Row],[Cantidad]]*Tabla114[[#This Row],[Precio]]) - IF(ISNUMBER(FIND("x", LOWER(G37))), ( Tabla114[[#This Row],[Cantidad]]* Tabla114[[#This Row],[Precio]] * IF(ISNUMBER(FIND("aceite", LOWER(Tabla114[[#This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IF(Tabla114[[#This Row],[Cantidad]] &gt; 0,CEILING(( Tabla114[[#This Row],[Cantidad]]*Tabla114[[#This Row],[Precio]]) - IF(ISNUMBER(FIND("x", LOWER(G38))), ( Tabla114[[#This Row],[Cantidad]]* Tabla114[[#This Row],[Precio]] * IF(ISNUMBER(FIND("aceite", LOWER(Tabla114[[#This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IF(Tabla114[[#This Row],[Cantidad]] &gt; 0,CEILING(( Tabla114[[#This Row],[Cantidad]]*Tabla114[[#This Row],[Precio]]) - IF(ISNUMBER(FIND("x", LOWER(G39))), ( Tabla114[[#This Row],[Cantidad]]* Tabla114[[#This Row],[Precio]] * IF(ISNUMBER(FIND("aceite", LOWER(Tabla114[[#This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IF(Tabla114[[#This Row],[Cantidad]] &gt; 0,CEILING(( Tabla114[[#This Row],[Cantidad]]*Tabla114[[#This Row],[Precio]]) - IF(ISNUMBER(FIND("x", LOWER(G40))), ( Tabla114[[#This Row],[Cantidad]]* Tabla114[[#This Row],[Precio]] * IF(ISNUMBER(FIND("aceite", LOWER(Tabla114[[#This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IF(Tabla114[[#This Row],[Cantidad]] &gt; 0,CEILING(( Tabla114[[#This Row],[Cantidad]]*Tabla114[[#This Row],[Precio]]) - IF(ISNUMBER(FIND("x", LOWER(G41))), ( Tabla114[[#This Row],[Cantidad]]* Tabla114[[#This Row],[Precio]] * IF(ISNUMBER(FIND("aceite", LOWER(Tabla114[[#This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IF(Tabla114[[#This Row],[Cantidad]] &gt; 0,CEILING(( Tabla114[[#This Row],[Cantidad]]*Tabla114[[#This Row],[Precio]]) - IF(ISNUMBER(FIND("x", LOWER(G42))), ( Tabla114[[#This Row],[Cantidad]]* Tabla114[[#This Row],[Precio]] * IF(ISNUMBER(FIND("aceite", LOWER(Tabla114[[#This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IF(Tabla114[[#This Row],[Cantidad]] &gt; 0,CEILING(( Tabla114[[#This Row],[Cantidad]]*Tabla114[[#This Row],[Precio]]) - IF(ISNUMBER(FIND("x", LOWER(G43))), ( Tabla114[[#This Row],[Cantidad]]* Tabla114[[#This Row],[Precio]] * IF(ISNUMBER(FIND("aceite", LOWER(Tabla114[[#This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IF(Tabla114[[#This Row],[Cantidad]] &gt; 0,CEILING(( Tabla114[[#This Row],[Cantidad]]*Tabla114[[#This Row],[Precio]]) - IF(ISNUMBER(FIND("x", LOWER(G44))), ( Tabla114[[#This Row],[Cantidad]]* Tabla114[[#This Row],[Precio]] * IF(ISNUMBER(FIND("aceite", LOWER(Tabla114[[#This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IF(Tabla114[[#This Row],[Cantidad]] &gt; 0,CEILING(( Tabla114[[#This Row],[Cantidad]]*Tabla114[[#This Row],[Precio]]) - IF(ISNUMBER(FIND("x", LOWER(G45))), ( Tabla114[[#This Row],[Cantidad]]* Tabla114[[#This Row],[Precio]] * IF(ISNUMBER(FIND("aceite", LOWER(Tabla114[[#This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IF(Tabla114[[#This Row],[Cantidad]] &gt; 0,CEILING(( Tabla114[[#This Row],[Cantidad]]*Tabla114[[#This Row],[Precio]]) - IF(ISNUMBER(FIND("x", LOWER(G46))), ( Tabla114[[#This Row],[Cantidad]]* Tabla114[[#This Row],[Precio]] * IF(ISNUMBER(FIND("aceite", LOWER(Tabla114[[#This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IF(Tabla114[[#This Row],[Cantidad]] &gt; 0,CEILING(( Tabla114[[#This Row],[Cantidad]]*Tabla114[[#This Row],[Precio]]) - IF(ISNUMBER(FIND("x", LOWER(G47))), ( Tabla114[[#This Row],[Cantidad]]* Tabla114[[#This Row],[Precio]] * IF(ISNUMBER(FIND("aceite", LOWER(Tabla114[[#This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IF(Tabla114[[#This Row],[Cantidad]] &gt; 0,CEILING(( Tabla114[[#This Row],[Cantidad]]*Tabla114[[#This Row],[Precio]]) - IF(ISNUMBER(FIND("x", LOWER(G48))), ( Tabla114[[#This Row],[Cantidad]]* Tabla114[[#This Row],[Precio]] * IF(ISNUMBER(FIND("aceite", LOWER(Tabla114[[#This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IF(Tabla114[[#This Row],[Cantidad]] &gt; 0,CEILING(( Tabla114[[#This Row],[Cantidad]]*Tabla114[[#This Row],[Precio]]) - IF(ISNUMBER(FIND("x", LOWER(G49))), ( Tabla114[[#This Row],[Cantidad]]* Tabla114[[#This Row],[Precio]] * IF(ISNUMBER(FIND("aceite", LOWER(Tabla114[[#This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IF(Tabla114[[#This Row],[Cantidad]] &gt; 0,CEILING(( Tabla114[[#This Row],[Cantidad]]*Tabla114[[#This Row],[Precio]]) - IF(ISNUMBER(FIND("x", LOWER(G50))), ( Tabla114[[#This Row],[Cantidad]]* Tabla114[[#This Row],[Precio]] * IF(ISNUMBER(FIND("aceite", LOWER(Tabla114[[#This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IF(Tabla114[[#This Row],[Cantidad]] &gt; 0,CEILING(( Tabla114[[#This Row],[Cantidad]]*Tabla114[[#This Row],[Precio]]) - IF(ISNUMBER(FIND("x", LOWER(G51))), ( Tabla114[[#This Row],[Cantidad]]* Tabla114[[#This Row],[Precio]] * IF(ISNUMBER(FIND("aceite", LOWER(Tabla114[[#This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IF(Tabla114[[#This Row],[Cantidad]] &gt; 0,CEILING(( Tabla114[[#This Row],[Cantidad]]*Tabla114[[#This Row],[Precio]]) - IF(ISNUMBER(FIND("x", LOWER(G52))), ( Tabla114[[#This Row],[Cantidad]]* Tabla114[[#This Row],[Precio]] * IF(ISNUMBER(FIND("aceite", LOWER(Tabla114[[#This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IF(Tabla114[[#This Row],[Cantidad]] &gt; 0,CEILING(( Tabla114[[#This Row],[Cantidad]]*Tabla114[[#This Row],[Precio]]) - IF(ISNUMBER(FIND("x", LOWER(G53))), ( Tabla114[[#This Row],[Cantidad]]* Tabla114[[#This Row],[Precio]] * IF(ISNUMBER(FIND("aceite", LOWER(Tabla114[[#This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IF(Tabla114[[#This Row],[Cantidad]] &gt; 0,CEILING(( Tabla114[[#This Row],[Cantidad]]*Tabla114[[#This Row],[Precio]]) - IF(ISNUMBER(FIND("x", LOWER(G54))), ( Tabla114[[#This Row],[Cantidad]]* Tabla114[[#This Row],[Precio]] * IF(ISNUMBER(FIND("aceite", LOWER(Tabla114[[#This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IF(Tabla114[[#This Row],[Cantidad]] &gt; 0,CEILING(( Tabla114[[#This Row],[Cantidad]]*Tabla114[[#This Row],[Precio]]) - IF(ISNUMBER(FIND("x", LOWER(G55))), ( Tabla114[[#This Row],[Cantidad]]* Tabla114[[#This Row],[Precio]] * IF(ISNUMBER(FIND("aceite", LOWER(Tabla114[[#This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IF(Tabla114[[#This Row],[Cantidad]] &gt; 0,CEILING(( Tabla114[[#This Row],[Cantidad]]*Tabla114[[#This Row],[Precio]]) - IF(ISNUMBER(FIND("x", LOWER(G56))), ( Tabla114[[#This Row],[Cantidad]]* Tabla114[[#This Row],[Precio]] * IF(ISNUMBER(FIND("aceite", LOWER(Tabla114[[#This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IF(Tabla114[[#This Row],[Cantidad]] &gt; 0,CEILING(( Tabla114[[#This Row],[Cantidad]]*Tabla114[[#This Row],[Precio]]) - IF(ISNUMBER(FIND("x", LOWER(G57))), ( Tabla114[[#This Row],[Cantidad]]* Tabla114[[#This Row],[Precio]] * IF(ISNUMBER(FIND("aceite", LOWER(Tabla114[[#This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IF(Tabla114[[#This Row],[Cantidad]] &gt; 0,CEILING(( Tabla114[[#This Row],[Cantidad]]*Tabla114[[#This Row],[Precio]]) - IF(ISNUMBER(FIND("x", LOWER(G58))), ( Tabla114[[#This Row],[Cantidad]]* Tabla114[[#This Row],[Precio]] * IF(ISNUMBER(FIND("aceite", LOWER(Tabla114[[#This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IF(Tabla114[[#This Row],[Cantidad]] &gt; 0,CEILING(( Tabla114[[#This Row],[Cantidad]]*Tabla114[[#This Row],[Precio]]) - IF(ISNUMBER(FIND("x", LOWER(G59))), ( Tabla114[[#This Row],[Cantidad]]* Tabla114[[#This Row],[Precio]] * IF(ISNUMBER(FIND("aceite", LOWER(Tabla114[[#This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IF(Tabla114[[#This Row],[Cantidad]] &gt; 0,CEILING(( Tabla114[[#This Row],[Cantidad]]*Tabla114[[#This Row],[Precio]]) - IF(ISNUMBER(FIND("x", LOWER(G60))), ( Tabla114[[#This Row],[Cantidad]]* Tabla114[[#This Row],[Precio]] * IF(ISNUMBER(FIND("aceite", LOWER(Tabla114[[#This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IF(Tabla114[[#This Row],[Cantidad]] &gt; 0,CEILING(( Tabla114[[#This Row],[Cantidad]]*Tabla114[[#This Row],[Precio]]) - IF(ISNUMBER(FIND("x", LOWER(G61))), ( Tabla114[[#This Row],[Cantidad]]* Tabla114[[#This Row],[Precio]] * IF(ISNUMBER(FIND("aceite", LOWER(Tabla114[[#This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IF(Tabla114[[#This Row],[Cantidad]] &gt; 0,CEILING(( Tabla114[[#This Row],[Cantidad]]*Tabla114[[#This Row],[Precio]]) - IF(ISNUMBER(FIND("x", LOWER(G62))), ( Tabla114[[#This Row],[Cantidad]]* Tabla114[[#This Row],[Precio]] * IF(ISNUMBER(FIND("aceite", LOWER(Tabla114[[#This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IF(Tabla114[[#This Row],[Cantidad]] &gt; 0,CEILING(( Tabla114[[#This Row],[Cantidad]]*Tabla114[[#This Row],[Precio]]) - IF(ISNUMBER(FIND("x", LOWER(G63))), ( Tabla114[[#This Row],[Cantidad]]* Tabla114[[#This Row],[Precio]] * IF(ISNUMBER(FIND("aceite", LOWER(Tabla114[[#This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IF(Tabla114[[#This Row],[Cantidad]] &gt; 0,CEILING(( Tabla114[[#This Row],[Cantidad]]*Tabla114[[#This Row],[Precio]]) - IF(ISNUMBER(FIND("x", LOWER(G64))), ( Tabla114[[#This Row],[Cantidad]]* Tabla114[[#This Row],[Precio]] * IF(ISNUMBER(FIND("aceite", LOWER(Tabla114[[#This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IF(Tabla114[[#This Row],[Cantidad]] &gt; 0,CEILING(( Tabla114[[#This Row],[Cantidad]]*Tabla114[[#This Row],[Precio]]) - IF(ISNUMBER(FIND("x", LOWER(G65))), ( Tabla114[[#This Row],[Cantidad]]* Tabla114[[#This Row],[Precio]] * IF(ISNUMBER(FIND("aceite", LOWER(Tabla114[[#This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IF(Tabla114[[#This Row],[Cantidad]] &gt; 0,CEILING(( Tabla114[[#This Row],[Cantidad]]*Tabla114[[#This Row],[Precio]]) - IF(ISNUMBER(FIND("x", LOWER(G66))), ( Tabla114[[#This Row],[Cantidad]]* Tabla114[[#This Row],[Precio]] * IF(ISNUMBER(FIND("aceite", LOWER(Tabla114[[#This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IF(Tabla114[[#This Row],[Cantidad]] &gt; 0,CEILING(( Tabla114[[#This Row],[Cantidad]]*Tabla114[[#This Row],[Precio]]) - IF(ISNUMBER(FIND("x", LOWER(G67))), ( Tabla114[[#This Row],[Cantidad]]* Tabla114[[#This Row],[Precio]] * IF(ISNUMBER(FIND("aceite", LOWER(Tabla114[[#This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IF(Tabla114[[#This Row],[Cantidad]] &gt; 0,CEILING(( Tabla114[[#This Row],[Cantidad]]*Tabla114[[#This Row],[Precio]]) - IF(ISNUMBER(FIND("x", LOWER(G68))), ( Tabla114[[#This Row],[Cantidad]]* Tabla114[[#This Row],[Precio]] * IF(ISNUMBER(FIND("aceite", LOWER(Tabla114[[#This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IF(Tabla114[[#This Row],[Cantidad]] &gt; 0,CEILING(( Tabla114[[#This Row],[Cantidad]]*Tabla114[[#This Row],[Precio]]) - IF(ISNUMBER(FIND("x", LOWER(G69))), ( Tabla114[[#This Row],[Cantidad]]* Tabla114[[#This Row],[Precio]] * IF(ISNUMBER(FIND("aceite", LOWER(Tabla114[[#This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IF(Tabla114[[#This Row],[Cantidad]] &gt; 0,CEILING(( Tabla114[[#This Row],[Cantidad]]*Tabla114[[#This Row],[Precio]]) - IF(ISNUMBER(FIND("x", LOWER(G70))), ( Tabla114[[#This Row],[Cantidad]]* Tabla114[[#This Row],[Precio]] * IF(ISNUMBER(FIND("aceite", LOWER(Tabla114[[#This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IF(Tabla114[[#This Row],[Cantidad]] &gt; 0,CEILING(( Tabla114[[#This Row],[Cantidad]]*Tabla114[[#This Row],[Precio]]) - IF(ISNUMBER(FIND("x", LOWER(G71))), ( Tabla114[[#This Row],[Cantidad]]* Tabla114[[#This Row],[Precio]] * IF(ISNUMBER(FIND("aceite", LOWER(Tabla114[[#This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IF(Tabla114[[#This Row],[Cantidad]] &gt; 0,CEILING(( Tabla114[[#This Row],[Cantidad]]*Tabla114[[#This Row],[Precio]]) - IF(ISNUMBER(FIND("x", LOWER(G72))), ( Tabla114[[#This Row],[Cantidad]]* Tabla114[[#This Row],[Precio]] * IF(ISNUMBER(FIND("aceite", LOWER(Tabla114[[#This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IF(Tabla114[[#This Row],[Cantidad]] &gt; 0,CEILING(( Tabla114[[#This Row],[Cantidad]]*Tabla114[[#This Row],[Precio]]) - IF(ISNUMBER(FIND("x", LOWER(G73))), ( Tabla114[[#This Row],[Cantidad]]* Tabla114[[#This Row],[Precio]] * IF(ISNUMBER(FIND("aceite", LOWER(Tabla114[[#This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IF(Tabla114[[#This Row],[Cantidad]] &gt; 0,CEILING(( Tabla114[[#This Row],[Cantidad]]*Tabla114[[#This Row],[Precio]]) - IF(ISNUMBER(FIND("x", LOWER(G74))), ( Tabla114[[#This Row],[Cantidad]]* Tabla114[[#This Row],[Precio]] * IF(ISNUMBER(FIND("aceite", LOWER(Tabla114[[#This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IF(Tabla114[[#This Row],[Cantidad]] &gt; 0,CEILING(( Tabla114[[#This Row],[Cantidad]]*Tabla114[[#This Row],[Precio]]) - IF(ISNUMBER(FIND("x", LOWER(G75))), ( Tabla114[[#This Row],[Cantidad]]* Tabla114[[#This Row],[Precio]] * IF(ISNUMBER(FIND("aceite", LOWER(Tabla114[[#This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IF(Tabla114[[#This Row],[Cantidad]] &gt; 0,CEILING(( Tabla114[[#This Row],[Cantidad]]*Tabla114[[#This Row],[Precio]]) - IF(ISNUMBER(FIND("x", LOWER(G76))), ( Tabla114[[#This Row],[Cantidad]]* Tabla114[[#This Row],[Precio]] * IF(ISNUMBER(FIND("aceite", LOWER(Tabla114[[#This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IF(Tabla114[[#This Row],[Cantidad]] &gt; 0,CEILING(( Tabla114[[#This Row],[Cantidad]]*Tabla114[[#This Row],[Precio]]) - IF(ISNUMBER(FIND("x", LOWER(G77))), ( Tabla114[[#This Row],[Cantidad]]* Tabla114[[#This Row],[Precio]] * IF(ISNUMBER(FIND("aceite", LOWER(Tabla114[[#This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IF(Tabla114[[#This Row],[Cantidad]] &gt; 0,CEILING(( Tabla114[[#This Row],[Cantidad]]*Tabla114[[#This Row],[Precio]]) - IF(ISNUMBER(FIND("x", LOWER(G78))), ( Tabla114[[#This Row],[Cantidad]]* Tabla114[[#This Row],[Precio]] * IF(ISNUMBER(FIND("aceite", LOWER(Tabla114[[#This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IF(Tabla114[[#This Row],[Cantidad]] &gt; 0,CEILING(( Tabla114[[#This Row],[Cantidad]]*Tabla114[[#This Row],[Precio]]) - IF(ISNUMBER(FIND("x", LOWER(G79))), ( Tabla114[[#This Row],[Cantidad]]* Tabla114[[#This Row],[Precio]] * IF(ISNUMBER(FIND("aceite", LOWER(Tabla114[[#This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IF(Tabla114[[#This Row],[Cantidad]] &gt; 0,CEILING(( Tabla114[[#This Row],[Cantidad]]*Tabla114[[#This Row],[Precio]]) - IF(ISNUMBER(FIND("x", LOWER(G80))), ( Tabla114[[#This Row],[Cantidad]]* Tabla114[[#This Row],[Precio]] * IF(ISNUMBER(FIND("aceite", LOWER(Tabla114[[#This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IF(Tabla114[[#This Row],[Cantidad]] &gt; 0,CEILING(( Tabla114[[#This Row],[Cantidad]]*Tabla114[[#This Row],[Precio]]) - IF(ISNUMBER(FIND("x", LOWER(G81))), ( Tabla114[[#This Row],[Cantidad]]* Tabla114[[#This Row],[Precio]] * IF(ISNUMBER(FIND("aceite", LOWER(Tabla114[[#This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IF(Tabla114[[#This Row],[Cantidad]] &gt; 0,CEILING(( Tabla114[[#This Row],[Cantidad]]*Tabla114[[#This Row],[Precio]]) - IF(ISNUMBER(FIND("x", LOWER(G82))), ( Tabla114[[#This Row],[Cantidad]]* Tabla114[[#This Row],[Precio]] * IF(ISNUMBER(FIND("aceite", LOWER(Tabla114[[#This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IF(Tabla114[[#This Row],[Cantidad]] &gt; 0,CEILING(( Tabla114[[#This Row],[Cantidad]]*Tabla114[[#This Row],[Precio]]) - IF(ISNUMBER(FIND("x", LOWER(G83))), ( Tabla114[[#This Row],[Cantidad]]* Tabla114[[#This Row],[Precio]] * IF(ISNUMBER(FIND("aceite", LOWER(Tabla114[[#This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IF(Tabla114[[#This Row],[Cantidad]] &gt; 0,CEILING(( Tabla114[[#This Row],[Cantidad]]*Tabla114[[#This Row],[Precio]]) - IF(ISNUMBER(FIND("x", LOWER(G84))), ( Tabla114[[#This Row],[Cantidad]]* Tabla114[[#This Row],[Precio]] * IF(ISNUMBER(FIND("aceite", LOWER(Tabla114[[#This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IF(Tabla114[[#This Row],[Cantidad]] &gt; 0,CEILING(( Tabla114[[#This Row],[Cantidad]]*Tabla114[[#This Row],[Precio]]) - IF(ISNUMBER(FIND("x", LOWER(G85))), ( Tabla114[[#This Row],[Cantidad]]* Tabla114[[#This Row],[Precio]] * IF(ISNUMBER(FIND("aceite", LOWER(Tabla114[[#This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IF(Tabla114[[#This Row],[Cantidad]] &gt; 0,CEILING(( Tabla114[[#This Row],[Cantidad]]*Tabla114[[#This Row],[Precio]]) - IF(ISNUMBER(FIND("x", LOWER(G86))), ( Tabla114[[#This Row],[Cantidad]]* Tabla114[[#This Row],[Precio]] * IF(ISNUMBER(FIND("aceite", LOWER(Tabla114[[#This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IF(Tabla114[[#This Row],[Cantidad]] &gt; 0,CEILING(( Tabla114[[#This Row],[Cantidad]]*Tabla114[[#This Row],[Precio]]) - IF(ISNUMBER(FIND("x", LOWER(G87))), ( Tabla114[[#This Row],[Cantidad]]* Tabla114[[#This Row],[Precio]] * IF(ISNUMBER(FIND("aceite", LOWER(Tabla114[[#This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IF(Tabla114[[#This Row],[Cantidad]] &gt; 0,CEILING(( Tabla114[[#This Row],[Cantidad]]*Tabla114[[#This Row],[Precio]]) - IF(ISNUMBER(FIND("x", LOWER(G88))), ( Tabla114[[#This Row],[Cantidad]]* Tabla114[[#This Row],[Precio]] * IF(ISNUMBER(FIND("aceite", LOWER(Tabla114[[#This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IF(Tabla114[[#This Row],[Cantidad]] &gt; 0,CEILING(( Tabla114[[#This Row],[Cantidad]]*Tabla114[[#This Row],[Precio]]) - IF(ISNUMBER(FIND("x", LOWER(G89))), ( Tabla114[[#This Row],[Cantidad]]* Tabla114[[#This Row],[Precio]] * IF(ISNUMBER(FIND("aceite", LOWER(Tabla114[[#This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IF(Tabla114[[#This Row],[Cantidad]] &gt; 0,CEILING(( Tabla114[[#This Row],[Cantidad]]*Tabla114[[#This Row],[Precio]]) - IF(ISNUMBER(FIND("x", LOWER(G90))), ( Tabla114[[#This Row],[Cantidad]]* Tabla114[[#This Row],[Precio]] * IF(ISNUMBER(FIND("aceite", LOWER(Tabla114[[#This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IF(Tabla114[[#This Row],[Cantidad]] &gt; 0,CEILING(( Tabla114[[#This Row],[Cantidad]]*Tabla114[[#This Row],[Precio]]) - IF(ISNUMBER(FIND("x", LOWER(G91))), ( Tabla114[[#This Row],[Cantidad]]* Tabla114[[#This Row],[Precio]] * IF(ISNUMBER(FIND("aceite", LOWER(Tabla114[[#This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IF(Tabla114[[#This Row],[Cantidad]] &gt; 0,CEILING(( Tabla114[[#This Row],[Cantidad]]*Tabla114[[#This Row],[Precio]]) - IF(ISNUMBER(FIND("x", LOWER(G92))), ( Tabla114[[#This Row],[Cantidad]]* Tabla114[[#This Row],[Precio]] * IF(ISNUMBER(FIND("aceite", LOWER(Tabla114[[#This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IF(Tabla114[[#This Row],[Cantidad]] &gt; 0,CEILING(( Tabla114[[#This Row],[Cantidad]]*Tabla114[[#This Row],[Precio]]) - IF(ISNUMBER(FIND("x", LOWER(G93))), ( Tabla114[[#This Row],[Cantidad]]* Tabla114[[#This Row],[Precio]] * IF(ISNUMBER(FIND("aceite", LOWER(Tabla114[[#This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IF(Tabla114[[#This Row],[Cantidad]] &gt; 0,CEILING(( Tabla114[[#This Row],[Cantidad]]*Tabla114[[#This Row],[Precio]]) - IF(ISNUMBER(FIND("x", LOWER(G94))), ( Tabla114[[#This Row],[Cantidad]]* Tabla114[[#This Row],[Precio]] * IF(ISNUMBER(FIND("aceite", LOWER(Tabla114[[#This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IF(Tabla114[[#This Row],[Cantidad]] &gt; 0,CEILING(( Tabla114[[#This Row],[Cantidad]]*Tabla114[[#This Row],[Precio]]) - IF(ISNUMBER(FIND("x", LOWER(G95))), ( Tabla114[[#This Row],[Cantidad]]* Tabla114[[#This Row],[Precio]] * IF(ISNUMBER(FIND("aceite", LOWER(Tabla114[[#This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IF(Tabla114[[#This Row],[Cantidad]] &gt; 0,CEILING(( Tabla114[[#This Row],[Cantidad]]*Tabla114[[#This Row],[Precio]]) - IF(ISNUMBER(FIND("x", LOWER(G96))), ( Tabla114[[#This Row],[Cantidad]]* Tabla114[[#This Row],[Precio]] * IF(ISNUMBER(FIND("aceite", LOWER(Tabla114[[#This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IF(Tabla114[[#This Row],[Cantidad]] &gt; 0,CEILING(( Tabla114[[#This Row],[Cantidad]]*Tabla114[[#This Row],[Precio]]) - IF(ISNUMBER(FIND("x", LOWER(G97))), ( Tabla114[[#This Row],[Cantidad]]* Tabla114[[#This Row],[Precio]] * IF(ISNUMBER(FIND("aceite", LOWER(Tabla114[[#This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IF(Tabla114[[#This Row],[Cantidad]] &gt; 0,CEILING(( Tabla114[[#This Row],[Cantidad]]*Tabla114[[#This Row],[Precio]]) - IF(ISNUMBER(FIND("x", LOWER(G98))), ( Tabla114[[#This Row],[Cantidad]]* Tabla114[[#This Row],[Precio]] * IF(ISNUMBER(FIND("aceite", LOWER(Tabla114[[#This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IF(Tabla114[[#This Row],[Cantidad]] &gt; 0,CEILING(( Tabla114[[#This Row],[Cantidad]]*Tabla114[[#This Row],[Precio]]) - IF(ISNUMBER(FIND("x", LOWER(G99))), ( Tabla114[[#This Row],[Cantidad]]* Tabla114[[#This Row],[Precio]] * IF(ISNUMBER(FIND("aceite", LOWER(Tabla114[[#This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IF(Tabla114[[#This Row],[Cantidad]] &gt; 0,CEILING(( Tabla114[[#This Row],[Cantidad]]*Tabla114[[#This Row],[Precio]]) - IF(ISNUMBER(FIND("x", LOWER(G100))), ( Tabla114[[#This Row],[Cantidad]]* Tabla114[[#This Row],[Precio]] * IF(ISNUMBER(FIND("aceite", LOWER(Tabla114[[#This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IF(Tabla114[[#This Row],[Cantidad]] &gt; 0,CEILING(( Tabla114[[#This Row],[Cantidad]]*Tabla114[[#This Row],[Precio]]) - IF(ISNUMBER(FIND("x", LOWER(G101))), ( Tabla114[[#This Row],[Cantidad]]* Tabla114[[#This Row],[Precio]] * IF(ISNUMBER(FIND("aceite", LOWER(Tabla114[[#This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IF(Tabla114[[#This Row],[Cantidad]] &gt; 0,CEILING(( Tabla114[[#This Row],[Cantidad]]*Tabla114[[#This Row],[Precio]]) - IF(ISNUMBER(FIND("x", LOWER(G102))), ( Tabla114[[#This Row],[Cantidad]]* Tabla114[[#This Row],[Precio]] * IF(ISNUMBER(FIND("aceite", LOWER(Tabla114[[#This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IF(Tabla114[[#This Row],[Cantidad]] &gt; 0,CEILING(( Tabla114[[#This Row],[Cantidad]]*Tabla114[[#This Row],[Precio]]) - IF(ISNUMBER(FIND("x", LOWER(G103))), ( Tabla114[[#This Row],[Cantidad]]* Tabla114[[#This Row],[Precio]] * IF(ISNUMBER(FIND("aceite", LOWER(Tabla114[[#This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3" priority="1">
      <formula>C5&gt;0&amp;ISBLANK(B5)</formula>
    </cfRule>
  </conditionalFormatting>
  <conditionalFormatting sqref="D5:D6">
    <cfRule type="expression" dxfId="2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103"/>
  <sheetViews>
    <sheetView workbookViewId="0">
      <selection activeCell="H14" sqref="H1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14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SUM(Tabla115[Importa])</f>
        <v>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0</v>
      </c>
      <c r="M4" s="36"/>
      <c r="N4" s="36"/>
      <c r="O4" s="36"/>
      <c r="P4" s="36"/>
      <c r="Q4" s="36"/>
      <c r="R4" s="36"/>
    </row>
    <row r="5" spans="2:18" x14ac:dyDescent="0.25">
      <c r="B5" s="18" t="str">
        <f ca="1">IF(Tabla115[[#This Row],['#]]&lt;&gt;"", NOW(), "")</f>
        <v/>
      </c>
      <c r="C5" t="str">
        <f t="shared" ref="C5:C68" si="0">IF(ISNUMBER(E5), IF(ISNUMBER(C4), C4+1, 1), "")</f>
        <v/>
      </c>
      <c r="H5" s="5" t="str">
        <f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f>
        <v/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46256.753102893519</v>
      </c>
      <c r="C6" t="str">
        <f t="shared" si="0"/>
        <v/>
      </c>
      <c r="H6" s="5" t="str">
        <f>IF(Tabla115[[#This Row],[Cantidad]] &gt; 0,CEILING(( Tabla115[[#This Row],[Cantidad]]*Tabla115[[#This Row],[Precio]]) - IF(ISNUMBER(FIND("x", LOWER(G6))), ( Tabla115[[#This Row],[Cantidad]]* Tabla115[[#This Row],[Precio]] * IF(ISNUMBER(FIND("aceite", LOWER(Tabla115[[#This Row],[Producto]]))), 0.05, 0.1)), 0), 0.5), "")</f>
        <v/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46256.753102893519</v>
      </c>
      <c r="C7" t="str">
        <f t="shared" si="0"/>
        <v/>
      </c>
      <c r="H7" s="5" t="str">
        <f>IF(Tabla115[[#This Row],[Cantidad]] &gt; 0,CEILING(( Tabla115[[#This Row],[Cantidad]]*Tabla115[[#This Row],[Precio]]) - IF(ISNUMBER(FIND("x", LOWER(G7))), ( Tabla115[[#This Row],[Cantidad]]* Tabla115[[#This Row],[Precio]] * IF(ISNUMBER(FIND("aceite", LOWER(Tabla115[[#This Row],[Producto]]))), 0.05, 0.1)), 0), 0.5), "")</f>
        <v/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46256.753102893519</v>
      </c>
      <c r="C8" t="str">
        <f t="shared" si="0"/>
        <v/>
      </c>
      <c r="H8" s="5" t="str">
        <f>IF(Tabla115[[#This Row],[Cantidad]] &gt; 0,CEILING(( Tabla115[[#This Row],[Cantidad]]*Tabla115[[#This Row],[Precio]]) - IF(ISNUMBER(FIND("x", LOWER(G8))), ( Tabla115[[#This Row],[Cantidad]]* Tabla115[[#This Row],[Precio]] * IF(ISNUMBER(FIND("aceite", LOWER(Tabla115[[#This Row],[Producto]]))), 0.05, 0.1)), 0), 0.5), "")</f>
        <v/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46256.753102893519</v>
      </c>
      <c r="C9" t="str">
        <f t="shared" si="0"/>
        <v/>
      </c>
      <c r="H9" s="5" t="str">
        <f>IF(Tabla115[[#This Row],[Cantidad]] &gt; 0,CEILING(( Tabla115[[#This Row],[Cantidad]]*Tabla115[[#This Row],[Precio]]) - IF(ISNUMBER(FIND("x", LOWER(G9))), ( Tabla115[[#This Row],[Cantidad]]* Tabla115[[#This Row],[Precio]] * IF(ISNUMBER(FIND("aceite", LOWER(Tabla115[[#This Row],[Producto]]))), 0.05, 0.1)), 0), 0.5), "")</f>
        <v/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46256.753102893519</v>
      </c>
      <c r="C10" t="str">
        <f t="shared" si="0"/>
        <v/>
      </c>
      <c r="H10" s="5" t="str">
        <f>IF(Tabla115[[#This Row],[Cantidad]] &gt; 0,CEILING(( Tabla115[[#This Row],[Cantidad]]*Tabla115[[#This Row],[Precio]]) - IF(ISNUMBER(FIND("x", LOWER(G10))), ( Tabla115[[#This Row],[Cantidad]]* Tabla115[[#This Row],[Precio]] * IF(ISNUMBER(FIND("aceite", LOWER(Tabla115[[#This Row],[Producto]]))), 0.05, 0.1)), 0), 0.5), "")</f>
        <v/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46256.753102893519</v>
      </c>
      <c r="C11" t="str">
        <f t="shared" si="0"/>
        <v/>
      </c>
      <c r="H11" s="5" t="str">
        <f>IF(Tabla115[[#This Row],[Cantidad]] &gt; 0,CEILING(( Tabla115[[#This Row],[Cantidad]]*Tabla115[[#This Row],[Precio]]) - IF(ISNUMBER(FIND("x", LOWER(G11))), ( Tabla115[[#This Row],[Cantidad]]* Tabla115[[#This Row],[Precio]] * IF(ISNUMBER(FIND("aceite", LOWER(Tabla115[[#This Row],[Producto]]))), 0.05, 0.1)), 0), 0.5), "")</f>
        <v/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46256.753102893519</v>
      </c>
      <c r="C12" t="str">
        <f t="shared" si="0"/>
        <v/>
      </c>
      <c r="H12" s="5" t="str">
        <f>IF(Tabla115[[#This Row],[Cantidad]] &gt; 0,CEILING(( Tabla115[[#This Row],[Cantidad]]*Tabla115[[#This Row],[Precio]]) - IF(ISNUMBER(FIND("x", LOWER(G12))), ( Tabla115[[#This Row],[Cantidad]]* Tabla115[[#This Row],[Precio]] * IF(ISNUMBER(FIND("aceite", LOWER(Tabla115[[#This Row],[Producto]]))), 0.05, 0.1)), 0), 0.5), "")</f>
        <v/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46256.753102893519</v>
      </c>
      <c r="C13" t="str">
        <f t="shared" si="0"/>
        <v/>
      </c>
      <c r="H13" s="5" t="str">
        <f>IF(Tabla115[[#This Row],[Cantidad]] &gt; 0,CEILING(( Tabla115[[#This Row],[Cantidad]]*Tabla115[[#This Row],[Precio]]) - IF(ISNUMBER(FIND("x", LOWER(G13))), ( Tabla115[[#This Row],[Cantidad]]* Tabla115[[#This Row],[Precio]] * IF(ISNUMBER(FIND("aceite", LOWER(Tabla115[[#This Row],[Producto]]))), 0.05, 0.1)), 0), 0.5), "")</f>
        <v/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46256.753102893519</v>
      </c>
      <c r="C14" t="str">
        <f t="shared" si="0"/>
        <v/>
      </c>
      <c r="H14" s="5" t="str">
        <f>IF(Tabla115[[#This Row],[Cantidad]] &gt; 0,CEILING(( Tabla115[[#This Row],[Cantidad]]*Tabla115[[#This Row],[Precio]]) - IF(ISNUMBER(FIND("x", LOWER(G14))), ( Tabla115[[#This Row],[Cantidad]]* Tabla115[[#This Row],[Precio]] * IF(ISNUMBER(FIND("aceite", LOWER(Tabla115[[#This Row],[Producto]]))), 0.05, 0.1)), 0), 0.5), "")</f>
        <v/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46256.753102893519</v>
      </c>
      <c r="C15" t="str">
        <f t="shared" si="0"/>
        <v/>
      </c>
      <c r="H15" s="5" t="str">
        <f>IF(Tabla115[[#This Row],[Cantidad]] &gt; 0,CEILING(( Tabla115[[#This Row],[Cantidad]]*Tabla115[[#This Row],[Precio]]) - IF(ISNUMBER(FIND("x", LOWER(G15))), ( Tabla115[[#This Row],[Cantidad]]* Tabla115[[#This Row],[Precio]] * IF(ISNUMBER(FIND("aceite", LOWER(Tabla115[[#This Row],[Producto]]))), 0.05, 0.1)), 0), 0.5), "")</f>
        <v/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46256.753102893519</v>
      </c>
      <c r="C16" t="str">
        <f t="shared" si="0"/>
        <v/>
      </c>
      <c r="H16" s="5" t="str">
        <f>IF(Tabla115[[#This Row],[Cantidad]] &gt; 0,CEILING(( Tabla115[[#This Row],[Cantidad]]*Tabla115[[#This Row],[Precio]]) - IF(ISNUMBER(FIND("x", LOWER(G16))), ( Tabla115[[#This Row],[Cantidad]]* Tabla115[[#This Row],[Precio]] * IF(ISNUMBER(FIND("aceite", LOWER(Tabla115[[#This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46256.753102893519</v>
      </c>
      <c r="C17" t="str">
        <f t="shared" si="0"/>
        <v/>
      </c>
      <c r="H17" s="5" t="str">
        <f>IF(Tabla115[[#This Row],[Cantidad]] &gt; 0,CEILING(( Tabla115[[#This Row],[Cantidad]]*Tabla115[[#This Row],[Precio]]) - IF(ISNUMBER(FIND("x", LOWER(G17))), ( Tabla115[[#This Row],[Cantidad]]* Tabla115[[#This Row],[Precio]] * IF(ISNUMBER(FIND("aceite", LOWER(Tabla115[[#This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46256.753102893519</v>
      </c>
      <c r="C18" t="str">
        <f t="shared" si="0"/>
        <v/>
      </c>
      <c r="H18" s="5" t="str">
        <f>IF(Tabla115[[#This Row],[Cantidad]] &gt; 0,CEILING(( Tabla115[[#This Row],[Cantidad]]*Tabla115[[#This Row],[Precio]]) - IF(ISNUMBER(FIND("x", LOWER(G18))), ( Tabla115[[#This Row],[Cantidad]]* Tabla115[[#This Row],[Precio]] * IF(ISNUMBER(FIND("aceite", LOWER(Tabla115[[#This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46256.753102893519</v>
      </c>
      <c r="C19" t="str">
        <f t="shared" si="0"/>
        <v/>
      </c>
      <c r="H19" s="5" t="str">
        <f>IF(Tabla115[[#This Row],[Cantidad]] &gt; 0,CEILING(( Tabla115[[#This Row],[Cantidad]]*Tabla115[[#This Row],[Precio]]) - IF(ISNUMBER(FIND("x", LOWER(G19))), ( Tabla115[[#This Row],[Cantidad]]* Tabla115[[#This Row],[Precio]] * IF(ISNUMBER(FIND("aceite", LOWER(Tabla115[[#This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46256.753102893519</v>
      </c>
      <c r="C20" t="str">
        <f t="shared" si="0"/>
        <v/>
      </c>
      <c r="H20" s="5" t="str">
        <f>IF(Tabla115[[#This Row],[Cantidad]] &gt; 0,CEILING(( Tabla115[[#This Row],[Cantidad]]*Tabla115[[#This Row],[Precio]]) - IF(ISNUMBER(FIND("x", LOWER(G20))), ( Tabla115[[#This Row],[Cantidad]]* Tabla115[[#This Row],[Precio]] * IF(ISNUMBER(FIND("aceite", LOWER(Tabla115[[#This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46256.753102893519</v>
      </c>
      <c r="C21" t="str">
        <f t="shared" si="0"/>
        <v/>
      </c>
      <c r="H21" s="5" t="str">
        <f>IF(Tabla115[[#This Row],[Cantidad]] &gt; 0,CEILING(( Tabla115[[#This Row],[Cantidad]]*Tabla115[[#This Row],[Precio]]) - IF(ISNUMBER(FIND("x", LOWER(G21))), ( Tabla115[[#This Row],[Cantidad]]* Tabla115[[#This Row],[Precio]] * IF(ISNUMBER(FIND("aceite", LOWER(Tabla115[[#This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IF(Tabla115[[#This Row],[Cantidad]] &gt; 0,CEILING(( Tabla115[[#This Row],[Cantidad]]*Tabla115[[#This Row],[Precio]]) - IF(ISNUMBER(FIND("x", LOWER(G22))), ( Tabla115[[#This Row],[Cantidad]]* Tabla115[[#This Row],[Precio]] * IF(ISNUMBER(FIND("aceite", LOWER(Tabla115[[#This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46256.753102893519</v>
      </c>
      <c r="C23" t="str">
        <f t="shared" si="0"/>
        <v/>
      </c>
      <c r="H23" s="5" t="str">
        <f>IF(Tabla115[[#This Row],[Cantidad]] &gt; 0,CEILING(( Tabla115[[#This Row],[Cantidad]]*Tabla115[[#This Row],[Precio]]) - IF(ISNUMBER(FIND("x", LOWER(G23))), ( Tabla115[[#This Row],[Cantidad]]* Tabla115[[#This Row],[Precio]] * IF(ISNUMBER(FIND("aceite", LOWER(Tabla115[[#This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46256.753102893519</v>
      </c>
      <c r="C24" t="str">
        <f t="shared" si="0"/>
        <v/>
      </c>
      <c r="H24" s="5" t="str">
        <f>IF(Tabla115[[#This Row],[Cantidad]] &gt; 0,CEILING(( Tabla115[[#This Row],[Cantidad]]*Tabla115[[#This Row],[Precio]]) - IF(ISNUMBER(FIND("x", LOWER(G24))), ( Tabla115[[#This Row],[Cantidad]]* Tabla115[[#This Row],[Precio]] * IF(ISNUMBER(FIND("aceite", LOWER(Tabla115[[#This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46256.753102893519</v>
      </c>
      <c r="C25" t="str">
        <f t="shared" si="0"/>
        <v/>
      </c>
      <c r="H25" s="5" t="str">
        <f>IF(Tabla115[[#This Row],[Cantidad]] &gt; 0,CEILING(( Tabla115[[#This Row],[Cantidad]]*Tabla115[[#This Row],[Precio]]) - IF(ISNUMBER(FIND("x", LOWER(G25))), ( Tabla115[[#This Row],[Cantidad]]* Tabla115[[#This Row],[Precio]] * IF(ISNUMBER(FIND("aceite", LOWER(Tabla115[[#This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46256.753102893519</v>
      </c>
      <c r="C26" t="str">
        <f t="shared" si="0"/>
        <v/>
      </c>
      <c r="H26" s="5" t="str">
        <f>IF(Tabla115[[#This Row],[Cantidad]] &gt; 0,CEILING(( Tabla115[[#This Row],[Cantidad]]*Tabla115[[#This Row],[Precio]]) - IF(ISNUMBER(FIND("x", LOWER(G26))), ( Tabla115[[#This Row],[Cantidad]]* Tabla115[[#This Row],[Precio]] * IF(ISNUMBER(FIND("aceite", LOWER(Tabla115[[#This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>
        <f ca="1">IF(Tabla1[[#This Row],['#]]&lt;&gt;"", NOW(), "")</f>
        <v>46256.753102893519</v>
      </c>
      <c r="C27" t="str">
        <f t="shared" si="0"/>
        <v/>
      </c>
      <c r="H27" s="5" t="str">
        <f>IF(Tabla115[[#This Row],[Cantidad]] &gt; 0,CEILING(( Tabla115[[#This Row],[Cantidad]]*Tabla115[[#This Row],[Precio]]) - IF(ISNUMBER(FIND("x", LOWER(G27))), ( Tabla115[[#This Row],[Cantidad]]* Tabla115[[#This Row],[Precio]] * IF(ISNUMBER(FIND("aceite", LOWER(Tabla115[[#This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>
        <f ca="1">IF(Tabla1[[#This Row],['#]]&lt;&gt;"", NOW(), "")</f>
        <v>46256.753102893519</v>
      </c>
      <c r="C28" t="str">
        <f t="shared" si="0"/>
        <v/>
      </c>
      <c r="H28" s="5" t="str">
        <f>IF(Tabla115[[#This Row],[Cantidad]] &gt; 0,CEILING(( Tabla115[[#This Row],[Cantidad]]*Tabla115[[#This Row],[Precio]]) - IF(ISNUMBER(FIND("x", LOWER(G28))), ( Tabla115[[#This Row],[Cantidad]]* Tabla115[[#This Row],[Precio]] * IF(ISNUMBER(FIND("aceite", LOWER(Tabla115[[#This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>
        <f ca="1">IF(Tabla1[[#This Row],['#]]&lt;&gt;"", NOW(), "")</f>
        <v>46256.753102893519</v>
      </c>
      <c r="C29" t="str">
        <f t="shared" si="0"/>
        <v/>
      </c>
      <c r="H29" s="5" t="str">
        <f>IF(Tabla115[[#This Row],[Cantidad]] &gt; 0,CEILING(( Tabla115[[#This Row],[Cantidad]]*Tabla115[[#This Row],[Precio]]) - IF(ISNUMBER(FIND("x", LOWER(G29))), ( Tabla115[[#This Row],[Cantidad]]* Tabla115[[#This Row],[Precio]] * IF(ISNUMBER(FIND("aceite", LOWER(Tabla115[[#This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>
        <f ca="1">IF(Tabla1[[#This Row],['#]]&lt;&gt;"", NOW(), "")</f>
        <v>46256.753102893519</v>
      </c>
      <c r="C30" t="str">
        <f t="shared" si="0"/>
        <v/>
      </c>
      <c r="H30" s="5" t="str">
        <f>IF(Tabla115[[#This Row],[Cantidad]] &gt; 0,CEILING(( Tabla115[[#This Row],[Cantidad]]*Tabla115[[#This Row],[Precio]]) - IF(ISNUMBER(FIND("x", LOWER(G30))), ( Tabla115[[#This Row],[Cantidad]]* Tabla115[[#This Row],[Precio]] * IF(ISNUMBER(FIND("aceite", LOWER(Tabla115[[#This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>
        <f ca="1">IF(Tabla1[[#This Row],['#]]&lt;&gt;"", NOW(), "")</f>
        <v>46256.753102893519</v>
      </c>
      <c r="C31" t="str">
        <f t="shared" si="0"/>
        <v/>
      </c>
      <c r="H31" s="5" t="str">
        <f>IF(Tabla115[[#This Row],[Cantidad]] &gt; 0,CEILING(( Tabla115[[#This Row],[Cantidad]]*Tabla115[[#This Row],[Precio]]) - IF(ISNUMBER(FIND("x", LOWER(G31))), ( Tabla115[[#This Row],[Cantidad]]* Tabla115[[#This Row],[Precio]] * IF(ISNUMBER(FIND("aceite", LOWER(Tabla115[[#This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IF(Tabla115[[#This Row],[Cantidad]] &gt; 0,CEILING(( Tabla115[[#This Row],[Cantidad]]*Tabla115[[#This Row],[Precio]]) - IF(ISNUMBER(FIND("x", LOWER(G32))), ( Tabla115[[#This Row],[Cantidad]]* Tabla115[[#This Row],[Precio]] * IF(ISNUMBER(FIND("aceite", LOWER(Tabla115[[#This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IF(Tabla115[[#This Row],[Cantidad]] &gt; 0,CEILING(( Tabla115[[#This Row],[Cantidad]]*Tabla115[[#This Row],[Precio]]) - IF(ISNUMBER(FIND("x", LOWER(G33))), ( Tabla115[[#This Row],[Cantidad]]* Tabla115[[#This Row],[Precio]] * IF(ISNUMBER(FIND("aceite", LOWER(Tabla115[[#This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IF(Tabla115[[#This Row],[Cantidad]] &gt; 0,CEILING(( Tabla115[[#This Row],[Cantidad]]*Tabla115[[#This Row],[Precio]]) - IF(ISNUMBER(FIND("x", LOWER(G34))), ( Tabla115[[#This Row],[Cantidad]]* Tabla115[[#This Row],[Precio]] * IF(ISNUMBER(FIND("aceite", LOWER(Tabla115[[#This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IF(Tabla115[[#This Row],[Cantidad]] &gt; 0,CEILING(( Tabla115[[#This Row],[Cantidad]]*Tabla115[[#This Row],[Precio]]) - IF(ISNUMBER(FIND("x", LOWER(G35))), ( Tabla115[[#This Row],[Cantidad]]* Tabla115[[#This Row],[Precio]] * IF(ISNUMBER(FIND("aceite", LOWER(Tabla115[[#This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IF(Tabla115[[#This Row],[Cantidad]] &gt; 0,CEILING(( Tabla115[[#This Row],[Cantidad]]*Tabla115[[#This Row],[Precio]]) - IF(ISNUMBER(FIND("x", LOWER(G36))), ( Tabla115[[#This Row],[Cantidad]]* Tabla115[[#This Row],[Precio]] * IF(ISNUMBER(FIND("aceite", LOWER(Tabla115[[#This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IF(Tabla115[[#This Row],[Cantidad]] &gt; 0,CEILING(( Tabla115[[#This Row],[Cantidad]]*Tabla115[[#This Row],[Precio]]) - IF(ISNUMBER(FIND("x", LOWER(G37))), ( Tabla115[[#This Row],[Cantidad]]* Tabla115[[#This Row],[Precio]] * IF(ISNUMBER(FIND("aceite", LOWER(Tabla115[[#This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IF(Tabla115[[#This Row],[Cantidad]] &gt; 0,CEILING(( Tabla115[[#This Row],[Cantidad]]*Tabla115[[#This Row],[Precio]]) - IF(ISNUMBER(FIND("x", LOWER(G38))), ( Tabla115[[#This Row],[Cantidad]]* Tabla115[[#This Row],[Precio]] * IF(ISNUMBER(FIND("aceite", LOWER(Tabla115[[#This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IF(Tabla115[[#This Row],[Cantidad]] &gt; 0,CEILING(( Tabla115[[#This Row],[Cantidad]]*Tabla115[[#This Row],[Precio]]) - IF(ISNUMBER(FIND("x", LOWER(G39))), ( Tabla115[[#This Row],[Cantidad]]* Tabla115[[#This Row],[Precio]] * IF(ISNUMBER(FIND("aceite", LOWER(Tabla115[[#This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IF(Tabla115[[#This Row],[Cantidad]] &gt; 0,CEILING(( Tabla115[[#This Row],[Cantidad]]*Tabla115[[#This Row],[Precio]]) - IF(ISNUMBER(FIND("x", LOWER(G40))), ( Tabla115[[#This Row],[Cantidad]]* Tabla115[[#This Row],[Precio]] * IF(ISNUMBER(FIND("aceite", LOWER(Tabla115[[#This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IF(Tabla115[[#This Row],[Cantidad]] &gt; 0,CEILING(( Tabla115[[#This Row],[Cantidad]]*Tabla115[[#This Row],[Precio]]) - IF(ISNUMBER(FIND("x", LOWER(G41))), ( Tabla115[[#This Row],[Cantidad]]* Tabla115[[#This Row],[Precio]] * IF(ISNUMBER(FIND("aceite", LOWER(Tabla115[[#This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IF(Tabla115[[#This Row],[Cantidad]] &gt; 0,CEILING(( Tabla115[[#This Row],[Cantidad]]*Tabla115[[#This Row],[Precio]]) - IF(ISNUMBER(FIND("x", LOWER(G42))), ( Tabla115[[#This Row],[Cantidad]]* Tabla115[[#This Row],[Precio]] * IF(ISNUMBER(FIND("aceite", LOWER(Tabla115[[#This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IF(Tabla115[[#This Row],[Cantidad]] &gt; 0,CEILING(( Tabla115[[#This Row],[Cantidad]]*Tabla115[[#This Row],[Precio]]) - IF(ISNUMBER(FIND("x", LOWER(G43))), ( Tabla115[[#This Row],[Cantidad]]* Tabla115[[#This Row],[Precio]] * IF(ISNUMBER(FIND("aceite", LOWER(Tabla115[[#This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IF(Tabla115[[#This Row],[Cantidad]] &gt; 0,CEILING(( Tabla115[[#This Row],[Cantidad]]*Tabla115[[#This Row],[Precio]]) - IF(ISNUMBER(FIND("x", LOWER(G44))), ( Tabla115[[#This Row],[Cantidad]]* Tabla115[[#This Row],[Precio]] * IF(ISNUMBER(FIND("aceite", LOWER(Tabla115[[#This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IF(Tabla115[[#This Row],[Cantidad]] &gt; 0,CEILING(( Tabla115[[#This Row],[Cantidad]]*Tabla115[[#This Row],[Precio]]) - IF(ISNUMBER(FIND("x", LOWER(G45))), ( Tabla115[[#This Row],[Cantidad]]* Tabla115[[#This Row],[Precio]] * IF(ISNUMBER(FIND("aceite", LOWER(Tabla115[[#This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IF(Tabla115[[#This Row],[Cantidad]] &gt; 0,CEILING(( Tabla115[[#This Row],[Cantidad]]*Tabla115[[#This Row],[Precio]]) - IF(ISNUMBER(FIND("x", LOWER(G46))), ( Tabla115[[#This Row],[Cantidad]]* Tabla115[[#This Row],[Precio]] * IF(ISNUMBER(FIND("aceite", LOWER(Tabla115[[#This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IF(Tabla115[[#This Row],[Cantidad]] &gt; 0,CEILING(( Tabla115[[#This Row],[Cantidad]]*Tabla115[[#This Row],[Precio]]) - IF(ISNUMBER(FIND("x", LOWER(G47))), ( Tabla115[[#This Row],[Cantidad]]* Tabla115[[#This Row],[Precio]] * IF(ISNUMBER(FIND("aceite", LOWER(Tabla115[[#This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IF(Tabla115[[#This Row],[Cantidad]] &gt; 0,CEILING(( Tabla115[[#This Row],[Cantidad]]*Tabla115[[#This Row],[Precio]]) - IF(ISNUMBER(FIND("x", LOWER(G48))), ( Tabla115[[#This Row],[Cantidad]]* Tabla115[[#This Row],[Precio]] * IF(ISNUMBER(FIND("aceite", LOWER(Tabla115[[#This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IF(Tabla115[[#This Row],[Cantidad]] &gt; 0,CEILING(( Tabla115[[#This Row],[Cantidad]]*Tabla115[[#This Row],[Precio]]) - IF(ISNUMBER(FIND("x", LOWER(G49))), ( Tabla115[[#This Row],[Cantidad]]* Tabla115[[#This Row],[Precio]] * IF(ISNUMBER(FIND("aceite", LOWER(Tabla115[[#This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IF(Tabla115[[#This Row],[Cantidad]] &gt; 0,CEILING(( Tabla115[[#This Row],[Cantidad]]*Tabla115[[#This Row],[Precio]]) - IF(ISNUMBER(FIND("x", LOWER(G50))), ( Tabla115[[#This Row],[Cantidad]]* Tabla115[[#This Row],[Precio]] * IF(ISNUMBER(FIND("aceite", LOWER(Tabla115[[#This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IF(Tabla115[[#This Row],[Cantidad]] &gt; 0,CEILING(( Tabla115[[#This Row],[Cantidad]]*Tabla115[[#This Row],[Precio]]) - IF(ISNUMBER(FIND("x", LOWER(G51))), ( Tabla115[[#This Row],[Cantidad]]* Tabla115[[#This Row],[Precio]] * IF(ISNUMBER(FIND("aceite", LOWER(Tabla115[[#This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IF(Tabla115[[#This Row],[Cantidad]] &gt; 0,CEILING(( Tabla115[[#This Row],[Cantidad]]*Tabla115[[#This Row],[Precio]]) - IF(ISNUMBER(FIND("x", LOWER(G52))), ( Tabla115[[#This Row],[Cantidad]]* Tabla115[[#This Row],[Precio]] * IF(ISNUMBER(FIND("aceite", LOWER(Tabla115[[#This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IF(Tabla115[[#This Row],[Cantidad]] &gt; 0,CEILING(( Tabla115[[#This Row],[Cantidad]]*Tabla115[[#This Row],[Precio]]) - IF(ISNUMBER(FIND("x", LOWER(G53))), ( Tabla115[[#This Row],[Cantidad]]* Tabla115[[#This Row],[Precio]] * IF(ISNUMBER(FIND("aceite", LOWER(Tabla115[[#This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IF(Tabla115[[#This Row],[Cantidad]] &gt; 0,CEILING(( Tabla115[[#This Row],[Cantidad]]*Tabla115[[#This Row],[Precio]]) - IF(ISNUMBER(FIND("x", LOWER(G54))), ( Tabla115[[#This Row],[Cantidad]]* Tabla115[[#This Row],[Precio]] * IF(ISNUMBER(FIND("aceite", LOWER(Tabla115[[#This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IF(Tabla115[[#This Row],[Cantidad]] &gt; 0,CEILING(( Tabla115[[#This Row],[Cantidad]]*Tabla115[[#This Row],[Precio]]) - IF(ISNUMBER(FIND("x", LOWER(G55))), ( Tabla115[[#This Row],[Cantidad]]* Tabla115[[#This Row],[Precio]] * IF(ISNUMBER(FIND("aceite", LOWER(Tabla115[[#This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IF(Tabla115[[#This Row],[Cantidad]] &gt; 0,CEILING(( Tabla115[[#This Row],[Cantidad]]*Tabla115[[#This Row],[Precio]]) - IF(ISNUMBER(FIND("x", LOWER(G56))), ( Tabla115[[#This Row],[Cantidad]]* Tabla115[[#This Row],[Precio]] * IF(ISNUMBER(FIND("aceite", LOWER(Tabla115[[#This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IF(Tabla115[[#This Row],[Cantidad]] &gt; 0,CEILING(( Tabla115[[#This Row],[Cantidad]]*Tabla115[[#This Row],[Precio]]) - IF(ISNUMBER(FIND("x", LOWER(G57))), ( Tabla115[[#This Row],[Cantidad]]* Tabla115[[#This Row],[Precio]] * IF(ISNUMBER(FIND("aceite", LOWER(Tabla115[[#This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IF(Tabla115[[#This Row],[Cantidad]] &gt; 0,CEILING(( Tabla115[[#This Row],[Cantidad]]*Tabla115[[#This Row],[Precio]]) - IF(ISNUMBER(FIND("x", LOWER(G58))), ( Tabla115[[#This Row],[Cantidad]]* Tabla115[[#This Row],[Precio]] * IF(ISNUMBER(FIND("aceite", LOWER(Tabla115[[#This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IF(Tabla115[[#This Row],[Cantidad]] &gt; 0,CEILING(( Tabla115[[#This Row],[Cantidad]]*Tabla115[[#This Row],[Precio]]) - IF(ISNUMBER(FIND("x", LOWER(G59))), ( Tabla115[[#This Row],[Cantidad]]* Tabla115[[#This Row],[Precio]] * IF(ISNUMBER(FIND("aceite", LOWER(Tabla115[[#This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IF(Tabla115[[#This Row],[Cantidad]] &gt; 0,CEILING(( Tabla115[[#This Row],[Cantidad]]*Tabla115[[#This Row],[Precio]]) - IF(ISNUMBER(FIND("x", LOWER(G60))), ( Tabla115[[#This Row],[Cantidad]]* Tabla115[[#This Row],[Precio]] * IF(ISNUMBER(FIND("aceite", LOWER(Tabla115[[#This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IF(Tabla115[[#This Row],[Cantidad]] &gt; 0,CEILING(( Tabla115[[#This Row],[Cantidad]]*Tabla115[[#This Row],[Precio]]) - IF(ISNUMBER(FIND("x", LOWER(G61))), ( Tabla115[[#This Row],[Cantidad]]* Tabla115[[#This Row],[Precio]] * IF(ISNUMBER(FIND("aceite", LOWER(Tabla115[[#This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IF(Tabla115[[#This Row],[Cantidad]] &gt; 0,CEILING(( Tabla115[[#This Row],[Cantidad]]*Tabla115[[#This Row],[Precio]]) - IF(ISNUMBER(FIND("x", LOWER(G62))), ( Tabla115[[#This Row],[Cantidad]]* Tabla115[[#This Row],[Precio]] * IF(ISNUMBER(FIND("aceite", LOWER(Tabla115[[#This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IF(Tabla115[[#This Row],[Cantidad]] &gt; 0,CEILING(( Tabla115[[#This Row],[Cantidad]]*Tabla115[[#This Row],[Precio]]) - IF(ISNUMBER(FIND("x", LOWER(G63))), ( Tabla115[[#This Row],[Cantidad]]* Tabla115[[#This Row],[Precio]] * IF(ISNUMBER(FIND("aceite", LOWER(Tabla115[[#This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IF(Tabla115[[#This Row],[Cantidad]] &gt; 0,CEILING(( Tabla115[[#This Row],[Cantidad]]*Tabla115[[#This Row],[Precio]]) - IF(ISNUMBER(FIND("x", LOWER(G64))), ( Tabla115[[#This Row],[Cantidad]]* Tabla115[[#This Row],[Precio]] * IF(ISNUMBER(FIND("aceite", LOWER(Tabla115[[#This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IF(Tabla115[[#This Row],[Cantidad]] &gt; 0,CEILING(( Tabla115[[#This Row],[Cantidad]]*Tabla115[[#This Row],[Precio]]) - IF(ISNUMBER(FIND("x", LOWER(G65))), ( Tabla115[[#This Row],[Cantidad]]* Tabla115[[#This Row],[Precio]] * IF(ISNUMBER(FIND("aceite", LOWER(Tabla115[[#This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IF(Tabla115[[#This Row],[Cantidad]] &gt; 0,CEILING(( Tabla115[[#This Row],[Cantidad]]*Tabla115[[#This Row],[Precio]]) - IF(ISNUMBER(FIND("x", LOWER(G66))), ( Tabla115[[#This Row],[Cantidad]]* Tabla115[[#This Row],[Precio]] * IF(ISNUMBER(FIND("aceite", LOWER(Tabla115[[#This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IF(Tabla115[[#This Row],[Cantidad]] &gt; 0,CEILING(( Tabla115[[#This Row],[Cantidad]]*Tabla115[[#This Row],[Precio]]) - IF(ISNUMBER(FIND("x", LOWER(G67))), ( Tabla115[[#This Row],[Cantidad]]* Tabla115[[#This Row],[Precio]] * IF(ISNUMBER(FIND("aceite", LOWER(Tabla115[[#This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IF(Tabla115[[#This Row],[Cantidad]] &gt; 0,CEILING(( Tabla115[[#This Row],[Cantidad]]*Tabla115[[#This Row],[Precio]]) - IF(ISNUMBER(FIND("x", LOWER(G68))), ( Tabla115[[#This Row],[Cantidad]]* Tabla115[[#This Row],[Precio]] * IF(ISNUMBER(FIND("aceite", LOWER(Tabla115[[#This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IF(Tabla115[[#This Row],[Cantidad]] &gt; 0,CEILING(( Tabla115[[#This Row],[Cantidad]]*Tabla115[[#This Row],[Precio]]) - IF(ISNUMBER(FIND("x", LOWER(G69))), ( Tabla115[[#This Row],[Cantidad]]* Tabla115[[#This Row],[Precio]] * IF(ISNUMBER(FIND("aceite", LOWER(Tabla115[[#This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IF(Tabla115[[#This Row],[Cantidad]] &gt; 0,CEILING(( Tabla115[[#This Row],[Cantidad]]*Tabla115[[#This Row],[Precio]]) - IF(ISNUMBER(FIND("x", LOWER(G70))), ( Tabla115[[#This Row],[Cantidad]]* Tabla115[[#This Row],[Precio]] * IF(ISNUMBER(FIND("aceite", LOWER(Tabla115[[#This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IF(Tabla115[[#This Row],[Cantidad]] &gt; 0,CEILING(( Tabla115[[#This Row],[Cantidad]]*Tabla115[[#This Row],[Precio]]) - IF(ISNUMBER(FIND("x", LOWER(G71))), ( Tabla115[[#This Row],[Cantidad]]* Tabla115[[#This Row],[Precio]] * IF(ISNUMBER(FIND("aceite", LOWER(Tabla115[[#This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IF(Tabla115[[#This Row],[Cantidad]] &gt; 0,CEILING(( Tabla115[[#This Row],[Cantidad]]*Tabla115[[#This Row],[Precio]]) - IF(ISNUMBER(FIND("x", LOWER(G72))), ( Tabla115[[#This Row],[Cantidad]]* Tabla115[[#This Row],[Precio]] * IF(ISNUMBER(FIND("aceite", LOWER(Tabla115[[#This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IF(Tabla115[[#This Row],[Cantidad]] &gt; 0,CEILING(( Tabla115[[#This Row],[Cantidad]]*Tabla115[[#This Row],[Precio]]) - IF(ISNUMBER(FIND("x", LOWER(G73))), ( Tabla115[[#This Row],[Cantidad]]* Tabla115[[#This Row],[Precio]] * IF(ISNUMBER(FIND("aceite", LOWER(Tabla115[[#This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IF(Tabla115[[#This Row],[Cantidad]] &gt; 0,CEILING(( Tabla115[[#This Row],[Cantidad]]*Tabla115[[#This Row],[Precio]]) - IF(ISNUMBER(FIND("x", LOWER(G74))), ( Tabla115[[#This Row],[Cantidad]]* Tabla115[[#This Row],[Precio]] * IF(ISNUMBER(FIND("aceite", LOWER(Tabla115[[#This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IF(Tabla115[[#This Row],[Cantidad]] &gt; 0,CEILING(( Tabla115[[#This Row],[Cantidad]]*Tabla115[[#This Row],[Precio]]) - IF(ISNUMBER(FIND("x", LOWER(G75))), ( Tabla115[[#This Row],[Cantidad]]* Tabla115[[#This Row],[Precio]] * IF(ISNUMBER(FIND("aceite", LOWER(Tabla115[[#This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IF(Tabla115[[#This Row],[Cantidad]] &gt; 0,CEILING(( Tabla115[[#This Row],[Cantidad]]*Tabla115[[#This Row],[Precio]]) - IF(ISNUMBER(FIND("x", LOWER(G76))), ( Tabla115[[#This Row],[Cantidad]]* Tabla115[[#This Row],[Precio]] * IF(ISNUMBER(FIND("aceite", LOWER(Tabla115[[#This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IF(Tabla115[[#This Row],[Cantidad]] &gt; 0,CEILING(( Tabla115[[#This Row],[Cantidad]]*Tabla115[[#This Row],[Precio]]) - IF(ISNUMBER(FIND("x", LOWER(G77))), ( Tabla115[[#This Row],[Cantidad]]* Tabla115[[#This Row],[Precio]] * IF(ISNUMBER(FIND("aceite", LOWER(Tabla115[[#This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IF(Tabla115[[#This Row],[Cantidad]] &gt; 0,CEILING(( Tabla115[[#This Row],[Cantidad]]*Tabla115[[#This Row],[Precio]]) - IF(ISNUMBER(FIND("x", LOWER(G78))), ( Tabla115[[#This Row],[Cantidad]]* Tabla115[[#This Row],[Precio]] * IF(ISNUMBER(FIND("aceite", LOWER(Tabla115[[#This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IF(Tabla115[[#This Row],[Cantidad]] &gt; 0,CEILING(( Tabla115[[#This Row],[Cantidad]]*Tabla115[[#This Row],[Precio]]) - IF(ISNUMBER(FIND("x", LOWER(G79))), ( Tabla115[[#This Row],[Cantidad]]* Tabla115[[#This Row],[Precio]] * IF(ISNUMBER(FIND("aceite", LOWER(Tabla115[[#This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IF(Tabla115[[#This Row],[Cantidad]] &gt; 0,CEILING(( Tabla115[[#This Row],[Cantidad]]*Tabla115[[#This Row],[Precio]]) - IF(ISNUMBER(FIND("x", LOWER(G80))), ( Tabla115[[#This Row],[Cantidad]]* Tabla115[[#This Row],[Precio]] * IF(ISNUMBER(FIND("aceite", LOWER(Tabla115[[#This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IF(Tabla115[[#This Row],[Cantidad]] &gt; 0,CEILING(( Tabla115[[#This Row],[Cantidad]]*Tabla115[[#This Row],[Precio]]) - IF(ISNUMBER(FIND("x", LOWER(G81))), ( Tabla115[[#This Row],[Cantidad]]* Tabla115[[#This Row],[Precio]] * IF(ISNUMBER(FIND("aceite", LOWER(Tabla115[[#This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IF(Tabla115[[#This Row],[Cantidad]] &gt; 0,CEILING(( Tabla115[[#This Row],[Cantidad]]*Tabla115[[#This Row],[Precio]]) - IF(ISNUMBER(FIND("x", LOWER(G82))), ( Tabla115[[#This Row],[Cantidad]]* Tabla115[[#This Row],[Precio]] * IF(ISNUMBER(FIND("aceite", LOWER(Tabla115[[#This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IF(Tabla115[[#This Row],[Cantidad]] &gt; 0,CEILING(( Tabla115[[#This Row],[Cantidad]]*Tabla115[[#This Row],[Precio]]) - IF(ISNUMBER(FIND("x", LOWER(G83))), ( Tabla115[[#This Row],[Cantidad]]* Tabla115[[#This Row],[Precio]] * IF(ISNUMBER(FIND("aceite", LOWER(Tabla115[[#This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IF(Tabla115[[#This Row],[Cantidad]] &gt; 0,CEILING(( Tabla115[[#This Row],[Cantidad]]*Tabla115[[#This Row],[Precio]]) - IF(ISNUMBER(FIND("x", LOWER(G84))), ( Tabla115[[#This Row],[Cantidad]]* Tabla115[[#This Row],[Precio]] * IF(ISNUMBER(FIND("aceite", LOWER(Tabla115[[#This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IF(Tabla115[[#This Row],[Cantidad]] &gt; 0,CEILING(( Tabla115[[#This Row],[Cantidad]]*Tabla115[[#This Row],[Precio]]) - IF(ISNUMBER(FIND("x", LOWER(G85))), ( Tabla115[[#This Row],[Cantidad]]* Tabla115[[#This Row],[Precio]] * IF(ISNUMBER(FIND("aceite", LOWER(Tabla115[[#This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IF(Tabla115[[#This Row],[Cantidad]] &gt; 0,CEILING(( Tabla115[[#This Row],[Cantidad]]*Tabla115[[#This Row],[Precio]]) - IF(ISNUMBER(FIND("x", LOWER(G86))), ( Tabla115[[#This Row],[Cantidad]]* Tabla115[[#This Row],[Precio]] * IF(ISNUMBER(FIND("aceite", LOWER(Tabla115[[#This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IF(Tabla115[[#This Row],[Cantidad]] &gt; 0,CEILING(( Tabla115[[#This Row],[Cantidad]]*Tabla115[[#This Row],[Precio]]) - IF(ISNUMBER(FIND("x", LOWER(G87))), ( Tabla115[[#This Row],[Cantidad]]* Tabla115[[#This Row],[Precio]] * IF(ISNUMBER(FIND("aceite", LOWER(Tabla115[[#This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IF(Tabla115[[#This Row],[Cantidad]] &gt; 0,CEILING(( Tabla115[[#This Row],[Cantidad]]*Tabla115[[#This Row],[Precio]]) - IF(ISNUMBER(FIND("x", LOWER(G88))), ( Tabla115[[#This Row],[Cantidad]]* Tabla115[[#This Row],[Precio]] * IF(ISNUMBER(FIND("aceite", LOWER(Tabla115[[#This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IF(Tabla115[[#This Row],[Cantidad]] &gt; 0,CEILING(( Tabla115[[#This Row],[Cantidad]]*Tabla115[[#This Row],[Precio]]) - IF(ISNUMBER(FIND("x", LOWER(G89))), ( Tabla115[[#This Row],[Cantidad]]* Tabla115[[#This Row],[Precio]] * IF(ISNUMBER(FIND("aceite", LOWER(Tabla115[[#This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IF(Tabla115[[#This Row],[Cantidad]] &gt; 0,CEILING(( Tabla115[[#This Row],[Cantidad]]*Tabla115[[#This Row],[Precio]]) - IF(ISNUMBER(FIND("x", LOWER(G90))), ( Tabla115[[#This Row],[Cantidad]]* Tabla115[[#This Row],[Precio]] * IF(ISNUMBER(FIND("aceite", LOWER(Tabla115[[#This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IF(Tabla115[[#This Row],[Cantidad]] &gt; 0,CEILING(( Tabla115[[#This Row],[Cantidad]]*Tabla115[[#This Row],[Precio]]) - IF(ISNUMBER(FIND("x", LOWER(G91))), ( Tabla115[[#This Row],[Cantidad]]* Tabla115[[#This Row],[Precio]] * IF(ISNUMBER(FIND("aceite", LOWER(Tabla115[[#This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IF(Tabla115[[#This Row],[Cantidad]] &gt; 0,CEILING(( Tabla115[[#This Row],[Cantidad]]*Tabla115[[#This Row],[Precio]]) - IF(ISNUMBER(FIND("x", LOWER(G92))), ( Tabla115[[#This Row],[Cantidad]]* Tabla115[[#This Row],[Precio]] * IF(ISNUMBER(FIND("aceite", LOWER(Tabla115[[#This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IF(Tabla115[[#This Row],[Cantidad]] &gt; 0,CEILING(( Tabla115[[#This Row],[Cantidad]]*Tabla115[[#This Row],[Precio]]) - IF(ISNUMBER(FIND("x", LOWER(G93))), ( Tabla115[[#This Row],[Cantidad]]* Tabla115[[#This Row],[Precio]] * IF(ISNUMBER(FIND("aceite", LOWER(Tabla115[[#This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IF(Tabla115[[#This Row],[Cantidad]] &gt; 0,CEILING(( Tabla115[[#This Row],[Cantidad]]*Tabla115[[#This Row],[Precio]]) - IF(ISNUMBER(FIND("x", LOWER(G94))), ( Tabla115[[#This Row],[Cantidad]]* Tabla115[[#This Row],[Precio]] * IF(ISNUMBER(FIND("aceite", LOWER(Tabla115[[#This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IF(Tabla115[[#This Row],[Cantidad]] &gt; 0,CEILING(( Tabla115[[#This Row],[Cantidad]]*Tabla115[[#This Row],[Precio]]) - IF(ISNUMBER(FIND("x", LOWER(G95))), ( Tabla115[[#This Row],[Cantidad]]* Tabla115[[#This Row],[Precio]] * IF(ISNUMBER(FIND("aceite", LOWER(Tabla115[[#This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IF(Tabla115[[#This Row],[Cantidad]] &gt; 0,CEILING(( Tabla115[[#This Row],[Cantidad]]*Tabla115[[#This Row],[Precio]]) - IF(ISNUMBER(FIND("x", LOWER(G96))), ( Tabla115[[#This Row],[Cantidad]]* Tabla115[[#This Row],[Precio]] * IF(ISNUMBER(FIND("aceite", LOWER(Tabla115[[#This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IF(Tabla115[[#This Row],[Cantidad]] &gt; 0,CEILING(( Tabla115[[#This Row],[Cantidad]]*Tabla115[[#This Row],[Precio]]) - IF(ISNUMBER(FIND("x", LOWER(G97))), ( Tabla115[[#This Row],[Cantidad]]* Tabla115[[#This Row],[Precio]] * IF(ISNUMBER(FIND("aceite", LOWER(Tabla115[[#This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IF(Tabla115[[#This Row],[Cantidad]] &gt; 0,CEILING(( Tabla115[[#This Row],[Cantidad]]*Tabla115[[#This Row],[Precio]]) - IF(ISNUMBER(FIND("x", LOWER(G98))), ( Tabla115[[#This Row],[Cantidad]]* Tabla115[[#This Row],[Precio]] * IF(ISNUMBER(FIND("aceite", LOWER(Tabla115[[#This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IF(Tabla115[[#This Row],[Cantidad]] &gt; 0,CEILING(( Tabla115[[#This Row],[Cantidad]]*Tabla115[[#This Row],[Precio]]) - IF(ISNUMBER(FIND("x", LOWER(G99))), ( Tabla115[[#This Row],[Cantidad]]* Tabla115[[#This Row],[Precio]] * IF(ISNUMBER(FIND("aceite", LOWER(Tabla115[[#This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IF(Tabla115[[#This Row],[Cantidad]] &gt; 0,CEILING(( Tabla115[[#This Row],[Cantidad]]*Tabla115[[#This Row],[Precio]]) - IF(ISNUMBER(FIND("x", LOWER(G100))), ( Tabla115[[#This Row],[Cantidad]]* Tabla115[[#This Row],[Precio]] * IF(ISNUMBER(FIND("aceite", LOWER(Tabla115[[#This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IF(Tabla115[[#This Row],[Cantidad]] &gt; 0,CEILING(( Tabla115[[#This Row],[Cantidad]]*Tabla115[[#This Row],[Precio]]) - IF(ISNUMBER(FIND("x", LOWER(G101))), ( Tabla115[[#This Row],[Cantidad]]* Tabla115[[#This Row],[Precio]] * IF(ISNUMBER(FIND("aceite", LOWER(Tabla115[[#This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IF(Tabla115[[#This Row],[Cantidad]] &gt; 0,CEILING(( Tabla115[[#This Row],[Cantidad]]*Tabla115[[#This Row],[Precio]]) - IF(ISNUMBER(FIND("x", LOWER(G102))), ( Tabla115[[#This Row],[Cantidad]]* Tabla115[[#This Row],[Precio]] * IF(ISNUMBER(FIND("aceite", LOWER(Tabla115[[#This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IF(Tabla115[[#This Row],[Cantidad]] &gt; 0,CEILING(( Tabla115[[#This Row],[Cantidad]]*Tabla115[[#This Row],[Precio]]) - IF(ISNUMBER(FIND("x", LOWER(G103))), ( Tabla115[[#This Row],[Cantidad]]* Tabla115[[#This Row],[Precio]] * IF(ISNUMBER(FIND("aceite", LOWER(Tabla115[[#This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" priority="1">
      <formula>C5&gt;0&amp;ISBLANK(B5)</formula>
    </cfRule>
  </conditionalFormatting>
  <conditionalFormatting sqref="D5:D6">
    <cfRule type="expression" dxfId="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7"/>
  <sheetViews>
    <sheetView workbookViewId="0">
      <selection activeCell="B7" sqref="B7"/>
    </sheetView>
  </sheetViews>
  <sheetFormatPr baseColWidth="10" defaultRowHeight="15" x14ac:dyDescent="0.25"/>
  <cols>
    <col min="2" max="2" width="80.5703125" customWidth="1"/>
  </cols>
  <sheetData>
    <row r="3" spans="2:5" x14ac:dyDescent="0.25">
      <c r="B3" t="s">
        <v>8</v>
      </c>
      <c r="C3" t="s">
        <v>9</v>
      </c>
      <c r="D3" t="s">
        <v>10</v>
      </c>
    </row>
    <row r="4" spans="2:5" ht="30" x14ac:dyDescent="0.25">
      <c r="B4" s="4" t="s">
        <v>12</v>
      </c>
      <c r="C4" s="2">
        <v>45576</v>
      </c>
      <c r="D4" s="3">
        <v>1.1000000000000001</v>
      </c>
      <c r="E4" s="3"/>
    </row>
    <row r="5" spans="2:5" ht="45" x14ac:dyDescent="0.25">
      <c r="B5" s="7" t="s">
        <v>16</v>
      </c>
      <c r="C5" s="3" t="s">
        <v>13</v>
      </c>
      <c r="D5" s="3">
        <v>1.2</v>
      </c>
      <c r="E5" s="3"/>
    </row>
    <row r="6" spans="2:5" ht="30" x14ac:dyDescent="0.25">
      <c r="B6" s="7" t="s">
        <v>24</v>
      </c>
      <c r="C6" s="2">
        <v>45778</v>
      </c>
      <c r="D6" s="3">
        <v>1.3</v>
      </c>
      <c r="E6" s="3"/>
    </row>
    <row r="7" spans="2:5" x14ac:dyDescent="0.25">
      <c r="C7" s="3"/>
      <c r="D7" s="3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Lunes 17-08-26</vt:lpstr>
      <vt:lpstr>Martes 18-08-26</vt:lpstr>
      <vt:lpstr>Miercoles 19-08-26</vt:lpstr>
      <vt:lpstr>Jueves 20-08-26</vt:lpstr>
      <vt:lpstr>VIERNES 21 -08-26</vt:lpstr>
      <vt:lpstr>Sabado 22-08-26</vt:lpstr>
      <vt:lpstr>Domingo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2026-08-23T00:04:43Z</dcterms:modified>
</cp:coreProperties>
</file>