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996448A-9224-4B52-864C-E7D96C1EA058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0-08-26" sheetId="1" r:id="rId1"/>
    <sheet name="Martes 11-08-26" sheetId="2" r:id="rId2"/>
    <sheet name="Miercoles 12-08-26" sheetId="3" r:id="rId3"/>
    <sheet name="Jueves 13-08-26" sheetId="4" r:id="rId4"/>
    <sheet name="Viernes 14-08-26" sheetId="5" r:id="rId5"/>
    <sheet name=" SABADO15-08-26" sheetId="6" r:id="rId6"/>
    <sheet name="Domingo" sheetId="8" r:id="rId7"/>
    <sheet name="Cambios" sheetId="7" r:id="rId8"/>
  </sheets>
  <definedNames>
    <definedName name="_xlnm._FilterDatabase" localSheetId="0" hidden="1">'Lunes 10-08-26'!$B$4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6" i="6"/>
  <c r="C7" i="6" s="1"/>
  <c r="C8" i="6" s="1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7" i="5"/>
  <c r="C18" i="5" s="1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3" i="4"/>
  <c r="C14" i="4" s="1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<sst xmlns="http://schemas.openxmlformats.org/spreadsheetml/2006/main" count="364" uniqueCount="176">
  <si>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</si>
  <si>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</si>
  <si>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</si>
  <si>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</si>
  <si>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</si>
  <si>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</si>
  <si>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</si>
  <si>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</si>
  <si>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</si>
  <si>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</si>
  <si>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</si>
  <si>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</si>
  <si>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</si>
  <si>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</si>
  <si>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</si>
  <si>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</si>
  <si>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</si>
  <si>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</si>
  <si>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</si>
  <si>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</si>
  <si>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</si>
  <si>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</si>
  <si>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</si>
  <si>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</si>
  <si>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</si>
  <si>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10 DE AGOSTO-26</t>
  </si>
  <si>
    <t xml:space="preserve">PAGO A DANIEL </t>
  </si>
  <si>
    <t>RETEN DE BARRA FT150</t>
  </si>
  <si>
    <t>X</t>
  </si>
  <si>
    <t>PILA 12N7 3B</t>
  </si>
  <si>
    <t>SALPICADERA DM250</t>
  </si>
  <si>
    <t>CALAVERA DE DM250</t>
  </si>
  <si>
    <t>SWUITH DE 250Z</t>
  </si>
  <si>
    <t>NOTA 1</t>
  </si>
  <si>
    <t>ACEITE AKRON</t>
  </si>
  <si>
    <t>PILA QLINK YTX BS</t>
  </si>
  <si>
    <t xml:space="preserve">SEGURO DE CHABETA </t>
  </si>
  <si>
    <t>CAPUCHON DE BUJIA DS150</t>
  </si>
  <si>
    <t>CAPUCHON DE BUJIA FT150</t>
  </si>
  <si>
    <t>CENTRIFUJO DE 175</t>
  </si>
  <si>
    <t>DIRECCIONALES UNIVERSALES</t>
  </si>
  <si>
    <t xml:space="preserve">MANGUERA DE GASOLINA </t>
  </si>
  <si>
    <t>FILTRO DE AIRE WS175</t>
  </si>
  <si>
    <t xml:space="preserve">CUBREPUÑOS </t>
  </si>
  <si>
    <t>STIKER</t>
  </si>
  <si>
    <t>ACEITE REPSOL</t>
  </si>
  <si>
    <t xml:space="preserve">TOTAL </t>
  </si>
  <si>
    <t xml:space="preserve">CUENTA SEMANA PASADA $32963 MENOS $ 6113 DE PAGO A DANIEL,NOTA 1 Y DEL ACEITE AKRON QUEDA $26850 </t>
  </si>
  <si>
    <t>BOTON DE DIRECCIONAL</t>
  </si>
  <si>
    <t>BALATA DE TAMBOR DS150 WAPEMEX</t>
  </si>
  <si>
    <t xml:space="preserve">AUXILIAR DE BUHO </t>
  </si>
  <si>
    <t>BALATA DE DISCO DM200</t>
  </si>
  <si>
    <t>BARRA DE POSAPIE FT150</t>
  </si>
  <si>
    <t>REGULADOR DE DM200</t>
  </si>
  <si>
    <t>BALATA DE DISCO FT150</t>
  </si>
  <si>
    <t xml:space="preserve">FUSIBLE </t>
  </si>
  <si>
    <t>CHICOTE DE ACELERADOR HONDA CARGO</t>
  </si>
  <si>
    <t>CADENA 428 X 136</t>
  </si>
  <si>
    <t xml:space="preserve">GUANTES AZULES </t>
  </si>
  <si>
    <t>Martes 11 DE AGOSTO-26</t>
  </si>
  <si>
    <t>RED DE ACIENTO UNIVERSAL</t>
  </si>
  <si>
    <t>PASTAS DE CLUTH GTS175</t>
  </si>
  <si>
    <t xml:space="preserve">CINTA DE AISLAR GRANDE </t>
  </si>
  <si>
    <t>BRAZO DE DIRECION ATV 150 PAR</t>
  </si>
  <si>
    <t>MANDO DERECHO DM200</t>
  </si>
  <si>
    <t xml:space="preserve">ACEITE DIKAL </t>
  </si>
  <si>
    <t>PASTAS DE CLUTH FT150</t>
  </si>
  <si>
    <t>CHICOTE DE ACELERADOR FT150</t>
  </si>
  <si>
    <t>FABULLOSO</t>
  </si>
  <si>
    <t>CAMARA 120-80-18</t>
  </si>
  <si>
    <t>CINTA DE RUEDA UNIVERSAL</t>
  </si>
  <si>
    <t>CHICOTE UNIVERSAL CLUTH</t>
  </si>
  <si>
    <t>PROTECTOR NEGRO PARA CALZADO</t>
  </si>
  <si>
    <t>GOMA PROTECTORA DEL TANQUE</t>
  </si>
  <si>
    <t xml:space="preserve">ANTICONGELANTE </t>
  </si>
  <si>
    <t xml:space="preserve">ACEITE AKRON </t>
  </si>
  <si>
    <t>PASTAS DE DISCO ATV ITALIKA</t>
  </si>
  <si>
    <t>SELLO DE ESCAPE DS150</t>
  </si>
  <si>
    <t xml:space="preserve">PEDIDO NASAKI </t>
  </si>
  <si>
    <t xml:space="preserve">HARNES 4 PINES </t>
  </si>
  <si>
    <t xml:space="preserve">ACEITE YAMALUBE </t>
  </si>
  <si>
    <t>FILTRO DE AIRE WS150</t>
  </si>
  <si>
    <t xml:space="preserve">FUSIBLES </t>
  </si>
  <si>
    <t>TIRAS LED ROJAS</t>
  </si>
  <si>
    <t>BUJIA D8</t>
  </si>
  <si>
    <t>BUJE DE PLASTICO</t>
  </si>
  <si>
    <t>CUENTA DE AYER $ 26850 MENOS $ 2559 DE PEDIDO DE NASAKI Y FABULOSO QUEDA $ 24291</t>
  </si>
  <si>
    <t>Miercoles 12 DE AGOSTO-26</t>
  </si>
  <si>
    <t>ANAQUELES</t>
  </si>
  <si>
    <t>ESTATOR DE DS150</t>
  </si>
  <si>
    <t xml:space="preserve">SWUITH UNIVERSAL </t>
  </si>
  <si>
    <t>BUJIA C7</t>
  </si>
  <si>
    <t xml:space="preserve">FILTRO DE GASOLINA CARTON </t>
  </si>
  <si>
    <t>ACEITE MOTUL 7100-10W-40</t>
  </si>
  <si>
    <t>CHICOTE DE ACELERADOR FT125</t>
  </si>
  <si>
    <t xml:space="preserve">CINTA </t>
  </si>
  <si>
    <t xml:space="preserve">SEGURO MEGA </t>
  </si>
  <si>
    <t>BALATA DE SEROTE CRUZADO CHICO</t>
  </si>
  <si>
    <t>BIRLOS DE SPROKET FT150</t>
  </si>
  <si>
    <t>RODILLOS DE DS150</t>
  </si>
  <si>
    <t>PILA 6.5 DE WAPEMEX</t>
  </si>
  <si>
    <t xml:space="preserve">BANDA 835-20-30 </t>
  </si>
  <si>
    <t>FILTRO DE AIRE DM200</t>
  </si>
  <si>
    <t>CUENTA DE SEMANA PASADA $ 24291 MENOS $ 2330 DE ANAQUELES Y CINTA CANELA QUEDA $ 21961</t>
  </si>
  <si>
    <t>TORNILLOS</t>
  </si>
  <si>
    <t>Jueves 13 DE AGOSTO-26</t>
  </si>
  <si>
    <t>PDANIEL</t>
  </si>
  <si>
    <t>LUNES 10 DE AGOSTO-26</t>
  </si>
  <si>
    <t>AAKRON</t>
  </si>
  <si>
    <t>FABULOSO</t>
  </si>
  <si>
    <t>MARTES 11 DE AGOSTO-26</t>
  </si>
  <si>
    <t>P.NASAKI</t>
  </si>
  <si>
    <t>Viernes 14 DE AGOSTO-26</t>
  </si>
  <si>
    <t>ANAQUEL</t>
  </si>
  <si>
    <t>MIERCOLES 12 DE AGOSTO-26</t>
  </si>
  <si>
    <t>DIKAL</t>
  </si>
  <si>
    <t>JUEVES 13 DE AGOSTO-26</t>
  </si>
  <si>
    <t>PAGOYAS</t>
  </si>
  <si>
    <t>VIERNES 14 DE AGOSTO-26</t>
  </si>
  <si>
    <t xml:space="preserve">TOTAL DE EGRESOS </t>
  </si>
  <si>
    <t xml:space="preserve">LLANTA DE CUATRIMOTO </t>
  </si>
  <si>
    <t xml:space="preserve">TIRAS LED AZULES </t>
  </si>
  <si>
    <t>TIRAS LED VERDES</t>
  </si>
  <si>
    <t xml:space="preserve">PUÑOS NEGROS </t>
  </si>
  <si>
    <t>GUANTES DE PROMOTO</t>
  </si>
  <si>
    <t xml:space="preserve">RESORTE DE PARADOR </t>
  </si>
  <si>
    <t xml:space="preserve">SEGURO DE CADENA </t>
  </si>
  <si>
    <t xml:space="preserve">CADENA </t>
  </si>
  <si>
    <t>BIRLOS DE MASA FT150</t>
  </si>
  <si>
    <t>BALERO 6204</t>
  </si>
  <si>
    <t>ACEITE DIKAL</t>
  </si>
  <si>
    <t>SWUITH DE WS150</t>
  </si>
  <si>
    <t>BALATA DE ATV</t>
  </si>
  <si>
    <t>CUENTA DE AYER $ 21961 MENOS $ 840 DE LUBRICANTE DE CADENA QUEDA $21121</t>
  </si>
  <si>
    <t>JUNTA DE CILINDRO</t>
  </si>
  <si>
    <t>GUIAS DE CADENA DS150</t>
  </si>
  <si>
    <t>BALERO 6300</t>
  </si>
  <si>
    <t>CHCICOTE DE CLUTH UNIVERSAL</t>
  </si>
  <si>
    <t>FILTRO DE ALTO FLUJO UNIVERSAL</t>
  </si>
  <si>
    <t>BUJIA C9</t>
  </si>
  <si>
    <t>FILTROD E ACEI FZ16</t>
  </si>
  <si>
    <t xml:space="preserve">BALATA DE LA HONDA </t>
  </si>
  <si>
    <t>SWUITH DE RC200 ITALIKA SOLO</t>
  </si>
  <si>
    <t>TORNILLO</t>
  </si>
  <si>
    <t>CAMARA 90-90-21</t>
  </si>
  <si>
    <t>BIRLOS DE DS150 ESCAPE</t>
  </si>
  <si>
    <t>LLANTA 120-90-17</t>
  </si>
  <si>
    <t>CAMARA 110-90-17</t>
  </si>
  <si>
    <t>PORTA CELULAR</t>
  </si>
  <si>
    <t>MANUBRIO 3 PIEZAS NEGRO</t>
  </si>
  <si>
    <t>FILTRO DE GASOLINA CARTON</t>
  </si>
  <si>
    <t>BANDA 835-20-30</t>
  </si>
  <si>
    <t>RESBALON DE CENTRIFUJO DS150</t>
  </si>
  <si>
    <t xml:space="preserve">FILTRO DE GASOLINA PIEDRA </t>
  </si>
  <si>
    <t>SWITH ENCENDIDO UNIVERSAL</t>
  </si>
  <si>
    <t>LUBRICANTE DE CADENA AXPRO</t>
  </si>
  <si>
    <r>
      <rPr>
        <b/>
        <sz val="14"/>
        <color theme="1"/>
        <rFont val="Calibri"/>
        <family val="2"/>
        <scheme val="minor"/>
      </rPr>
      <t xml:space="preserve">CORTES DE LA SEMANA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10 DE AGOSTO-26             $32963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$4554           MENOS $13342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11 DE AGOSTO-26        $19621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$ 2507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12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$3079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13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$884.5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14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$2908.5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$13933
TOTAL EN CAJA $33554 </t>
    </r>
  </si>
  <si>
    <t>Sabado 15 DE AGOSTO-26</t>
  </si>
  <si>
    <t>ALESSIA</t>
  </si>
  <si>
    <t>BALATA DE TAMBOR FT150</t>
  </si>
  <si>
    <t xml:space="preserve">BALATA DE PULSAR </t>
  </si>
  <si>
    <t>POSAPIE TRASEROS 250Z ALESSIA</t>
  </si>
  <si>
    <t>PROTECTOR DE CALZADO</t>
  </si>
  <si>
    <t>RED PARA CASCO ROJO ALESSIA</t>
  </si>
  <si>
    <t>CHCICOTE DE FRENO DELANTERO FT125</t>
  </si>
  <si>
    <t>BALATA DE TAMBOR CHICO CS150 WAPEMEX</t>
  </si>
  <si>
    <t xml:space="preserve">AUXILIAR DE BUHO SOLO ES 1 </t>
  </si>
  <si>
    <t>CHCICOTE DE ACELERADOR FT125</t>
  </si>
  <si>
    <t>POSAIE TRASERO IZQUIERDO 250Z</t>
  </si>
  <si>
    <t>AMORTIGUADOR TRASERO FT150</t>
  </si>
  <si>
    <t>PASTAS DE CLUTH DE FZ16</t>
  </si>
  <si>
    <t>REGULADOR DE DS150</t>
  </si>
  <si>
    <t>TENSOR DE CADENA FT125</t>
  </si>
  <si>
    <t>DIRECCIONAL UNIVERSAL WAPEMEX</t>
  </si>
  <si>
    <t xml:space="preserve">CALIPER TRASERO DE 250Z </t>
  </si>
  <si>
    <t>CUENTA SEMANA DE AYER $ 33554 MENOS 5632 DE PEDIDO DE ALESSIA QUEDA $27922
CUENTA DE HOY SABADO$ CUENTA DE HOY SABADO $ 3331 MENOS $ 300 DE PAGO DE YAS QUEDA $ 3031 MAS LO DE CAJA $ 27922
TOTAL EN CAJA $ 30953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</si>
</sst>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4554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28</v>
      </c>
      <c r="M4" s="23" t="s">
        <v>47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46249.786078703706</v>
      </c>
      <c r="C5">
        <f>IF(ISNUMBER(E5), IF(ISNUMBER(C4), C4+1, 1), "")</f>
        <v>1</v>
      </c>
      <c r="D5" t="s">
        <v>27</v>
      </c>
      <c r="E5">
        <v>1</v>
      </c>
      <c r="F5">
        <v>38</v>
      </c>
      <c r="G5" t="s">
        <v>28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34.5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46249.786078703706</v>
      </c>
      <c r="C6">
        <f t="shared" ref="C6:C36" si="0">IF(ISNUMBER(E6), IF(ISNUMBER(C5), C5+1, 1), "")</f>
        <v>2</v>
      </c>
      <c r="D6" t="s">
        <v>29</v>
      </c>
      <c r="E6">
        <v>1</v>
      </c>
      <c r="F6">
        <v>556</v>
      </c>
      <c r="G6" t="s">
        <v>28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500.5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46249.786078703706</v>
      </c>
      <c r="C7">
        <f t="shared" si="0"/>
        <v>3</v>
      </c>
      <c r="D7" t="s">
        <v>30</v>
      </c>
      <c r="E7">
        <v>1</v>
      </c>
      <c r="F7">
        <v>350</v>
      </c>
      <c r="G7" t="s">
        <v>28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315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46249.786078703706</v>
      </c>
      <c r="C8">
        <f t="shared" si="0"/>
        <v>4</v>
      </c>
      <c r="D8" t="s">
        <v>31</v>
      </c>
      <c r="E8">
        <v>1</v>
      </c>
      <c r="F8">
        <v>162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162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46249.786078703706</v>
      </c>
      <c r="C9">
        <f t="shared" si="0"/>
        <v>5</v>
      </c>
      <c r="D9" t="s">
        <v>32</v>
      </c>
      <c r="E9">
        <v>1</v>
      </c>
      <c r="F9">
        <v>700</v>
      </c>
      <c r="G9" t="s">
        <v>28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630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46249.786078703706</v>
      </c>
      <c r="C10">
        <f t="shared" si="0"/>
        <v>6</v>
      </c>
      <c r="D10" t="s">
        <v>35</v>
      </c>
      <c r="E10">
        <v>1</v>
      </c>
      <c r="F10">
        <v>590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590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46249.786078703706</v>
      </c>
      <c r="C11">
        <f t="shared" si="0"/>
        <v>7</v>
      </c>
      <c r="D11" t="s">
        <v>36</v>
      </c>
      <c r="E11">
        <v>3</v>
      </c>
      <c r="F11">
        <v>6</v>
      </c>
      <c r="G11" t="s">
        <v>28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16.5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46249.786078703706</v>
      </c>
      <c r="C12">
        <f t="shared" si="0"/>
        <v>8</v>
      </c>
      <c r="D12" t="s">
        <v>39</v>
      </c>
      <c r="E12">
        <v>1</v>
      </c>
      <c r="F12">
        <v>390</v>
      </c>
      <c r="G12" t="s">
        <v>28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351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46249.786078703706</v>
      </c>
      <c r="C13">
        <f t="shared" si="0"/>
        <v>9</v>
      </c>
      <c r="D13" t="s">
        <v>37</v>
      </c>
      <c r="E13">
        <v>1</v>
      </c>
      <c r="F13">
        <v>20</v>
      </c>
      <c r="G13" t="s">
        <v>28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46249.786078703706</v>
      </c>
      <c r="C14">
        <f t="shared" si="0"/>
        <v>10</v>
      </c>
      <c r="D14" t="s">
        <v>38</v>
      </c>
      <c r="E14">
        <v>1</v>
      </c>
      <c r="F14">
        <v>140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140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46249.786078703706</v>
      </c>
      <c r="C15">
        <f t="shared" si="0"/>
        <v>11</v>
      </c>
      <c r="D15" t="s">
        <v>40</v>
      </c>
      <c r="E15">
        <v>1</v>
      </c>
      <c r="F15">
        <v>110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110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46249.786078703706</v>
      </c>
      <c r="C16">
        <f t="shared" si="0"/>
        <v>12</v>
      </c>
      <c r="D16" t="s">
        <v>41</v>
      </c>
      <c r="E16">
        <v>1</v>
      </c>
      <c r="F16">
        <v>30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30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46249.786078703706</v>
      </c>
      <c r="C17">
        <f t="shared" si="0"/>
        <v>13</v>
      </c>
      <c r="D17" t="s">
        <v>42</v>
      </c>
      <c r="E17">
        <v>1</v>
      </c>
      <c r="F17">
        <v>64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64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46249.786078703706</v>
      </c>
      <c r="C18">
        <f t="shared" si="0"/>
        <v>14</v>
      </c>
      <c r="D18" t="s">
        <v>43</v>
      </c>
      <c r="E18">
        <v>1</v>
      </c>
      <c r="F18">
        <v>300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300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46249.786078703706</v>
      </c>
      <c r="C19">
        <f t="shared" si="0"/>
        <v>15</v>
      </c>
      <c r="D19" t="s">
        <v>44</v>
      </c>
      <c r="E19">
        <v>2</v>
      </c>
      <c r="F19">
        <v>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46249.786078703706</v>
      </c>
      <c r="C20">
        <f t="shared" si="0"/>
        <v>16</v>
      </c>
      <c r="D20" t="s">
        <v>44</v>
      </c>
      <c r="E20">
        <v>5</v>
      </c>
      <c r="F20">
        <v>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25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46249.786078703706</v>
      </c>
      <c r="C21">
        <f t="shared" si="0"/>
        <v>17</v>
      </c>
      <c r="D21" t="s">
        <v>45</v>
      </c>
      <c r="E21">
        <v>1</v>
      </c>
      <c r="F21">
        <v>147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147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46249.786078703706</v>
      </c>
      <c r="C22">
        <f t="shared" si="0"/>
        <v>18</v>
      </c>
      <c r="D22" t="s">
        <v>48</v>
      </c>
      <c r="E22">
        <v>1</v>
      </c>
      <c r="F22">
        <v>15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46249.786078703706</v>
      </c>
      <c r="C23">
        <f t="shared" si="0"/>
        <v>19</v>
      </c>
      <c r="D23" t="s">
        <v>49</v>
      </c>
      <c r="E23">
        <v>1</v>
      </c>
      <c r="F23">
        <v>75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75</v>
      </c>
    </row>
    <row r="24" spans="2:18" ht="15" customHeight="1" x14ac:dyDescent="0.25">
      <c r="B24" s="18">
        <f ca="1">IF(Tabla1[[#This Row],['#]]&lt;&gt;"", NOW(), "")</f>
        <v>46249.786078703706</v>
      </c>
      <c r="C24">
        <f t="shared" si="0"/>
        <v>20</v>
      </c>
      <c r="D24" t="s">
        <v>50</v>
      </c>
      <c r="E24">
        <v>1</v>
      </c>
      <c r="F24">
        <v>150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150</v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>
        <f ca="1">IF(Tabla1[[#This Row],['#]]&lt;&gt;"", NOW(), "")</f>
        <v>46249.786078703706</v>
      </c>
      <c r="C25">
        <f t="shared" si="0"/>
        <v>21</v>
      </c>
      <c r="D25" t="s">
        <v>51</v>
      </c>
      <c r="E25">
        <v>1</v>
      </c>
      <c r="F25">
        <v>48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48</v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>
        <f ca="1">IF(Tabla1[[#This Row],['#]]&lt;&gt;"", NOW(), "")</f>
        <v>46249.786078703706</v>
      </c>
      <c r="C26">
        <f t="shared" si="0"/>
        <v>22</v>
      </c>
      <c r="D26" t="s">
        <v>52</v>
      </c>
      <c r="E26">
        <v>1</v>
      </c>
      <c r="F26">
        <v>266</v>
      </c>
      <c r="G26" t="s">
        <v>28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239.5</v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>
        <f ca="1">IF(Tabla1[[#This Row],['#]]&lt;&gt;"", NOW(), "")</f>
        <v>46249.786078703706</v>
      </c>
      <c r="C27">
        <f t="shared" si="0"/>
        <v>23</v>
      </c>
      <c r="D27" t="s">
        <v>53</v>
      </c>
      <c r="E27">
        <v>1</v>
      </c>
      <c r="F27">
        <v>104</v>
      </c>
      <c r="G27" t="s">
        <v>28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94</v>
      </c>
      <c r="M27" s="26" t="s">
        <v>26</v>
      </c>
      <c r="N27" s="27"/>
      <c r="O27" s="30">
        <v>2070</v>
      </c>
      <c r="P27" s="32"/>
      <c r="Q27" s="33"/>
      <c r="R27" s="34"/>
    </row>
    <row r="28" spans="2:18" x14ac:dyDescent="0.25">
      <c r="B28" s="18">
        <f ca="1">IF(Tabla1[[#This Row],['#]]&lt;&gt;"", NOW(), "")</f>
        <v>46249.786078703706</v>
      </c>
      <c r="C28">
        <f t="shared" si="0"/>
        <v>24</v>
      </c>
      <c r="D28" t="s">
        <v>54</v>
      </c>
      <c r="E28">
        <v>1</v>
      </c>
      <c r="F28">
        <v>42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42</v>
      </c>
      <c r="M28" s="28"/>
      <c r="N28" s="29"/>
      <c r="O28" s="31"/>
      <c r="P28" s="35"/>
      <c r="Q28" s="36"/>
      <c r="R28" s="37"/>
    </row>
    <row r="29" spans="2:18" x14ac:dyDescent="0.25">
      <c r="B29" s="18">
        <f ca="1">IF(Tabla1[[#This Row],['#]]&lt;&gt;"", NOW(), "")</f>
        <v>46249.786078703706</v>
      </c>
      <c r="C29">
        <f t="shared" si="0"/>
        <v>25</v>
      </c>
      <c r="D29" t="s">
        <v>55</v>
      </c>
      <c r="E29">
        <v>4</v>
      </c>
      <c r="F29">
        <v>3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12</v>
      </c>
      <c r="M29" s="26" t="s">
        <v>33</v>
      </c>
      <c r="N29" s="27"/>
      <c r="O29" s="30">
        <v>1243</v>
      </c>
      <c r="P29" s="32"/>
      <c r="Q29" s="33"/>
      <c r="R29" s="34"/>
    </row>
    <row r="30" spans="2:18" x14ac:dyDescent="0.25">
      <c r="B30" s="18">
        <f ca="1">IF(Tabla1[[#This Row],['#]]&lt;&gt;"", NOW(), "")</f>
        <v>46249.786078703706</v>
      </c>
      <c r="C30">
        <f t="shared" si="0"/>
        <v>26</v>
      </c>
      <c r="D30" t="s">
        <v>56</v>
      </c>
      <c r="E30">
        <v>1</v>
      </c>
      <c r="F30">
        <v>35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35</v>
      </c>
      <c r="M30" s="28"/>
      <c r="N30" s="29"/>
      <c r="O30" s="31"/>
      <c r="P30" s="35"/>
      <c r="Q30" s="36"/>
      <c r="R30" s="37"/>
    </row>
    <row r="31" spans="2:18" x14ac:dyDescent="0.25">
      <c r="B31" s="18">
        <f ca="1">IF(Tabla1[[#This Row],['#]]&lt;&gt;"", NOW(), "")</f>
        <v>46249.786078703706</v>
      </c>
      <c r="C31">
        <f t="shared" si="0"/>
        <v>27</v>
      </c>
      <c r="D31" t="s">
        <v>57</v>
      </c>
      <c r="E31">
        <v>1</v>
      </c>
      <c r="F31">
        <v>175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175</v>
      </c>
      <c r="M31" s="26" t="s">
        <v>34</v>
      </c>
      <c r="N31" s="27"/>
      <c r="O31" s="30">
        <v>2800</v>
      </c>
      <c r="P31" s="32"/>
      <c r="Q31" s="33"/>
      <c r="R31" s="34"/>
    </row>
    <row r="32" spans="2:18" x14ac:dyDescent="0.25">
      <c r="B32" s="18">
        <f ca="1">IF(Tabla1[[#This Row],['#]]&lt;&gt;"", NOW(), "")</f>
        <v>46249.786078703706</v>
      </c>
      <c r="C32">
        <f t="shared" si="0"/>
        <v>28</v>
      </c>
      <c r="D32" t="s">
        <v>58</v>
      </c>
      <c r="E32">
        <v>1</v>
      </c>
      <c r="F32">
        <v>225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225</v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 t="s">
        <v>46</v>
      </c>
      <c r="N33" s="27"/>
      <c r="O33" s="30">
        <v>6113</v>
      </c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59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2507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24</v>
      </c>
      <c r="M4" s="23" t="s">
        <v>86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46249.786078703706</v>
      </c>
      <c r="C5">
        <f t="shared" ref="C5:C68" si="0">IF(ISNUMBER(E5), IF(ISNUMBER(C4), C4+1, 1), "")</f>
        <v>1</v>
      </c>
      <c r="D5" t="s">
        <v>60</v>
      </c>
      <c r="E5">
        <v>1</v>
      </c>
      <c r="F5">
        <v>150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150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46249.786078703706</v>
      </c>
      <c r="C6">
        <f t="shared" si="0"/>
        <v>2</v>
      </c>
      <c r="D6" t="s">
        <v>61</v>
      </c>
      <c r="E6">
        <v>1</v>
      </c>
      <c r="F6">
        <v>395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395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46249.786078703706</v>
      </c>
      <c r="C7">
        <f t="shared" si="0"/>
        <v>3</v>
      </c>
      <c r="D7" t="s">
        <v>62</v>
      </c>
      <c r="E7">
        <v>1</v>
      </c>
      <c r="F7">
        <v>22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22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46249.786078703706</v>
      </c>
      <c r="C8">
        <f t="shared" si="0"/>
        <v>4</v>
      </c>
      <c r="D8" t="s">
        <v>63</v>
      </c>
      <c r="E8">
        <v>1</v>
      </c>
      <c r="F8">
        <v>600</v>
      </c>
      <c r="G8" t="s">
        <v>28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540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46249.786078703706</v>
      </c>
      <c r="C9">
        <f t="shared" si="0"/>
        <v>5</v>
      </c>
      <c r="D9" t="s">
        <v>64</v>
      </c>
      <c r="E9">
        <v>1</v>
      </c>
      <c r="F9">
        <v>87</v>
      </c>
      <c r="G9" t="s">
        <v>28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78.5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46249.786078703706</v>
      </c>
      <c r="C10">
        <f t="shared" si="0"/>
        <v>6</v>
      </c>
      <c r="D10" t="s">
        <v>65</v>
      </c>
      <c r="E10">
        <v>1</v>
      </c>
      <c r="F10">
        <v>95</v>
      </c>
      <c r="G10" t="s">
        <v>28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90.5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46249.786078703706</v>
      </c>
      <c r="C11">
        <f t="shared" si="0"/>
        <v>7</v>
      </c>
      <c r="D11" t="s">
        <v>66</v>
      </c>
      <c r="E11">
        <v>1</v>
      </c>
      <c r="F11">
        <v>70</v>
      </c>
      <c r="G11" t="s">
        <v>28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63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46249.786078703706</v>
      </c>
      <c r="C12">
        <f t="shared" si="0"/>
        <v>8</v>
      </c>
      <c r="D12" t="s">
        <v>67</v>
      </c>
      <c r="E12">
        <v>1</v>
      </c>
      <c r="F12">
        <v>35</v>
      </c>
      <c r="G12" t="s">
        <v>28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31.5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46249.786078703706</v>
      </c>
      <c r="C13">
        <f t="shared" si="0"/>
        <v>9</v>
      </c>
      <c r="D13" t="s">
        <v>69</v>
      </c>
      <c r="E13">
        <v>1</v>
      </c>
      <c r="F13">
        <v>120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120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46249.786078703706</v>
      </c>
      <c r="C14">
        <f t="shared" si="0"/>
        <v>10</v>
      </c>
      <c r="D14" t="s">
        <v>70</v>
      </c>
      <c r="E14">
        <v>1</v>
      </c>
      <c r="F14">
        <v>20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20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46249.786078703706</v>
      </c>
      <c r="C15">
        <f t="shared" si="0"/>
        <v>11</v>
      </c>
      <c r="D15" t="s">
        <v>71</v>
      </c>
      <c r="E15">
        <v>1</v>
      </c>
      <c r="F15">
        <v>15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46249.786078703706</v>
      </c>
      <c r="C16">
        <f t="shared" si="0"/>
        <v>12</v>
      </c>
      <c r="D16" t="s">
        <v>72</v>
      </c>
      <c r="E16">
        <v>1</v>
      </c>
      <c r="F16">
        <v>95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95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46249.786078703706</v>
      </c>
      <c r="C17">
        <f t="shared" si="0"/>
        <v>13</v>
      </c>
      <c r="D17" t="s">
        <v>73</v>
      </c>
      <c r="E17">
        <v>2</v>
      </c>
      <c r="F17">
        <v>15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30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46249.786078703706</v>
      </c>
      <c r="C18">
        <f t="shared" si="0"/>
        <v>14</v>
      </c>
      <c r="D18" t="s">
        <v>74</v>
      </c>
      <c r="E18">
        <v>1</v>
      </c>
      <c r="F18">
        <v>45</v>
      </c>
      <c r="G18" t="s">
        <v>28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40.5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46249.786078703706</v>
      </c>
      <c r="C19">
        <f t="shared" si="0"/>
        <v>15</v>
      </c>
      <c r="D19" t="s">
        <v>75</v>
      </c>
      <c r="E19">
        <v>1</v>
      </c>
      <c r="F19">
        <v>130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130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46249.786078703706</v>
      </c>
      <c r="C20">
        <f t="shared" si="0"/>
        <v>16</v>
      </c>
      <c r="D20" t="s">
        <v>76</v>
      </c>
      <c r="E20">
        <v>1</v>
      </c>
      <c r="F20">
        <v>42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42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46249.786078703706</v>
      </c>
      <c r="C21">
        <f t="shared" si="0"/>
        <v>17</v>
      </c>
      <c r="D21" t="s">
        <v>77</v>
      </c>
      <c r="E21">
        <v>1</v>
      </c>
      <c r="F21">
        <v>10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46249.786078703706</v>
      </c>
      <c r="C22">
        <f t="shared" si="0"/>
        <v>18</v>
      </c>
      <c r="D22" t="s">
        <v>79</v>
      </c>
      <c r="E22">
        <v>1</v>
      </c>
      <c r="F22">
        <v>20</v>
      </c>
      <c r="G22" t="s">
        <v>28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18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46249.786078703706</v>
      </c>
      <c r="C23">
        <f t="shared" si="0"/>
        <v>19</v>
      </c>
      <c r="D23" t="s">
        <v>80</v>
      </c>
      <c r="E23">
        <v>1</v>
      </c>
      <c r="F23">
        <v>150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150</v>
      </c>
    </row>
    <row r="24" spans="2:18" ht="15" customHeight="1" x14ac:dyDescent="0.25">
      <c r="B24" s="18">
        <f ca="1">IF(Tabla1[[#This Row],['#]]&lt;&gt;"", NOW(), "")</f>
        <v>46249.786078703706</v>
      </c>
      <c r="C24">
        <f t="shared" si="0"/>
        <v>20</v>
      </c>
      <c r="D24" t="s">
        <v>81</v>
      </c>
      <c r="E24">
        <v>1</v>
      </c>
      <c r="F24">
        <v>312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312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46249.786078703706</v>
      </c>
      <c r="C25">
        <f t="shared" si="0"/>
        <v>21</v>
      </c>
      <c r="D25" t="s">
        <v>82</v>
      </c>
      <c r="E25">
        <v>3</v>
      </c>
      <c r="F25">
        <v>3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9</v>
      </c>
      <c r="M25" s="24"/>
      <c r="N25" s="24"/>
      <c r="O25" s="24"/>
      <c r="P25" s="24"/>
      <c r="Q25" s="24"/>
      <c r="R25" s="24"/>
    </row>
    <row r="26" spans="2:18" x14ac:dyDescent="0.25">
      <c r="B26" s="18">
        <f ca="1">IF(Tabla1[[#This Row],['#]]&lt;&gt;"", NOW(), "")</f>
        <v>46249.786078703706</v>
      </c>
      <c r="C26">
        <f t="shared" si="0"/>
        <v>22</v>
      </c>
      <c r="D26" t="s">
        <v>83</v>
      </c>
      <c r="E26">
        <v>5</v>
      </c>
      <c r="F26">
        <v>15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75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>
        <f ca="1">IF(Tabla1[[#This Row],['#]]&lt;&gt;"", NOW(), "")</f>
        <v>46249.786078703706</v>
      </c>
      <c r="C27">
        <f t="shared" si="0"/>
        <v>23</v>
      </c>
      <c r="D27" t="s">
        <v>84</v>
      </c>
      <c r="E27">
        <v>1</v>
      </c>
      <c r="F27">
        <v>50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50</v>
      </c>
      <c r="M27" s="13" t="s">
        <v>68</v>
      </c>
      <c r="N27" s="15">
        <v>9</v>
      </c>
      <c r="O27" s="40"/>
      <c r="P27" s="41"/>
      <c r="Q27" s="41"/>
      <c r="R27" s="42"/>
    </row>
    <row r="28" spans="2:18" ht="30" x14ac:dyDescent="0.25">
      <c r="B28" s="18">
        <f ca="1">IF(Tabla1[[#This Row],['#]]&lt;&gt;"", NOW(), "")</f>
        <v>46249.786078703706</v>
      </c>
      <c r="C28">
        <f t="shared" si="0"/>
        <v>24</v>
      </c>
      <c r="D28" t="s">
        <v>85</v>
      </c>
      <c r="E28">
        <v>1</v>
      </c>
      <c r="F28">
        <v>20</v>
      </c>
      <c r="H28" s="5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>20</v>
      </c>
      <c r="M28" s="13" t="s">
        <v>78</v>
      </c>
      <c r="N28" s="15">
        <v>2550</v>
      </c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46249.786078703706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 t="s">
        <v>46</v>
      </c>
      <c r="N29" s="15">
        <v>2559</v>
      </c>
      <c r="O29" s="40"/>
      <c r="P29" s="41"/>
      <c r="Q29" s="41"/>
      <c r="R29" s="42"/>
    </row>
    <row r="30" spans="2:18" x14ac:dyDescent="0.25">
      <c r="B30" s="18">
        <f ca="1">IF(Tabla1[[#This Row],['#]]&lt;&gt;"", NOW(), "")</f>
        <v>46249.786078703706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>
        <f ca="1">IF(Tabla1[[#This Row],['#]]&lt;&gt;"", NOW(), "")</f>
        <v>46249.786078703706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>
        <f ca="1">IF(Tabla1[[#This Row],['#]]&lt;&gt;"", NOW(), "")</f>
        <v>46249.786078703706</v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87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3079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23" t="s">
        <v>103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46249.786078703706</v>
      </c>
      <c r="C5">
        <f>IF(ISNUMBER(E5), IF(ISNUMBER(C4), C4+1, 1), "")</f>
        <v>1</v>
      </c>
      <c r="D5" t="s">
        <v>89</v>
      </c>
      <c r="E5">
        <v>1</v>
      </c>
      <c r="F5">
        <v>240</v>
      </c>
      <c r="G5" t="s">
        <v>28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216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46249.786078703706</v>
      </c>
      <c r="C6">
        <f>IF(ISNUMBER(E6), IF(ISNUMBER(C5), C5+1, 1), "")</f>
        <v>2</v>
      </c>
      <c r="D6" t="s">
        <v>77</v>
      </c>
      <c r="E6">
        <v>1</v>
      </c>
      <c r="F6">
        <v>10</v>
      </c>
      <c r="G6" t="s">
        <v>28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9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46249.786078703706</v>
      </c>
      <c r="C7">
        <f>IF(ISNUMBER(E7), IF(ISNUMBER(C6), C6+1, 1), "")</f>
        <v>3</v>
      </c>
      <c r="D7" t="s">
        <v>62</v>
      </c>
      <c r="E7">
        <v>1</v>
      </c>
      <c r="F7">
        <v>22</v>
      </c>
      <c r="G7" t="s">
        <v>28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20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46249.786078703706</v>
      </c>
      <c r="C8">
        <f t="shared" ref="C8:C68" si="0">IF(ISNUMBER(E8), IF(ISNUMBER(C7), C7+1, 1), "")</f>
        <v>4</v>
      </c>
      <c r="D8" t="s">
        <v>90</v>
      </c>
      <c r="E8">
        <v>1</v>
      </c>
      <c r="F8">
        <v>70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70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46249.786078703706</v>
      </c>
      <c r="C9">
        <f t="shared" si="0"/>
        <v>5</v>
      </c>
      <c r="D9" t="s">
        <v>75</v>
      </c>
      <c r="E9">
        <v>1</v>
      </c>
      <c r="F9">
        <v>130</v>
      </c>
      <c r="G9" t="s">
        <v>28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123.5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46249.786078703706</v>
      </c>
      <c r="C10">
        <f t="shared" si="0"/>
        <v>6</v>
      </c>
      <c r="D10" t="s">
        <v>91</v>
      </c>
      <c r="E10">
        <v>1</v>
      </c>
      <c r="F10">
        <v>50</v>
      </c>
      <c r="G10" t="s">
        <v>28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45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46249.786078703706</v>
      </c>
      <c r="C11">
        <f t="shared" si="0"/>
        <v>7</v>
      </c>
      <c r="D11" t="s">
        <v>92</v>
      </c>
      <c r="E11">
        <v>1</v>
      </c>
      <c r="F11">
        <v>15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46249.786078703706</v>
      </c>
      <c r="C12">
        <f t="shared" si="0"/>
        <v>8</v>
      </c>
      <c r="D12" t="s">
        <v>93</v>
      </c>
      <c r="E12">
        <v>1</v>
      </c>
      <c r="F12">
        <v>320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320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46249.786078703706</v>
      </c>
      <c r="C13">
        <f t="shared" si="0"/>
        <v>9</v>
      </c>
      <c r="D13" t="s">
        <v>94</v>
      </c>
      <c r="E13">
        <v>1</v>
      </c>
      <c r="F13">
        <v>35</v>
      </c>
      <c r="G13" t="s">
        <v>28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31.5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46249.786078703706</v>
      </c>
      <c r="C14">
        <f t="shared" si="0"/>
        <v>10</v>
      </c>
      <c r="D14" t="s">
        <v>96</v>
      </c>
      <c r="E14">
        <v>1</v>
      </c>
      <c r="F14">
        <v>10</v>
      </c>
      <c r="G14" t="s">
        <v>28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9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46249.786078703706</v>
      </c>
      <c r="C15">
        <f t="shared" si="0"/>
        <v>11</v>
      </c>
      <c r="D15" t="s">
        <v>97</v>
      </c>
      <c r="E15">
        <v>1</v>
      </c>
      <c r="F15">
        <v>78</v>
      </c>
      <c r="G15" t="s">
        <v>28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70.5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46249.786078703706</v>
      </c>
      <c r="C16">
        <f t="shared" si="0"/>
        <v>12</v>
      </c>
      <c r="D16" t="s">
        <v>98</v>
      </c>
      <c r="E16">
        <v>2</v>
      </c>
      <c r="F16">
        <v>28</v>
      </c>
      <c r="G16" t="s">
        <v>28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50.5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46249.786078703706</v>
      </c>
      <c r="C17">
        <f t="shared" si="0"/>
        <v>13</v>
      </c>
      <c r="D17" t="s">
        <v>99</v>
      </c>
      <c r="E17">
        <v>1</v>
      </c>
      <c r="F17">
        <v>35</v>
      </c>
      <c r="G17" t="s">
        <v>28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31.5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46249.786078703706</v>
      </c>
      <c r="C18">
        <f t="shared" si="0"/>
        <v>14</v>
      </c>
      <c r="D18" t="s">
        <v>100</v>
      </c>
      <c r="E18">
        <v>1</v>
      </c>
      <c r="F18">
        <v>478</v>
      </c>
      <c r="G18" t="s">
        <v>28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430.5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46249.786078703706</v>
      </c>
      <c r="C19">
        <f t="shared" si="0"/>
        <v>15</v>
      </c>
      <c r="D19" t="s">
        <v>101</v>
      </c>
      <c r="E19">
        <v>1</v>
      </c>
      <c r="F19">
        <v>125</v>
      </c>
      <c r="G19" t="s">
        <v>28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112.5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46249.786078703706</v>
      </c>
      <c r="C20">
        <f t="shared" si="0"/>
        <v>16</v>
      </c>
      <c r="D20" t="s">
        <v>91</v>
      </c>
      <c r="E20">
        <v>2</v>
      </c>
      <c r="F20">
        <v>50</v>
      </c>
      <c r="G20" t="s">
        <v>28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90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46249.786078703706</v>
      </c>
      <c r="C21">
        <f t="shared" si="0"/>
        <v>17</v>
      </c>
      <c r="D21" t="s">
        <v>65</v>
      </c>
      <c r="E21">
        <v>1</v>
      </c>
      <c r="F21">
        <v>95</v>
      </c>
      <c r="G21" t="s">
        <v>28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90.5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46249.786078703706</v>
      </c>
      <c r="C22">
        <f t="shared" si="0"/>
        <v>18</v>
      </c>
      <c r="D22" t="s">
        <v>102</v>
      </c>
      <c r="E22">
        <v>1</v>
      </c>
      <c r="F22">
        <v>71</v>
      </c>
      <c r="G22" t="s">
        <v>28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64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46249.786078703706</v>
      </c>
      <c r="C23">
        <f t="shared" si="0"/>
        <v>19</v>
      </c>
      <c r="D23" t="s">
        <v>104</v>
      </c>
      <c r="E23">
        <v>4</v>
      </c>
      <c r="F23">
        <v>5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20</v>
      </c>
    </row>
    <row r="24" spans="2:18" ht="15" customHeight="1" x14ac:dyDescent="0.25">
      <c r="B24" s="18">
        <f ca="1">IF(Tabla1[[#This Row],['#]]&lt;&gt;"", NOW(), "")</f>
        <v>46249.786078703706</v>
      </c>
      <c r="C24">
        <f t="shared" si="0"/>
        <v>20</v>
      </c>
      <c r="D24" t="s">
        <v>120</v>
      </c>
      <c r="E24">
        <v>1</v>
      </c>
      <c r="F24">
        <v>1260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1260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46249.786078703706</v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46249.786078703706</v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>
        <f ca="1">IF(Tabla1[[#This Row],['#]]&lt;&gt;"", NOW(), "")</f>
        <v>46249.786078703706</v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88</v>
      </c>
      <c r="N27" s="15">
        <v>2300</v>
      </c>
      <c r="O27" s="40"/>
      <c r="P27" s="41"/>
      <c r="Q27" s="41"/>
      <c r="R27" s="42"/>
    </row>
    <row r="28" spans="2:18" x14ac:dyDescent="0.25">
      <c r="B28" s="18">
        <f ca="1">IF(Tabla1[[#This Row],['#]]&lt;&gt;"", NOW(), "")</f>
        <v>46249.786078703706</v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95</v>
      </c>
      <c r="N28" s="15">
        <v>30</v>
      </c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46249.786078703706</v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 t="s">
        <v>46</v>
      </c>
      <c r="N29" s="15">
        <v>2330</v>
      </c>
      <c r="O29" s="40"/>
      <c r="P29" s="41"/>
      <c r="Q29" s="41"/>
      <c r="R29" s="42"/>
    </row>
    <row r="30" spans="2:18" x14ac:dyDescent="0.25">
      <c r="B30" s="18">
        <f ca="1">IF(Tabla1[[#This Row],['#]]&lt;&gt;"", NOW(), "")</f>
        <v>46249.786078703706</v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>
        <f ca="1">IF(Tabla1[[#This Row],['#]]&lt;&gt;"", NOW(), "")</f>
        <v>46249.786078703706</v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>
        <f ca="1">IF(Tabla1[[#This Row],['#]]&lt;&gt;"", NOW(), "")</f>
        <v>46249.786078703706</v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H41" sqref="H4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105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884.5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11</v>
      </c>
      <c r="M4" s="23" t="s">
        <v>133</v>
      </c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46249.786078703706</v>
      </c>
      <c r="C5">
        <f t="shared" ref="C5:C68" si="0">IF(ISNUMBER(E5), IF(ISNUMBER(C4), C4+1, 1), "")</f>
        <v>1</v>
      </c>
      <c r="D5" t="s">
        <v>121</v>
      </c>
      <c r="E5">
        <v>3</v>
      </c>
      <c r="F5">
        <v>15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45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46249.786078703706</v>
      </c>
      <c r="C6">
        <f t="shared" si="0"/>
        <v>2</v>
      </c>
      <c r="D6" t="s">
        <v>122</v>
      </c>
      <c r="E6">
        <v>3</v>
      </c>
      <c r="F6">
        <v>15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45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46249.786078703706</v>
      </c>
      <c r="C7">
        <f t="shared" si="0"/>
        <v>3</v>
      </c>
      <c r="D7" t="s">
        <v>123</v>
      </c>
      <c r="E7">
        <v>1</v>
      </c>
      <c r="F7">
        <v>85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85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46249.786078703706</v>
      </c>
      <c r="C8">
        <f t="shared" si="0"/>
        <v>4</v>
      </c>
      <c r="D8" t="s">
        <v>124</v>
      </c>
      <c r="E8">
        <v>1</v>
      </c>
      <c r="F8">
        <v>70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70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46249.786078703706</v>
      </c>
      <c r="C9">
        <f t="shared" si="0"/>
        <v>5</v>
      </c>
      <c r="D9" t="s">
        <v>125</v>
      </c>
      <c r="E9">
        <v>1</v>
      </c>
      <c r="F9">
        <v>20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20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46249.786078703706</v>
      </c>
      <c r="C10">
        <f t="shared" si="0"/>
        <v>6</v>
      </c>
      <c r="D10" t="s">
        <v>126</v>
      </c>
      <c r="E10">
        <v>1</v>
      </c>
      <c r="F10">
        <v>28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28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46249.786078703706</v>
      </c>
      <c r="C11">
        <f t="shared" si="0"/>
        <v>7</v>
      </c>
      <c r="D11" t="s">
        <v>128</v>
      </c>
      <c r="E11">
        <v>1</v>
      </c>
      <c r="F11">
        <v>28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28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46249.786078703706</v>
      </c>
      <c r="C12">
        <f t="shared" si="0"/>
        <v>8</v>
      </c>
      <c r="D12" t="s">
        <v>129</v>
      </c>
      <c r="E12">
        <v>1</v>
      </c>
      <c r="F12">
        <v>48</v>
      </c>
      <c r="G12" t="s">
        <v>28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43.5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46249.786078703706</v>
      </c>
      <c r="C13">
        <f t="shared" si="0"/>
        <v>9</v>
      </c>
      <c r="D13" t="s">
        <v>131</v>
      </c>
      <c r="E13">
        <v>1</v>
      </c>
      <c r="F13">
        <v>435</v>
      </c>
      <c r="G13" t="s">
        <v>28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391.5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46249.786078703706</v>
      </c>
      <c r="C14">
        <f t="shared" si="0"/>
        <v>10</v>
      </c>
      <c r="D14" t="s">
        <v>130</v>
      </c>
      <c r="E14">
        <v>1</v>
      </c>
      <c r="F14">
        <v>95</v>
      </c>
      <c r="G14" t="s">
        <v>28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90.5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46249.786078703706</v>
      </c>
      <c r="C15">
        <f t="shared" si="0"/>
        <v>11</v>
      </c>
      <c r="D15" t="s">
        <v>132</v>
      </c>
      <c r="E15">
        <v>1</v>
      </c>
      <c r="F15">
        <v>42</v>
      </c>
      <c r="G15" t="s">
        <v>28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38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46249.786078703706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46249.786078703706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46249.786078703706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46249.786078703706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46249.786078703706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46249.786078703706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46249.786078703706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46249.786078703706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46249.786078703706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46249.786078703706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46249.786078703706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46249.786078703706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127</v>
      </c>
      <c r="N27" s="15">
        <v>840</v>
      </c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46249.786078703706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46249.786078703706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46249.786078703706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>
        <f ca="1">IF(Tabla1[[#This Row],['#]]&lt;&gt;"", NOW(), "")</f>
        <v>46249.786078703706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>
        <f ca="1">IF(Tabla1[[#This Row],['#]]&lt;&gt;"", NOW(), "")</f>
        <v>46249.786078703706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3" sqref="D3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1" t="s">
        <v>112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2908.5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28</v>
      </c>
      <c r="M4" s="23" t="s">
        <v>156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46249.786078703706</v>
      </c>
      <c r="C5">
        <f t="shared" ref="C5:C68" si="0">IF(ISNUMBER(E5), IF(ISNUMBER(C4), C4+1, 1), "")</f>
        <v>1</v>
      </c>
      <c r="D5" t="s">
        <v>65</v>
      </c>
      <c r="E5">
        <v>1</v>
      </c>
      <c r="F5">
        <v>95</v>
      </c>
      <c r="G5" t="s">
        <v>28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90.5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46249.786078703706</v>
      </c>
      <c r="C6">
        <f t="shared" si="0"/>
        <v>2</v>
      </c>
      <c r="D6" t="s">
        <v>134</v>
      </c>
      <c r="E6">
        <v>1</v>
      </c>
      <c r="F6">
        <v>15</v>
      </c>
      <c r="G6" t="s">
        <v>28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13.5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46249.786078703706</v>
      </c>
      <c r="C7">
        <f t="shared" si="0"/>
        <v>3</v>
      </c>
      <c r="D7" t="s">
        <v>84</v>
      </c>
      <c r="E7">
        <v>1</v>
      </c>
      <c r="F7">
        <v>50</v>
      </c>
      <c r="G7" t="s">
        <v>28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45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46249.786078703706</v>
      </c>
      <c r="C8">
        <f t="shared" si="0"/>
        <v>4</v>
      </c>
      <c r="D8" t="s">
        <v>135</v>
      </c>
      <c r="E8">
        <v>1</v>
      </c>
      <c r="F8">
        <v>50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50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46249.786078703706</v>
      </c>
      <c r="C9">
        <f t="shared" si="0"/>
        <v>5</v>
      </c>
      <c r="D9" t="s">
        <v>136</v>
      </c>
      <c r="E9">
        <v>1</v>
      </c>
      <c r="F9">
        <v>32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32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46249.786078703706</v>
      </c>
      <c r="C10">
        <f t="shared" si="0"/>
        <v>6</v>
      </c>
      <c r="D10" t="s">
        <v>137</v>
      </c>
      <c r="E10">
        <v>1</v>
      </c>
      <c r="F10">
        <v>15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46249.786078703706</v>
      </c>
      <c r="C11">
        <f t="shared" si="0"/>
        <v>7</v>
      </c>
      <c r="D11" t="s">
        <v>138</v>
      </c>
      <c r="E11">
        <v>1</v>
      </c>
      <c r="F11">
        <v>78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78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46249.786078703706</v>
      </c>
      <c r="C12">
        <f t="shared" si="0"/>
        <v>8</v>
      </c>
      <c r="D12" t="s">
        <v>142</v>
      </c>
      <c r="E12">
        <v>1</v>
      </c>
      <c r="F12">
        <v>380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380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46249.786078703706</v>
      </c>
      <c r="C13">
        <f t="shared" si="0"/>
        <v>9</v>
      </c>
      <c r="D13" t="s">
        <v>45</v>
      </c>
      <c r="E13">
        <v>1</v>
      </c>
      <c r="F13">
        <v>147</v>
      </c>
      <c r="G13" t="s">
        <v>28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140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46249.786078703706</v>
      </c>
      <c r="C14">
        <f t="shared" si="0"/>
        <v>10</v>
      </c>
      <c r="D14" t="s">
        <v>139</v>
      </c>
      <c r="E14">
        <v>1</v>
      </c>
      <c r="F14">
        <v>50</v>
      </c>
      <c r="G14" t="s">
        <v>28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45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46249.786078703706</v>
      </c>
      <c r="C15">
        <f t="shared" si="0"/>
        <v>11</v>
      </c>
      <c r="D15" t="s">
        <v>140</v>
      </c>
      <c r="E15">
        <v>1</v>
      </c>
      <c r="F15">
        <v>32</v>
      </c>
      <c r="G15" t="s">
        <v>28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29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46249.786078703706</v>
      </c>
      <c r="C16">
        <f t="shared" si="0"/>
        <v>12</v>
      </c>
      <c r="D16" t="s">
        <v>141</v>
      </c>
      <c r="E16">
        <v>1</v>
      </c>
      <c r="F16">
        <v>99</v>
      </c>
      <c r="G16" t="s">
        <v>28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89.5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46249.786078703706</v>
      </c>
      <c r="C17">
        <f t="shared" si="0"/>
        <v>13</v>
      </c>
      <c r="D17" t="s">
        <v>143</v>
      </c>
      <c r="E17">
        <v>2</v>
      </c>
      <c r="F17">
        <v>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10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46249.786078703706</v>
      </c>
      <c r="C18">
        <f t="shared" si="0"/>
        <v>14</v>
      </c>
      <c r="D18" t="s">
        <v>144</v>
      </c>
      <c r="E18">
        <v>1</v>
      </c>
      <c r="F18">
        <v>86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86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46249.786078703706</v>
      </c>
      <c r="C19">
        <f t="shared" si="0"/>
        <v>15</v>
      </c>
      <c r="D19" t="s">
        <v>145</v>
      </c>
      <c r="E19">
        <v>4</v>
      </c>
      <c r="F19">
        <v>5</v>
      </c>
      <c r="G19" t="s">
        <v>28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18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46249.786078703706</v>
      </c>
      <c r="C20">
        <f t="shared" si="0"/>
        <v>16</v>
      </c>
      <c r="D20" t="s">
        <v>42</v>
      </c>
      <c r="E20">
        <v>1</v>
      </c>
      <c r="F20">
        <v>64</v>
      </c>
      <c r="G20" t="s">
        <v>28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58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46249.786078703706</v>
      </c>
      <c r="C21">
        <f t="shared" si="0"/>
        <v>17</v>
      </c>
      <c r="D21" t="s">
        <v>146</v>
      </c>
      <c r="E21">
        <v>1</v>
      </c>
      <c r="F21">
        <v>980</v>
      </c>
      <c r="G21" t="s">
        <v>28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882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46249.786078703706</v>
      </c>
      <c r="C22">
        <f t="shared" si="0"/>
        <v>18</v>
      </c>
      <c r="D22" t="s">
        <v>147</v>
      </c>
      <c r="E22">
        <v>1</v>
      </c>
      <c r="F22">
        <v>95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95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46249.786078703706</v>
      </c>
      <c r="C23">
        <f t="shared" si="0"/>
        <v>19</v>
      </c>
      <c r="D23" t="s">
        <v>148</v>
      </c>
      <c r="E23">
        <v>1</v>
      </c>
      <c r="F23">
        <v>150</v>
      </c>
      <c r="G23" t="s">
        <v>28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135</v>
      </c>
    </row>
    <row r="24" spans="2:18" ht="15" customHeight="1" x14ac:dyDescent="0.25">
      <c r="B24" s="18">
        <f ca="1">IF(Tabla1[[#This Row],['#]]&lt;&gt;"", NOW(), "")</f>
        <v>46249.786078703706</v>
      </c>
      <c r="C24">
        <f t="shared" si="0"/>
        <v>20</v>
      </c>
      <c r="D24" t="s">
        <v>149</v>
      </c>
      <c r="E24">
        <v>1</v>
      </c>
      <c r="F24">
        <v>280</v>
      </c>
      <c r="G24" t="s">
        <v>28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252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46249.786078703706</v>
      </c>
      <c r="C25">
        <f t="shared" si="0"/>
        <v>21</v>
      </c>
      <c r="D25" t="s">
        <v>150</v>
      </c>
      <c r="E25">
        <v>4</v>
      </c>
      <c r="F25">
        <v>15</v>
      </c>
      <c r="G25" t="s">
        <v>28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54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46249.786078703706</v>
      </c>
      <c r="C26">
        <f t="shared" si="0"/>
        <v>22</v>
      </c>
      <c r="D26" t="s">
        <v>151</v>
      </c>
      <c r="E26">
        <v>1</v>
      </c>
      <c r="F26">
        <v>125</v>
      </c>
      <c r="G26" t="s">
        <v>28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112.5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46249.786078703706</v>
      </c>
      <c r="C27">
        <f t="shared" si="0"/>
        <v>23</v>
      </c>
      <c r="D27" t="s">
        <v>152</v>
      </c>
      <c r="E27">
        <v>1</v>
      </c>
      <c r="F27">
        <v>15</v>
      </c>
      <c r="G27" t="s">
        <v>28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13.5</v>
      </c>
      <c r="M27" s="13" t="s">
        <v>106</v>
      </c>
      <c r="N27" s="15">
        <v>2070</v>
      </c>
      <c r="O27" s="40" t="s">
        <v>107</v>
      </c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46249.786078703706</v>
      </c>
      <c r="C28">
        <f t="shared" si="0"/>
        <v>24</v>
      </c>
      <c r="D28" t="s">
        <v>153</v>
      </c>
      <c r="E28">
        <v>1</v>
      </c>
      <c r="F28">
        <v>20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20</v>
      </c>
      <c r="M28" s="13" t="s">
        <v>33</v>
      </c>
      <c r="N28" s="15">
        <v>1243</v>
      </c>
      <c r="O28" s="40" t="s">
        <v>107</v>
      </c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46249.786078703706</v>
      </c>
      <c r="C29">
        <f t="shared" si="0"/>
        <v>25</v>
      </c>
      <c r="D29" t="s">
        <v>154</v>
      </c>
      <c r="E29">
        <v>1</v>
      </c>
      <c r="F29">
        <v>29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29</v>
      </c>
      <c r="M29" s="13" t="s">
        <v>108</v>
      </c>
      <c r="N29" s="15">
        <v>2800</v>
      </c>
      <c r="O29" s="40" t="s">
        <v>107</v>
      </c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46249.786078703706</v>
      </c>
      <c r="C30">
        <f t="shared" si="0"/>
        <v>26</v>
      </c>
      <c r="D30" t="s">
        <v>44</v>
      </c>
      <c r="E30">
        <v>2</v>
      </c>
      <c r="F30">
        <v>5</v>
      </c>
      <c r="H30" s="5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>10</v>
      </c>
      <c r="M30" s="13" t="s">
        <v>109</v>
      </c>
      <c r="N30" s="15">
        <v>9</v>
      </c>
      <c r="O30" s="40" t="s">
        <v>110</v>
      </c>
      <c r="P30" s="41"/>
      <c r="Q30" s="41"/>
      <c r="R30" s="42"/>
    </row>
    <row r="31" spans="2:18" ht="15" customHeight="1" x14ac:dyDescent="0.25">
      <c r="B31" s="18">
        <f ca="1">IF(Tabla1[[#This Row],['#]]&lt;&gt;"", NOW(), "")</f>
        <v>46249.786078703706</v>
      </c>
      <c r="C31">
        <f t="shared" si="0"/>
        <v>27</v>
      </c>
      <c r="D31" t="s">
        <v>155</v>
      </c>
      <c r="E31">
        <v>1</v>
      </c>
      <c r="F31">
        <v>125</v>
      </c>
      <c r="G31" t="s">
        <v>28</v>
      </c>
      <c r="H31" s="5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>112.5</v>
      </c>
      <c r="M31" s="13" t="s">
        <v>111</v>
      </c>
      <c r="N31" s="15">
        <v>2550</v>
      </c>
      <c r="O31" s="40" t="s">
        <v>110</v>
      </c>
      <c r="P31" s="41"/>
      <c r="Q31" s="41"/>
      <c r="R31" s="42"/>
    </row>
    <row r="32" spans="2:18" ht="15" customHeight="1" x14ac:dyDescent="0.25">
      <c r="B32" s="18">
        <f ca="1">IF(Tabla1[[#This Row],['#]]&lt;&gt;"", NOW(), "")</f>
        <v>46249.786078703706</v>
      </c>
      <c r="C32">
        <f t="shared" si="0"/>
        <v>28</v>
      </c>
      <c r="D32" t="s">
        <v>92</v>
      </c>
      <c r="E32">
        <v>1</v>
      </c>
      <c r="F32">
        <v>15</v>
      </c>
      <c r="G32" t="s">
        <v>28</v>
      </c>
      <c r="H32" s="5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>13.5</v>
      </c>
      <c r="M32" s="13" t="s">
        <v>113</v>
      </c>
      <c r="N32" s="15">
        <v>2300</v>
      </c>
      <c r="O32" s="40" t="s">
        <v>114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95</v>
      </c>
      <c r="N33" s="15">
        <v>30</v>
      </c>
      <c r="O33" s="40" t="s">
        <v>114</v>
      </c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115</v>
      </c>
      <c r="N34" s="15">
        <v>840</v>
      </c>
      <c r="O34" s="40" t="s">
        <v>116</v>
      </c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 t="s">
        <v>117</v>
      </c>
      <c r="N35" s="15">
        <v>1500</v>
      </c>
      <c r="O35" s="40" t="s">
        <v>118</v>
      </c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 t="s">
        <v>46</v>
      </c>
      <c r="N36" s="15">
        <v>13342</v>
      </c>
      <c r="O36" s="40" t="s">
        <v>119</v>
      </c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157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3331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23" t="s">
        <v>175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46249.786078703706</v>
      </c>
      <c r="C5">
        <f t="shared" ref="C5:C68" si="0">IF(ISNUMBER(E5), IF(ISNUMBER(C4), C4+1, 1), "")</f>
        <v>1</v>
      </c>
      <c r="D5" t="s">
        <v>159</v>
      </c>
      <c r="E5">
        <v>1</v>
      </c>
      <c r="F5">
        <v>70</v>
      </c>
      <c r="G5" t="s">
        <v>28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63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46249.786078703706</v>
      </c>
      <c r="C6">
        <f t="shared" si="0"/>
        <v>2</v>
      </c>
      <c r="D6" t="s">
        <v>160</v>
      </c>
      <c r="E6">
        <v>1</v>
      </c>
      <c r="F6">
        <v>45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45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46249.786078703706</v>
      </c>
      <c r="C7">
        <f t="shared" si="0"/>
        <v>3</v>
      </c>
      <c r="D7" t="s">
        <v>161</v>
      </c>
      <c r="E7">
        <v>1</v>
      </c>
      <c r="F7">
        <v>295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295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46249.786078703706</v>
      </c>
      <c r="C8">
        <f t="shared" si="0"/>
        <v>4</v>
      </c>
      <c r="D8" t="s">
        <v>143</v>
      </c>
      <c r="E8">
        <v>2</v>
      </c>
      <c r="F8">
        <v>5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46249.786078703706</v>
      </c>
      <c r="C9">
        <f t="shared" si="0"/>
        <v>5</v>
      </c>
      <c r="D9" t="s">
        <v>44</v>
      </c>
      <c r="E9">
        <v>46</v>
      </c>
      <c r="F9">
        <v>5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230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46249.786078703706</v>
      </c>
      <c r="C10">
        <f t="shared" si="0"/>
        <v>6</v>
      </c>
      <c r="D10" t="s">
        <v>162</v>
      </c>
      <c r="E10">
        <v>1</v>
      </c>
      <c r="F10">
        <v>15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46249.786078703706</v>
      </c>
      <c r="C11">
        <f t="shared" si="0"/>
        <v>7</v>
      </c>
      <c r="D11" t="s">
        <v>163</v>
      </c>
      <c r="E11">
        <v>1</v>
      </c>
      <c r="F11">
        <v>70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70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46249.786078703706</v>
      </c>
      <c r="C12">
        <f t="shared" si="0"/>
        <v>8</v>
      </c>
      <c r="D12" t="s">
        <v>164</v>
      </c>
      <c r="E12">
        <v>1</v>
      </c>
      <c r="F12">
        <v>52</v>
      </c>
      <c r="G12" t="s">
        <v>28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47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46249.786078703706</v>
      </c>
      <c r="C13">
        <f t="shared" si="0"/>
        <v>9</v>
      </c>
      <c r="D13" t="s">
        <v>165</v>
      </c>
      <c r="E13">
        <v>2</v>
      </c>
      <c r="F13">
        <v>65</v>
      </c>
      <c r="G13" t="s">
        <v>28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117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46249.786078703706</v>
      </c>
      <c r="C14">
        <f t="shared" si="0"/>
        <v>10</v>
      </c>
      <c r="D14" t="s">
        <v>166</v>
      </c>
      <c r="E14">
        <v>1</v>
      </c>
      <c r="F14">
        <v>150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150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46249.786078703706</v>
      </c>
      <c r="C15">
        <f t="shared" si="0"/>
        <v>11</v>
      </c>
      <c r="D15" t="s">
        <v>167</v>
      </c>
      <c r="E15">
        <v>1</v>
      </c>
      <c r="F15">
        <v>35</v>
      </c>
      <c r="G15" t="s">
        <v>28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31.5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46249.786078703706</v>
      </c>
      <c r="C16">
        <f t="shared" si="0"/>
        <v>12</v>
      </c>
      <c r="D16" t="s">
        <v>139</v>
      </c>
      <c r="E16">
        <v>1</v>
      </c>
      <c r="F16">
        <v>50</v>
      </c>
      <c r="G16" t="s">
        <v>28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45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46249.786078703706</v>
      </c>
      <c r="C17">
        <f t="shared" si="0"/>
        <v>13</v>
      </c>
      <c r="D17" t="s">
        <v>168</v>
      </c>
      <c r="E17">
        <v>1</v>
      </c>
      <c r="F17">
        <v>400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400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46249.786078703706</v>
      </c>
      <c r="C18">
        <f t="shared" si="0"/>
        <v>14</v>
      </c>
      <c r="D18" t="s">
        <v>169</v>
      </c>
      <c r="E18">
        <v>1</v>
      </c>
      <c r="F18">
        <v>669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669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46249.786078703706</v>
      </c>
      <c r="C19">
        <f t="shared" si="0"/>
        <v>15</v>
      </c>
      <c r="D19" t="s">
        <v>170</v>
      </c>
      <c r="E19">
        <v>2</v>
      </c>
      <c r="F19">
        <v>96</v>
      </c>
      <c r="G19" t="s">
        <v>28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173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46249.786078703706</v>
      </c>
      <c r="C20">
        <f t="shared" si="0"/>
        <v>16</v>
      </c>
      <c r="D20" t="s">
        <v>171</v>
      </c>
      <c r="E20">
        <v>1</v>
      </c>
      <c r="F20">
        <v>110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110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46249.786078703706</v>
      </c>
      <c r="C21">
        <f t="shared" si="0"/>
        <v>17</v>
      </c>
      <c r="D21" t="s">
        <v>82</v>
      </c>
      <c r="E21">
        <v>4</v>
      </c>
      <c r="F21">
        <v>3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12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46249.786078703706</v>
      </c>
      <c r="C22">
        <f t="shared" si="0"/>
        <v>18</v>
      </c>
      <c r="D22" t="s">
        <v>92</v>
      </c>
      <c r="E22">
        <v>1</v>
      </c>
      <c r="F22">
        <v>15</v>
      </c>
      <c r="G22" t="s">
        <v>28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13.5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46249.786078703706</v>
      </c>
      <c r="C23">
        <f t="shared" si="0"/>
        <v>19</v>
      </c>
      <c r="D23" t="s">
        <v>172</v>
      </c>
      <c r="E23">
        <v>1</v>
      </c>
      <c r="F23">
        <v>25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25</v>
      </c>
    </row>
    <row r="24" spans="2:18" ht="15" customHeight="1" x14ac:dyDescent="0.25">
      <c r="B24" s="18">
        <f ca="1">IF(Tabla1[[#This Row],['#]]&lt;&gt;"", NOW(), "")</f>
        <v>46249.786078703706</v>
      </c>
      <c r="C24">
        <f t="shared" si="0"/>
        <v>20</v>
      </c>
      <c r="D24" t="s">
        <v>173</v>
      </c>
      <c r="E24">
        <v>1</v>
      </c>
      <c r="F24">
        <v>90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90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46249.786078703706</v>
      </c>
      <c r="C25">
        <f t="shared" si="0"/>
        <v>21</v>
      </c>
      <c r="D25" t="s">
        <v>173</v>
      </c>
      <c r="E25">
        <v>1</v>
      </c>
      <c r="F25">
        <v>100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100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46249.786078703706</v>
      </c>
      <c r="C26">
        <f t="shared" si="0"/>
        <v>22</v>
      </c>
      <c r="D26" t="s">
        <v>69</v>
      </c>
      <c r="E26">
        <v>1</v>
      </c>
      <c r="F26">
        <v>120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120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46249.786078703706</v>
      </c>
      <c r="C27">
        <f t="shared" si="0"/>
        <v>23</v>
      </c>
      <c r="D27" t="s">
        <v>174</v>
      </c>
      <c r="E27">
        <v>1</v>
      </c>
      <c r="F27">
        <v>500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500</v>
      </c>
      <c r="M27" s="13" t="s">
        <v>158</v>
      </c>
      <c r="N27" s="15">
        <v>5632</v>
      </c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46249.786078703706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46249.786078703706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46249.786078703706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>
        <f ca="1">IF(Tabla1[[#This Row],['#]]&lt;&gt;"", NOW(), "")</f>
        <v>46249.786078703706</v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>
        <f ca="1">IF(Tabla1[[#This Row],['#]]&lt;&gt;"", NOW(), "")</f>
        <v>46249.786078703706</v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46249.786078703706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46249.786078703706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46249.786078703706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46249.786078703706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46249.786078703706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46249.786078703706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46249.786078703706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46249.786078703706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46249.786078703706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46249.786078703706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46249.786078703706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46249.786078703706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46249.786078703706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46249.786078703706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46249.786078703706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46249.786078703706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46249.786078703706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46249.786078703706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46249.786078703706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46249.786078703706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46249.786078703706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46249.786078703706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46249.786078703706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46249.786078703706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46249.786078703706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>
        <f ca="1">IF(Tabla1[[#This Row],['#]]&lt;&gt;"", NOW(), "")</f>
        <v>46249.786078703706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>
        <f ca="1">IF(Tabla1[[#This Row],['#]]&lt;&gt;"", NOW(), "")</f>
        <v>46249.786078703706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10-08-26</vt:lpstr>
      <vt:lpstr>Martes 11-08-26</vt:lpstr>
      <vt:lpstr>Miercoles 12-08-26</vt:lpstr>
      <vt:lpstr>Jueves 13-08-26</vt:lpstr>
      <vt:lpstr>Viernes 14-08-26</vt:lpstr>
      <vt:lpstr> SABADO15-08-26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2026-08-16T00:53:17Z</dcterms:modified>
</cp:coreProperties>
</file>