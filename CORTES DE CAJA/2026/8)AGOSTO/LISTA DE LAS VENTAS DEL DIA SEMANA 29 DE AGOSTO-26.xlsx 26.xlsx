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10BD82D-A941-466C-9601-B85415257EC1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3-08-26" sheetId="1" r:id="rId1"/>
    <sheet name="Martes 04-08-26" sheetId="2" r:id="rId2"/>
    <sheet name="Miercoles 05-08-11" sheetId="3" r:id="rId3"/>
    <sheet name=" JUEVES 06-08-26" sheetId="4" r:id="rId4"/>
    <sheet name="Viernes 07-08-26" sheetId="5" r:id="rId5"/>
    <sheet name="Sabado 08-07-26" sheetId="6" r:id="rId6"/>
    <sheet name="Domingo" sheetId="8" r:id="rId7"/>
    <sheet name="Cambios" sheetId="7" r:id="rId8"/>
  </sheets>
  <definedNames>
    <definedName name="_xlnm._FilterDatabase" localSheetId="0" hidden="1">'Lunes 03-08-26'!$B$4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8" i="3"/>
  <c r="C9" i="3" s="1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C6" i="6" l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K4" i="8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<sst xmlns="http://schemas.openxmlformats.org/spreadsheetml/2006/main" count="306" uniqueCount="144">
  <si>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</si>
  <si>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</si>
  <si>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</si>
  <si>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</si>
  <si>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</si>
  <si>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</si>
  <si>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</si>
  <si>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</si>
  <si>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</si>
  <si>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</si>
  <si>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</si>
  <si>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</si>
  <si>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</si>
  <si>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</si>
  <si>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</si>
  <si>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</si>
  <si>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</si>
  <si>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</si>
  <si>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</si>
  <si>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</si>
  <si>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</si>
  <si>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</si>
  <si>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</si>
  <si>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</si>
  <si>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</si>
  <si>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X</t>
  </si>
  <si>
    <t>FILTRO DE ACE FT150</t>
  </si>
  <si>
    <t>RODILLO DE CENTRIFUJO DS150</t>
  </si>
  <si>
    <t>BUJIA D8</t>
  </si>
  <si>
    <t>CABLE NEGRO</t>
  </si>
  <si>
    <t>ACEITE LUBER</t>
  </si>
  <si>
    <t>BALATA DELANTERA FZ16</t>
  </si>
  <si>
    <t>Lunes 03 DE AGOSTO-26</t>
  </si>
  <si>
    <t>x</t>
  </si>
  <si>
    <t>ROLLO</t>
  </si>
  <si>
    <t>RETEN DE BARRAS 27-50-10</t>
  </si>
  <si>
    <t xml:space="preserve">TUERCA </t>
  </si>
  <si>
    <t>ESPEJOS COFEE RANCING</t>
  </si>
  <si>
    <t xml:space="preserve">CARGADOR DE CELULAR </t>
  </si>
  <si>
    <t xml:space="preserve">PILA QLINK MOTONETA </t>
  </si>
  <si>
    <t xml:space="preserve">FOCO H6 HALOGENO </t>
  </si>
  <si>
    <t>TENSOR DE CADENA FT125</t>
  </si>
  <si>
    <t>ESPEJOS DE 150Z</t>
  </si>
  <si>
    <t>MALLA DE ACIENTO WS150</t>
  </si>
  <si>
    <t>STIKER</t>
  </si>
  <si>
    <t>DIRECCIONAL UNIVERSAL</t>
  </si>
  <si>
    <t>ACEITE MOTUL 10W-40</t>
  </si>
  <si>
    <t>FILTRO DE ACEI PULSAR 200NS</t>
  </si>
  <si>
    <t>BUJIA C9</t>
  </si>
  <si>
    <t>BUJIA DE PULSAR 200NS</t>
  </si>
  <si>
    <t>FILTRO DE AIRE DOMINAR 400</t>
  </si>
  <si>
    <t xml:space="preserve">BOMBA DE FRENO TRASERO UNIVERSAL </t>
  </si>
  <si>
    <t>CUENTA SEMANA PASADA $ 34452 MENOS 40 DE PAPEL HIGIENICO QUEDA $ 34412</t>
  </si>
  <si>
    <t>Martes 04 DE AGOSTO-26</t>
  </si>
  <si>
    <t xml:space="preserve">CHCICOTE DE CLUTH UNIVERSAL </t>
  </si>
  <si>
    <t xml:space="preserve">BALATA DE TAMBOR CHICO </t>
  </si>
  <si>
    <t>BOMBA DE ACEITE DE SZ250</t>
  </si>
  <si>
    <t>CHICOTE DE ACELERADOR UNIVERSAL</t>
  </si>
  <si>
    <t>LLANTA 3.00.17</t>
  </si>
  <si>
    <t>CAMARA 3.00.17</t>
  </si>
  <si>
    <t>EJE TRASERO DE FT150</t>
  </si>
  <si>
    <t xml:space="preserve">ESPEJOS DE 150Z ALESIA </t>
  </si>
  <si>
    <t>ACEITE MOTUL7100-20W-50</t>
  </si>
  <si>
    <t xml:space="preserve">PEDIDO NASAKI </t>
  </si>
  <si>
    <t>CAMARA 2.75.18</t>
  </si>
  <si>
    <t xml:space="preserve">CUENTA SEMANA PASADA $ 34412 MENOS $ 3837 DE PEDIDO DE NASAKI QUEDA $30575 </t>
  </si>
  <si>
    <t xml:space="preserve">LIQUIDO DE FRENOS </t>
  </si>
  <si>
    <t>BUJE DE SPROKET</t>
  </si>
  <si>
    <t xml:space="preserve">RESORTE </t>
  </si>
  <si>
    <t>TORNILLO</t>
  </si>
  <si>
    <t>GOMA DE TAPADERA</t>
  </si>
  <si>
    <t xml:space="preserve">PORTAFUSIBLE </t>
  </si>
  <si>
    <t>Miercoles 05 DE AGOSTO-26</t>
  </si>
  <si>
    <t>TIRAS LED AZUL</t>
  </si>
  <si>
    <t xml:space="preserve">CABLE SUELTO ROJO MEDIO </t>
  </si>
  <si>
    <t>POPOTE PARA RIND AZUL</t>
  </si>
  <si>
    <t>TIRA LED AZUL</t>
  </si>
  <si>
    <t>ACEITE AKRON</t>
  </si>
  <si>
    <t>FILTRO DE GASOLINA CARTON</t>
  </si>
  <si>
    <t>FILTRO DE AIRE 250Z</t>
  </si>
  <si>
    <t>ACEITE YAMALUBE</t>
  </si>
  <si>
    <t>BALATA DE FRENO DELANTERO DM200</t>
  </si>
  <si>
    <t xml:space="preserve">FOCO DE DIREECCIONAL </t>
  </si>
  <si>
    <t>Jueves 06 DE AGOSTO-26</t>
  </si>
  <si>
    <t xml:space="preserve">BASE PARA ESPEJOS </t>
  </si>
  <si>
    <t>Viernes 07 DE AGOSTO-26</t>
  </si>
  <si>
    <t xml:space="preserve">ROLLO </t>
  </si>
  <si>
    <t>LUNES 03 DE AGOSTO-26</t>
  </si>
  <si>
    <t>P.NASAKI</t>
  </si>
  <si>
    <t>MARTES 04 DE AGOSTO-26</t>
  </si>
  <si>
    <t xml:space="preserve">PAGOYAS </t>
  </si>
  <si>
    <t>VIERNES 07 DE AGOSTO-26</t>
  </si>
  <si>
    <t xml:space="preserve">TOTAL </t>
  </si>
  <si>
    <t xml:space="preserve">TOTAL DE EGRESOS </t>
  </si>
  <si>
    <t>SEGURO DE CADENA 428</t>
  </si>
  <si>
    <t>SEGURO DE CADENA 520</t>
  </si>
  <si>
    <t>CADENA 520 SENCILLA</t>
  </si>
  <si>
    <t>FOCOS DE PECHIZCO LED</t>
  </si>
  <si>
    <t>MANDO DERECHO FT150</t>
  </si>
  <si>
    <t>MANUBRIO 250Z</t>
  </si>
  <si>
    <t xml:space="preserve">ACEITE AKRON </t>
  </si>
  <si>
    <t>FOCO H4 LED</t>
  </si>
  <si>
    <t xml:space="preserve">GUANTES </t>
  </si>
  <si>
    <t>CADENA 428 X 136</t>
  </si>
  <si>
    <t>CDI DE ATV150</t>
  </si>
  <si>
    <t>ESTATOR DE FT150</t>
  </si>
  <si>
    <t>KIT DE DM250</t>
  </si>
  <si>
    <t>BRAZO DE DIRECCION DE ATV 150</t>
  </si>
  <si>
    <t>PEGAMENTO SUPER GLUE</t>
  </si>
  <si>
    <t>FOCO DE STOP</t>
  </si>
  <si>
    <t>CHICOTE DE ACELRADOR FT180</t>
  </si>
  <si>
    <t>KID DE CILINDRO DE LA VENTO ROKEMAN</t>
  </si>
  <si>
    <t>JUNTAS DE MOTOR VENTO</t>
  </si>
  <si>
    <t>ACEITE DIKAL</t>
  </si>
  <si>
    <t>ESPEJOS DE FT150 ITALIKA</t>
  </si>
  <si>
    <t>POSAPIE UNIVERSALES</t>
  </si>
  <si>
    <t>FILTRO DE AIRE WS175</t>
  </si>
  <si>
    <t>BALATA DE TAMBOR DS150</t>
  </si>
  <si>
    <t>SWUITH DE FT150</t>
  </si>
  <si>
    <t>JABON</t>
  </si>
  <si>
    <t xml:space="preserve"> VIERNES 07 DE AGOSTO-26</t>
  </si>
  <si>
    <t>RELEE DE ARRANQUE 150Z</t>
  </si>
  <si>
    <t>LUBER</t>
  </si>
  <si>
    <t>TUERCA</t>
  </si>
  <si>
    <t xml:space="preserve">POSAPIE UNIVERSAL </t>
  </si>
  <si>
    <t>AUMENTO DE AMORTIGUADOR</t>
  </si>
  <si>
    <r>
      <rPr>
        <b/>
        <sz val="14"/>
        <rFont val="Calibri"/>
        <family val="2"/>
        <scheme val="minor"/>
      </rPr>
      <t>CORTES DE LA SEMANA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4"/>
        <color theme="1"/>
        <rFont val="Calibri"/>
        <family val="2"/>
        <scheme val="minor"/>
      </rPr>
      <t xml:space="preserve">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03 DE AGOSTO-26                 $34452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$ 2977              MENOS $ 6326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04 DE AGOSTO-26             $28126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$ 1554.5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05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$ 967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06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$ 1338.5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07 DE AGOSTO-26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$3681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$10518
</t>
    </r>
    <r>
      <rPr>
        <b/>
        <sz val="26"/>
        <color theme="1"/>
        <rFont val="Calibri"/>
        <family val="2"/>
        <scheme val="minor"/>
      </rPr>
      <t>TOTAL EN CAJA $ 38644</t>
    </r>
  </si>
  <si>
    <t>SABADO 08 DE AGOSTO-26</t>
  </si>
  <si>
    <t xml:space="preserve">BOLSA </t>
  </si>
  <si>
    <t>BALATA DE DISCO ATV150</t>
  </si>
  <si>
    <t>MANGUERA DE FRENO DE ATV150</t>
  </si>
  <si>
    <t>GOMAS DE IMPACTO FT125</t>
  </si>
  <si>
    <t>BALATA DE TAMBOR DS150  WAPEMEX</t>
  </si>
  <si>
    <t>STIIKER</t>
  </si>
  <si>
    <t xml:space="preserve">ESCAPE NEGRO </t>
  </si>
  <si>
    <t>CHICOTE DE CLUTH UNIVERSAL</t>
  </si>
  <si>
    <t>PILA QLINK 12N7 -BS</t>
  </si>
  <si>
    <t xml:space="preserve">POSAPIES UNIVERSAL DORADO </t>
  </si>
  <si>
    <t>POSAPIES UNIVERSAL ROJO</t>
  </si>
  <si>
    <t>AUXILIAR DE BUHO</t>
  </si>
  <si>
    <t xml:space="preserve">ALESSIA </t>
  </si>
  <si>
    <t xml:space="preserve">FOCO </t>
  </si>
  <si>
    <t xml:space="preserve">RODILLERA Y CODERA </t>
  </si>
  <si>
    <r>
      <t xml:space="preserve">CUENTA DE AYER $ 38644 MENOS $8011 DE BOLSAS Y PEDIDO DE ALESSIA QUEDA $30633
CUENTA DE HOY SABADO $2630 MENOS $ 300 PAGO DE YAS QUEDA $2330 MAS LO DE CAJA $ 30633 
</t>
    </r>
    <r>
      <rPr>
        <b/>
        <sz val="24"/>
        <color theme="1"/>
        <rFont val="Calibri"/>
        <family val="2"/>
        <scheme val="minor"/>
      </rPr>
      <t xml:space="preserve">TOTAL EN CAJA $ 32963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</si>
</sst>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32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2977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23</v>
      </c>
      <c r="M4" s="36" t="s">
        <v>52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46242.801413078705</v>
      </c>
      <c r="C5">
        <f>IF(ISNUMBER(E5), IF(ISNUMBER(C4), C4+1, 1), "")</f>
        <v>1</v>
      </c>
      <c r="D5" t="s">
        <v>27</v>
      </c>
      <c r="E5">
        <v>1</v>
      </c>
      <c r="F5">
        <v>42</v>
      </c>
      <c r="G5" t="s">
        <v>25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38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46242.801413078705</v>
      </c>
      <c r="C6">
        <f t="shared" ref="C6:C36" si="0">IF(ISNUMBER(E6), IF(ISNUMBER(C5), C5+1, 1), "")</f>
        <v>2</v>
      </c>
      <c r="D6" t="s">
        <v>26</v>
      </c>
      <c r="E6">
        <v>1</v>
      </c>
      <c r="F6">
        <v>25</v>
      </c>
      <c r="G6" t="s">
        <v>25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22.5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46242.801413078705</v>
      </c>
      <c r="C7">
        <f t="shared" si="0"/>
        <v>3</v>
      </c>
      <c r="D7" t="s">
        <v>28</v>
      </c>
      <c r="E7">
        <v>1</v>
      </c>
      <c r="F7">
        <v>50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50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46242.801413078705</v>
      </c>
      <c r="C8">
        <f t="shared" si="0"/>
        <v>4</v>
      </c>
      <c r="D8" t="s">
        <v>29</v>
      </c>
      <c r="E8">
        <v>3</v>
      </c>
      <c r="F8">
        <v>12</v>
      </c>
      <c r="G8" t="s">
        <v>25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32.5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46242.801413078705</v>
      </c>
      <c r="C9">
        <f t="shared" si="0"/>
        <v>5</v>
      </c>
      <c r="D9" t="s">
        <v>30</v>
      </c>
      <c r="E9">
        <v>1</v>
      </c>
      <c r="F9">
        <v>95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95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46242.801413078705</v>
      </c>
      <c r="C10">
        <f t="shared" si="0"/>
        <v>6</v>
      </c>
      <c r="D10" t="s">
        <v>31</v>
      </c>
      <c r="E10">
        <v>1</v>
      </c>
      <c r="F10">
        <v>90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90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46242.801413078705</v>
      </c>
      <c r="C11">
        <f t="shared" si="0"/>
        <v>7</v>
      </c>
      <c r="D11" t="s">
        <v>35</v>
      </c>
      <c r="E11">
        <v>1</v>
      </c>
      <c r="F11">
        <v>38</v>
      </c>
      <c r="G11" t="s">
        <v>33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34.5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46242.801413078705</v>
      </c>
      <c r="C12">
        <f t="shared" si="0"/>
        <v>8</v>
      </c>
      <c r="D12" t="s">
        <v>36</v>
      </c>
      <c r="E12">
        <v>1</v>
      </c>
      <c r="F12">
        <v>5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46242.801413078705</v>
      </c>
      <c r="C13">
        <f t="shared" si="0"/>
        <v>9</v>
      </c>
      <c r="D13" t="s">
        <v>37</v>
      </c>
      <c r="E13">
        <v>1</v>
      </c>
      <c r="F13">
        <v>218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218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46242.801413078705</v>
      </c>
      <c r="C14">
        <f t="shared" si="0"/>
        <v>10</v>
      </c>
      <c r="D14" t="s">
        <v>38</v>
      </c>
      <c r="E14">
        <v>1</v>
      </c>
      <c r="F14">
        <v>220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220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46242.801413078705</v>
      </c>
      <c r="C15">
        <f t="shared" si="0"/>
        <v>11</v>
      </c>
      <c r="D15" t="s">
        <v>39</v>
      </c>
      <c r="E15">
        <v>1</v>
      </c>
      <c r="F15">
        <v>700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700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46242.801413078705</v>
      </c>
      <c r="C16">
        <f t="shared" si="0"/>
        <v>12</v>
      </c>
      <c r="D16" t="s">
        <v>40</v>
      </c>
      <c r="E16">
        <v>1</v>
      </c>
      <c r="F16">
        <v>50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50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46242.801413078705</v>
      </c>
      <c r="C17">
        <f t="shared" si="0"/>
        <v>13</v>
      </c>
      <c r="D17" t="s">
        <v>41</v>
      </c>
      <c r="E17">
        <v>1</v>
      </c>
      <c r="F17">
        <v>25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25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46242.801413078705</v>
      </c>
      <c r="C18">
        <f t="shared" si="0"/>
        <v>14</v>
      </c>
      <c r="D18" t="s">
        <v>42</v>
      </c>
      <c r="E18">
        <v>1</v>
      </c>
      <c r="F18">
        <v>130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130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46242.801413078705</v>
      </c>
      <c r="C19">
        <f t="shared" si="0"/>
        <v>15</v>
      </c>
      <c r="D19" t="s">
        <v>43</v>
      </c>
      <c r="E19">
        <v>1</v>
      </c>
      <c r="F19">
        <v>125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125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46242.801413078705</v>
      </c>
      <c r="C20">
        <f t="shared" si="0"/>
        <v>16</v>
      </c>
      <c r="D20" t="s">
        <v>44</v>
      </c>
      <c r="E20">
        <v>2</v>
      </c>
      <c r="F20">
        <v>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46242.801413078705</v>
      </c>
      <c r="C21">
        <f t="shared" si="0"/>
        <v>17</v>
      </c>
      <c r="D21" t="s">
        <v>45</v>
      </c>
      <c r="E21">
        <v>2</v>
      </c>
      <c r="F21">
        <v>105</v>
      </c>
      <c r="G21" t="s">
        <v>25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189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46242.801413078705</v>
      </c>
      <c r="C22">
        <f t="shared" si="0"/>
        <v>18</v>
      </c>
      <c r="D22" t="s">
        <v>46</v>
      </c>
      <c r="E22">
        <v>1</v>
      </c>
      <c r="F22">
        <v>320</v>
      </c>
      <c r="G22" t="s">
        <v>25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304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46242.801413078705</v>
      </c>
      <c r="C23">
        <f t="shared" si="0"/>
        <v>19</v>
      </c>
      <c r="D23" t="s">
        <v>47</v>
      </c>
      <c r="E23">
        <v>1</v>
      </c>
      <c r="F23">
        <v>48</v>
      </c>
      <c r="G23" t="s">
        <v>25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43.5</v>
      </c>
    </row>
    <row r="24" spans="2:18" ht="15" customHeight="1" x14ac:dyDescent="0.25">
      <c r="B24" s="18">
        <f ca="1">IF(Tabla1[[#This Row],['#]]&lt;&gt;"", NOW(), "")</f>
        <v>46242.801413078705</v>
      </c>
      <c r="C24">
        <f t="shared" si="0"/>
        <v>20</v>
      </c>
      <c r="D24" t="s">
        <v>48</v>
      </c>
      <c r="E24">
        <v>2</v>
      </c>
      <c r="F24">
        <v>50</v>
      </c>
      <c r="G24" t="s">
        <v>25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90</v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46242.801413078705</v>
      </c>
      <c r="C25">
        <f t="shared" si="0"/>
        <v>21</v>
      </c>
      <c r="D25" t="s">
        <v>49</v>
      </c>
      <c r="E25">
        <v>1</v>
      </c>
      <c r="F25">
        <v>191</v>
      </c>
      <c r="G25" t="s">
        <v>25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172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>
        <f ca="1">IF(Tabla1[[#This Row],['#]]&lt;&gt;"", NOW(), "")</f>
        <v>46242.801413078705</v>
      </c>
      <c r="C26">
        <f t="shared" si="0"/>
        <v>22</v>
      </c>
      <c r="D26" t="s">
        <v>50</v>
      </c>
      <c r="E26">
        <v>1</v>
      </c>
      <c r="F26">
        <v>90</v>
      </c>
      <c r="G26" t="s">
        <v>25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81</v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>
        <f ca="1">IF(Tabla1[[#This Row],['#]]&lt;&gt;"", NOW(), "")</f>
        <v>46242.801413078705</v>
      </c>
      <c r="C27">
        <f t="shared" si="0"/>
        <v>23</v>
      </c>
      <c r="D27" t="s">
        <v>51</v>
      </c>
      <c r="E27">
        <v>1</v>
      </c>
      <c r="F27">
        <v>280</v>
      </c>
      <c r="G27" t="s">
        <v>25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252</v>
      </c>
      <c r="M27" s="19" t="s">
        <v>34</v>
      </c>
      <c r="N27" s="20"/>
      <c r="O27" s="23">
        <v>40</v>
      </c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/>
      <c r="N29" s="20"/>
      <c r="O29" s="23"/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53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1554.5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36" t="s">
        <v>65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46242.801413078705</v>
      </c>
      <c r="C5">
        <f t="shared" ref="C5:C68" si="0">IF(ISNUMBER(E5), IF(ISNUMBER(C4), C4+1, 1), "")</f>
        <v>1</v>
      </c>
      <c r="D5" t="s">
        <v>54</v>
      </c>
      <c r="E5">
        <v>1</v>
      </c>
      <c r="F5">
        <v>15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46242.801413078705</v>
      </c>
      <c r="C6">
        <f t="shared" si="0"/>
        <v>2</v>
      </c>
      <c r="D6" t="s">
        <v>55</v>
      </c>
      <c r="E6">
        <v>1</v>
      </c>
      <c r="F6">
        <v>78</v>
      </c>
      <c r="G6" t="s">
        <v>25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70.5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46242.801413078705</v>
      </c>
      <c r="C7">
        <f t="shared" si="0"/>
        <v>3</v>
      </c>
      <c r="D7" t="s">
        <v>56</v>
      </c>
      <c r="E7">
        <v>1</v>
      </c>
      <c r="F7">
        <v>69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69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46242.801413078705</v>
      </c>
      <c r="C8">
        <f t="shared" si="0"/>
        <v>4</v>
      </c>
      <c r="D8" t="s">
        <v>57</v>
      </c>
      <c r="E8">
        <v>1</v>
      </c>
      <c r="F8">
        <v>15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46242.801413078705</v>
      </c>
      <c r="C9">
        <f t="shared" si="0"/>
        <v>5</v>
      </c>
      <c r="D9" t="s">
        <v>58</v>
      </c>
      <c r="E9">
        <v>1</v>
      </c>
      <c r="F9">
        <v>423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423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46242.801413078705</v>
      </c>
      <c r="C10">
        <f t="shared" si="0"/>
        <v>6</v>
      </c>
      <c r="D10" t="s">
        <v>59</v>
      </c>
      <c r="E10">
        <v>1</v>
      </c>
      <c r="F10">
        <v>70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70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46242.801413078705</v>
      </c>
      <c r="C11">
        <f t="shared" si="0"/>
        <v>7</v>
      </c>
      <c r="D11" t="s">
        <v>55</v>
      </c>
      <c r="E11">
        <v>1</v>
      </c>
      <c r="F11">
        <v>75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75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46242.801413078705</v>
      </c>
      <c r="C12">
        <f t="shared" si="0"/>
        <v>8</v>
      </c>
      <c r="D12" t="s">
        <v>41</v>
      </c>
      <c r="E12">
        <v>1</v>
      </c>
      <c r="F12">
        <v>25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25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46242.801413078705</v>
      </c>
      <c r="C13">
        <f t="shared" si="0"/>
        <v>9</v>
      </c>
      <c r="D13" t="s">
        <v>44</v>
      </c>
      <c r="E13">
        <v>4</v>
      </c>
      <c r="F13">
        <v>5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46242.801413078705</v>
      </c>
      <c r="C14">
        <f t="shared" si="0"/>
        <v>10</v>
      </c>
      <c r="D14" t="s">
        <v>60</v>
      </c>
      <c r="E14">
        <v>1</v>
      </c>
      <c r="F14">
        <v>50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50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46242.801413078705</v>
      </c>
      <c r="C15">
        <f t="shared" si="0"/>
        <v>11</v>
      </c>
      <c r="D15" t="s">
        <v>61</v>
      </c>
      <c r="E15">
        <v>1</v>
      </c>
      <c r="F15">
        <v>130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130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46242.801413078705</v>
      </c>
      <c r="C16">
        <f t="shared" si="0"/>
        <v>12</v>
      </c>
      <c r="D16" t="s">
        <v>62</v>
      </c>
      <c r="E16">
        <v>1</v>
      </c>
      <c r="F16">
        <v>345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345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46242.801413078705</v>
      </c>
      <c r="C17">
        <f t="shared" si="0"/>
        <v>13</v>
      </c>
      <c r="D17" t="s">
        <v>64</v>
      </c>
      <c r="E17">
        <v>1</v>
      </c>
      <c r="F17">
        <v>62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62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46242.801413078705</v>
      </c>
      <c r="C18">
        <f t="shared" si="0"/>
        <v>14</v>
      </c>
      <c r="D18" t="s">
        <v>66</v>
      </c>
      <c r="E18">
        <v>1</v>
      </c>
      <c r="F18">
        <v>60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60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46242.801413078705</v>
      </c>
      <c r="C19">
        <f t="shared" si="0"/>
        <v>15</v>
      </c>
      <c r="D19" t="s">
        <v>67</v>
      </c>
      <c r="E19">
        <v>1</v>
      </c>
      <c r="F19">
        <v>20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20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46242.801413078705</v>
      </c>
      <c r="C20">
        <f t="shared" si="0"/>
        <v>16</v>
      </c>
      <c r="D20" t="s">
        <v>28</v>
      </c>
      <c r="E20">
        <v>1</v>
      </c>
      <c r="F20">
        <v>50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50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46242.801413078705</v>
      </c>
      <c r="C21">
        <f t="shared" si="0"/>
        <v>17</v>
      </c>
      <c r="D21" t="s">
        <v>68</v>
      </c>
      <c r="E21">
        <v>1</v>
      </c>
      <c r="F21">
        <v>20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20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46242.801413078705</v>
      </c>
      <c r="C22">
        <f t="shared" si="0"/>
        <v>18</v>
      </c>
      <c r="D22" t="s">
        <v>69</v>
      </c>
      <c r="E22">
        <v>1</v>
      </c>
      <c r="F22">
        <v>5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46242.801413078705</v>
      </c>
      <c r="C23">
        <f t="shared" si="0"/>
        <v>19</v>
      </c>
      <c r="D23" t="s">
        <v>70</v>
      </c>
      <c r="E23">
        <v>1</v>
      </c>
      <c r="F23">
        <v>15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15</v>
      </c>
    </row>
    <row r="24" spans="2:18" ht="15" customHeight="1" x14ac:dyDescent="0.25">
      <c r="B24" s="18">
        <f ca="1">IF(Tabla1[[#This Row],['#]]&lt;&gt;"", NOW(), "")</f>
        <v>46242.801413078705</v>
      </c>
      <c r="C24">
        <f t="shared" si="0"/>
        <v>20</v>
      </c>
      <c r="D24" t="s">
        <v>71</v>
      </c>
      <c r="E24">
        <v>1</v>
      </c>
      <c r="F24">
        <v>15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15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46242.801413078705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>
        <f ca="1">IF(Tabla1[[#This Row],['#]]&lt;&gt;"", NOW(), "")</f>
        <v>46242.801413078705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30" x14ac:dyDescent="0.25">
      <c r="B27" s="18">
        <f ca="1">IF(Tabla1[[#This Row],['#]]&lt;&gt;"", NOW(), "")</f>
        <v>46242.801413078705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63</v>
      </c>
      <c r="N27" s="15">
        <v>3837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0" sqref="D2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967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15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46242.801413078705</v>
      </c>
      <c r="C5">
        <f>IF(ISNUMBER(E5), IF(ISNUMBER(C4), C4+1, 1), "")</f>
        <v>1</v>
      </c>
      <c r="D5" t="s">
        <v>30</v>
      </c>
      <c r="E5">
        <v>1</v>
      </c>
      <c r="F5">
        <v>95</v>
      </c>
      <c r="G5" t="s">
        <v>25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90.5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46242.801413078705</v>
      </c>
      <c r="C6">
        <f>IF(ISNUMBER(E6), IF(ISNUMBER(C5), C5+1, 1), "")</f>
        <v>2</v>
      </c>
      <c r="D6" t="s">
        <v>28</v>
      </c>
      <c r="E6">
        <v>1</v>
      </c>
      <c r="F6">
        <v>50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50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46242.801413078705</v>
      </c>
      <c r="C7">
        <f>IF(ISNUMBER(E7), IF(ISNUMBER(C6), C6+1, 1), "")</f>
        <v>3</v>
      </c>
      <c r="D7" t="s">
        <v>75</v>
      </c>
      <c r="E7">
        <v>1</v>
      </c>
      <c r="F7">
        <v>70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70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46242.801413078705</v>
      </c>
      <c r="C8">
        <f t="shared" ref="C8:C68" si="0">IF(ISNUMBER(E8), IF(ISNUMBER(C7), C7+1, 1), "")</f>
        <v>4</v>
      </c>
      <c r="D8" t="s">
        <v>73</v>
      </c>
      <c r="E8">
        <v>2</v>
      </c>
      <c r="F8">
        <v>15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30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46242.801413078705</v>
      </c>
      <c r="C9">
        <f t="shared" si="0"/>
        <v>5</v>
      </c>
      <c r="D9" t="s">
        <v>74</v>
      </c>
      <c r="E9">
        <v>1</v>
      </c>
      <c r="F9">
        <v>8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46242.801413078705</v>
      </c>
      <c r="C10">
        <f t="shared" si="0"/>
        <v>6</v>
      </c>
      <c r="D10" t="s">
        <v>69</v>
      </c>
      <c r="E10">
        <v>1</v>
      </c>
      <c r="F10">
        <v>9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9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46242.801413078705</v>
      </c>
      <c r="C11">
        <f t="shared" si="0"/>
        <v>7</v>
      </c>
      <c r="D11" t="s">
        <v>76</v>
      </c>
      <c r="E11">
        <v>1</v>
      </c>
      <c r="F11">
        <v>15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46242.801413078705</v>
      </c>
      <c r="C12">
        <f t="shared" si="0"/>
        <v>8</v>
      </c>
      <c r="D12" t="s">
        <v>77</v>
      </c>
      <c r="E12">
        <v>1</v>
      </c>
      <c r="F12">
        <v>130</v>
      </c>
      <c r="G12" t="s">
        <v>25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123.5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46242.801413078705</v>
      </c>
      <c r="C13">
        <f t="shared" si="0"/>
        <v>9</v>
      </c>
      <c r="D13" t="s">
        <v>28</v>
      </c>
      <c r="E13">
        <v>1</v>
      </c>
      <c r="F13">
        <v>50</v>
      </c>
      <c r="G13" t="s">
        <v>25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45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46242.801413078705</v>
      </c>
      <c r="C14">
        <f t="shared" si="0"/>
        <v>10</v>
      </c>
      <c r="D14" t="s">
        <v>78</v>
      </c>
      <c r="E14">
        <v>2</v>
      </c>
      <c r="F14">
        <v>15</v>
      </c>
      <c r="G14" t="s">
        <v>25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27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46242.801413078705</v>
      </c>
      <c r="C15">
        <f t="shared" si="0"/>
        <v>11</v>
      </c>
      <c r="D15" t="s">
        <v>79</v>
      </c>
      <c r="E15">
        <v>1</v>
      </c>
      <c r="F15">
        <v>72</v>
      </c>
      <c r="G15" t="s">
        <v>25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65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46242.801413078705</v>
      </c>
      <c r="C16">
        <f t="shared" si="0"/>
        <v>12</v>
      </c>
      <c r="D16" t="s">
        <v>80</v>
      </c>
      <c r="E16">
        <v>2</v>
      </c>
      <c r="F16">
        <v>150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300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46242.801413078705</v>
      </c>
      <c r="C17">
        <f t="shared" si="0"/>
        <v>13</v>
      </c>
      <c r="D17" t="s">
        <v>28</v>
      </c>
      <c r="E17">
        <v>1</v>
      </c>
      <c r="F17">
        <v>50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50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46242.801413078705</v>
      </c>
      <c r="C18">
        <f t="shared" si="0"/>
        <v>14</v>
      </c>
      <c r="D18" t="s">
        <v>81</v>
      </c>
      <c r="E18">
        <v>1</v>
      </c>
      <c r="F18">
        <v>48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48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46242.801413078705</v>
      </c>
      <c r="C19">
        <f t="shared" si="0"/>
        <v>15</v>
      </c>
      <c r="D19" t="s">
        <v>82</v>
      </c>
      <c r="E19">
        <v>3</v>
      </c>
      <c r="F19">
        <v>12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36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46242.801413078705</v>
      </c>
      <c r="C20" t="str">
        <f t="shared" si="0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46242.801413078705</v>
      </c>
      <c r="C21" t="str">
        <f t="shared" si="0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46242.801413078705</v>
      </c>
      <c r="C22" t="str">
        <f t="shared" si="0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46242.801413078705</v>
      </c>
      <c r="C23" t="str">
        <f t="shared" si="0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46242.801413078705</v>
      </c>
      <c r="C24" t="str">
        <f t="shared" si="0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46242.801413078705</v>
      </c>
      <c r="C25" t="str">
        <f t="shared" si="0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46242.801413078705</v>
      </c>
      <c r="C26" t="str">
        <f t="shared" si="0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>
        <f ca="1">IF(Tabla1[[#This Row],['#]]&lt;&gt;"", NOW(), "")</f>
        <v>46242.801413078705</v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83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1338.5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12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46242.801413078705</v>
      </c>
      <c r="C5">
        <f t="shared" ref="C5:C68" si="0">IF(ISNUMBER(E5), IF(ISNUMBER(C4), C4+1, 1), "")</f>
        <v>1</v>
      </c>
      <c r="D5" t="s">
        <v>84</v>
      </c>
      <c r="E5">
        <v>1</v>
      </c>
      <c r="F5">
        <v>120</v>
      </c>
      <c r="G5" t="s">
        <v>25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108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46242.801413078705</v>
      </c>
      <c r="C6">
        <f t="shared" si="0"/>
        <v>2</v>
      </c>
      <c r="D6" t="s">
        <v>94</v>
      </c>
      <c r="E6">
        <v>1</v>
      </c>
      <c r="F6">
        <v>28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28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46242.801413078705</v>
      </c>
      <c r="C7">
        <f t="shared" si="0"/>
        <v>3</v>
      </c>
      <c r="D7" t="s">
        <v>95</v>
      </c>
      <c r="E7">
        <v>1</v>
      </c>
      <c r="F7">
        <v>22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22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46242.801413078705</v>
      </c>
      <c r="C8">
        <f t="shared" si="0"/>
        <v>4</v>
      </c>
      <c r="D8" t="s">
        <v>96</v>
      </c>
      <c r="E8">
        <v>1</v>
      </c>
      <c r="F8">
        <v>294</v>
      </c>
      <c r="G8" t="s">
        <v>25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265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46242.801413078705</v>
      </c>
      <c r="C9">
        <f t="shared" si="0"/>
        <v>5</v>
      </c>
      <c r="D9" t="s">
        <v>78</v>
      </c>
      <c r="E9">
        <v>1</v>
      </c>
      <c r="F9">
        <v>15</v>
      </c>
      <c r="G9" t="s">
        <v>25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13.5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46242.801413078705</v>
      </c>
      <c r="C10">
        <f t="shared" si="0"/>
        <v>6</v>
      </c>
      <c r="D10" t="s">
        <v>78</v>
      </c>
      <c r="E10">
        <v>2</v>
      </c>
      <c r="F10">
        <v>15</v>
      </c>
      <c r="G10" t="s">
        <v>25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27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46242.801413078705</v>
      </c>
      <c r="C11">
        <f t="shared" si="0"/>
        <v>7</v>
      </c>
      <c r="D11" t="s">
        <v>97</v>
      </c>
      <c r="E11">
        <v>1</v>
      </c>
      <c r="F11">
        <v>70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70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46242.801413078705</v>
      </c>
      <c r="C12">
        <f t="shared" si="0"/>
        <v>8</v>
      </c>
      <c r="D12" t="s">
        <v>98</v>
      </c>
      <c r="E12">
        <v>1</v>
      </c>
      <c r="F12">
        <v>90</v>
      </c>
      <c r="G12" t="s">
        <v>25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81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46242.801413078705</v>
      </c>
      <c r="C13">
        <f t="shared" si="0"/>
        <v>9</v>
      </c>
      <c r="D13" t="s">
        <v>99</v>
      </c>
      <c r="E13">
        <v>1</v>
      </c>
      <c r="F13">
        <v>267</v>
      </c>
      <c r="G13" t="s">
        <v>25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240.5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46242.801413078705</v>
      </c>
      <c r="C14">
        <f t="shared" si="0"/>
        <v>10</v>
      </c>
      <c r="D14" t="s">
        <v>100</v>
      </c>
      <c r="E14">
        <v>1</v>
      </c>
      <c r="F14">
        <v>130</v>
      </c>
      <c r="G14" t="s">
        <v>25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123.5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46242.801413078705</v>
      </c>
      <c r="C15">
        <f t="shared" si="0"/>
        <v>11</v>
      </c>
      <c r="D15" t="s">
        <v>101</v>
      </c>
      <c r="E15">
        <v>1</v>
      </c>
      <c r="F15">
        <v>150</v>
      </c>
      <c r="G15" t="s">
        <v>25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135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46242.801413078705</v>
      </c>
      <c r="C16">
        <f t="shared" si="0"/>
        <v>12</v>
      </c>
      <c r="D16" t="s">
        <v>102</v>
      </c>
      <c r="E16">
        <v>1</v>
      </c>
      <c r="F16">
        <v>225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225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46242.801413078705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46242.801413078705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46242.801413078705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46242.801413078705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46242.801413078705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46242.801413078705</v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46242.801413078705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46242.801413078705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46242.801413078705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46242.801413078705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46242.801413078705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30" sqref="D3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85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3681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25</v>
      </c>
      <c r="M4" s="36" t="s">
        <v>126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46242.801413078705</v>
      </c>
      <c r="C5">
        <f t="shared" ref="C5:C68" si="0">IF(ISNUMBER(E5), IF(ISNUMBER(C4), C4+1, 1), "")</f>
        <v>1</v>
      </c>
      <c r="D5" t="s">
        <v>103</v>
      </c>
      <c r="E5">
        <v>1</v>
      </c>
      <c r="F5">
        <v>175</v>
      </c>
      <c r="G5" t="s">
        <v>25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157.5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46242.801413078705</v>
      </c>
      <c r="C6">
        <f t="shared" si="0"/>
        <v>2</v>
      </c>
      <c r="D6" t="s">
        <v>104</v>
      </c>
      <c r="E6">
        <v>1</v>
      </c>
      <c r="F6">
        <v>170</v>
      </c>
      <c r="G6" t="s">
        <v>25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153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46242.801413078705</v>
      </c>
      <c r="C7">
        <f t="shared" si="0"/>
        <v>3</v>
      </c>
      <c r="D7" t="s">
        <v>105</v>
      </c>
      <c r="E7">
        <v>1</v>
      </c>
      <c r="F7">
        <v>270</v>
      </c>
      <c r="G7" t="s">
        <v>25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243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46242.801413078705</v>
      </c>
      <c r="C8">
        <f t="shared" si="0"/>
        <v>4</v>
      </c>
      <c r="D8" t="s">
        <v>106</v>
      </c>
      <c r="E8">
        <v>1</v>
      </c>
      <c r="F8">
        <v>179</v>
      </c>
      <c r="G8" t="s">
        <v>25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161.5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46242.801413078705</v>
      </c>
      <c r="C9">
        <f t="shared" si="0"/>
        <v>5</v>
      </c>
      <c r="D9" t="s">
        <v>107</v>
      </c>
      <c r="E9">
        <v>1</v>
      </c>
      <c r="F9">
        <v>300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300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46242.801413078705</v>
      </c>
      <c r="C10">
        <f t="shared" si="0"/>
        <v>6</v>
      </c>
      <c r="D10" t="s">
        <v>110</v>
      </c>
      <c r="E10">
        <v>1</v>
      </c>
      <c r="F10">
        <v>45</v>
      </c>
      <c r="G10" t="s">
        <v>25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40.5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46242.801413078705</v>
      </c>
      <c r="C11">
        <f t="shared" si="0"/>
        <v>7</v>
      </c>
      <c r="D11" t="s">
        <v>94</v>
      </c>
      <c r="E11">
        <v>1</v>
      </c>
      <c r="F11">
        <v>28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28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46242.801413078705</v>
      </c>
      <c r="C12">
        <f t="shared" si="0"/>
        <v>8</v>
      </c>
      <c r="D12" t="s">
        <v>109</v>
      </c>
      <c r="E12">
        <v>1</v>
      </c>
      <c r="F12">
        <v>20</v>
      </c>
      <c r="G12" t="s">
        <v>25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18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46242.801413078705</v>
      </c>
      <c r="C13">
        <f t="shared" si="0"/>
        <v>9</v>
      </c>
      <c r="D13" t="s">
        <v>48</v>
      </c>
      <c r="E13">
        <v>1</v>
      </c>
      <c r="F13">
        <v>50</v>
      </c>
      <c r="G13" t="s">
        <v>25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45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46242.801413078705</v>
      </c>
      <c r="C14">
        <f t="shared" si="0"/>
        <v>10</v>
      </c>
      <c r="D14" t="s">
        <v>108</v>
      </c>
      <c r="E14">
        <v>2</v>
      </c>
      <c r="F14">
        <v>35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70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46242.801413078705</v>
      </c>
      <c r="C15">
        <f t="shared" si="0"/>
        <v>11</v>
      </c>
      <c r="D15" t="s">
        <v>111</v>
      </c>
      <c r="E15">
        <v>1</v>
      </c>
      <c r="F15">
        <v>780</v>
      </c>
      <c r="G15" t="s">
        <v>25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702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46242.801413078705</v>
      </c>
      <c r="C16">
        <f t="shared" si="0"/>
        <v>12</v>
      </c>
      <c r="D16" t="s">
        <v>112</v>
      </c>
      <c r="E16">
        <v>1</v>
      </c>
      <c r="F16">
        <v>280</v>
      </c>
      <c r="G16" t="s">
        <v>25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252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46242.801413078705</v>
      </c>
      <c r="C17">
        <f t="shared" si="0"/>
        <v>13</v>
      </c>
      <c r="D17" t="s">
        <v>113</v>
      </c>
      <c r="E17">
        <v>1</v>
      </c>
      <c r="F17">
        <v>95</v>
      </c>
      <c r="G17" t="s">
        <v>25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90.5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46242.801413078705</v>
      </c>
      <c r="C18">
        <f t="shared" si="0"/>
        <v>14</v>
      </c>
      <c r="D18" t="s">
        <v>114</v>
      </c>
      <c r="E18">
        <v>1</v>
      </c>
      <c r="F18">
        <v>170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170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46242.801413078705</v>
      </c>
      <c r="C19">
        <f t="shared" si="0"/>
        <v>15</v>
      </c>
      <c r="D19" t="s">
        <v>77</v>
      </c>
      <c r="E19">
        <v>1</v>
      </c>
      <c r="F19">
        <v>130</v>
      </c>
      <c r="G19" t="s">
        <v>25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123.5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46242.801413078705</v>
      </c>
      <c r="C20">
        <f t="shared" si="0"/>
        <v>16</v>
      </c>
      <c r="D20" t="s">
        <v>28</v>
      </c>
      <c r="E20">
        <v>1</v>
      </c>
      <c r="F20">
        <v>50</v>
      </c>
      <c r="G20" t="s">
        <v>25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45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46242.801413078705</v>
      </c>
      <c r="C21">
        <f t="shared" si="0"/>
        <v>17</v>
      </c>
      <c r="D21" t="s">
        <v>115</v>
      </c>
      <c r="E21">
        <v>1</v>
      </c>
      <c r="F21">
        <v>100</v>
      </c>
      <c r="G21" t="s">
        <v>25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90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46242.801413078705</v>
      </c>
      <c r="C22">
        <f t="shared" si="0"/>
        <v>18</v>
      </c>
      <c r="D22" t="s">
        <v>116</v>
      </c>
      <c r="E22">
        <v>1</v>
      </c>
      <c r="F22">
        <v>64</v>
      </c>
      <c r="G22" t="s">
        <v>25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58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46242.801413078705</v>
      </c>
      <c r="C23">
        <f t="shared" si="0"/>
        <v>19</v>
      </c>
      <c r="D23" t="s">
        <v>117</v>
      </c>
      <c r="E23">
        <v>1</v>
      </c>
      <c r="F23">
        <v>75</v>
      </c>
      <c r="G23" t="s">
        <v>25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67.5</v>
      </c>
    </row>
    <row r="24" spans="2:18" ht="15" customHeight="1" x14ac:dyDescent="0.25">
      <c r="B24" s="18">
        <f ca="1">IF(Tabla1[[#This Row],['#]]&lt;&gt;"", NOW(), "")</f>
        <v>46242.801413078705</v>
      </c>
      <c r="C24">
        <f t="shared" si="0"/>
        <v>20</v>
      </c>
      <c r="D24" t="s">
        <v>100</v>
      </c>
      <c r="E24">
        <v>2</v>
      </c>
      <c r="F24">
        <v>130</v>
      </c>
      <c r="G24" t="s">
        <v>25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247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46242.801413078705</v>
      </c>
      <c r="C25">
        <f t="shared" si="0"/>
        <v>21</v>
      </c>
      <c r="D25" t="s">
        <v>118</v>
      </c>
      <c r="E25">
        <v>1</v>
      </c>
      <c r="F25">
        <v>310</v>
      </c>
      <c r="G25" t="s">
        <v>25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279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46242.801413078705</v>
      </c>
      <c r="C26">
        <f t="shared" si="0"/>
        <v>22</v>
      </c>
      <c r="D26" t="s">
        <v>121</v>
      </c>
      <c r="E26">
        <v>1</v>
      </c>
      <c r="F26">
        <v>183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183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46242.801413078705</v>
      </c>
      <c r="C27">
        <f t="shared" si="0"/>
        <v>23</v>
      </c>
      <c r="D27" t="s">
        <v>123</v>
      </c>
      <c r="E27">
        <v>1</v>
      </c>
      <c r="F27">
        <v>5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5</v>
      </c>
      <c r="M27" s="13" t="s">
        <v>86</v>
      </c>
      <c r="N27" s="15">
        <v>40</v>
      </c>
      <c r="O27" s="39" t="s">
        <v>87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124</v>
      </c>
      <c r="E28">
        <v>1</v>
      </c>
      <c r="F28">
        <v>100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100</v>
      </c>
      <c r="M28" s="13" t="s">
        <v>88</v>
      </c>
      <c r="N28" s="15">
        <v>3837</v>
      </c>
      <c r="O28" s="39" t="s">
        <v>89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125</v>
      </c>
      <c r="E29">
        <v>1</v>
      </c>
      <c r="F29">
        <v>52</v>
      </c>
      <c r="H29" s="5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>52</v>
      </c>
      <c r="M29" s="13" t="s">
        <v>119</v>
      </c>
      <c r="N29" s="15">
        <v>10</v>
      </c>
      <c r="O29" s="39" t="s">
        <v>120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122</v>
      </c>
      <c r="N30" s="15">
        <v>939</v>
      </c>
      <c r="O30" s="39" t="s">
        <v>91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90</v>
      </c>
      <c r="N31" s="15">
        <v>1500</v>
      </c>
      <c r="O31" s="39" t="s">
        <v>91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92</v>
      </c>
      <c r="N32" s="15">
        <v>6326</v>
      </c>
      <c r="O32" s="39" t="s">
        <v>93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127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2630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13</v>
      </c>
      <c r="M4" s="36" t="s">
        <v>143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46242.801413078705</v>
      </c>
      <c r="C5">
        <f t="shared" ref="C5:C68" si="0">IF(ISNUMBER(E5), IF(ISNUMBER(C4), C4+1, 1), "")</f>
        <v>1</v>
      </c>
      <c r="D5" t="s">
        <v>129</v>
      </c>
      <c r="E5">
        <v>1</v>
      </c>
      <c r="F5">
        <v>42</v>
      </c>
      <c r="G5" t="s">
        <v>25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38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46242.801413078705</v>
      </c>
      <c r="C6">
        <f t="shared" si="0"/>
        <v>2</v>
      </c>
      <c r="D6" t="s">
        <v>130</v>
      </c>
      <c r="E6">
        <v>1</v>
      </c>
      <c r="F6">
        <v>144</v>
      </c>
      <c r="G6" t="s">
        <v>25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130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46242.801413078705</v>
      </c>
      <c r="C7">
        <f t="shared" si="0"/>
        <v>3</v>
      </c>
      <c r="D7" t="s">
        <v>131</v>
      </c>
      <c r="E7">
        <v>1</v>
      </c>
      <c r="F7">
        <v>35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35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46242.801413078705</v>
      </c>
      <c r="C8">
        <f t="shared" si="0"/>
        <v>4</v>
      </c>
      <c r="D8" t="s">
        <v>132</v>
      </c>
      <c r="E8">
        <v>1</v>
      </c>
      <c r="F8">
        <v>75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75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46242.801413078705</v>
      </c>
      <c r="C9">
        <f t="shared" si="0"/>
        <v>5</v>
      </c>
      <c r="D9" t="s">
        <v>133</v>
      </c>
      <c r="E9">
        <v>5</v>
      </c>
      <c r="F9">
        <v>5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46242.801413078705</v>
      </c>
      <c r="C10">
        <f t="shared" si="0"/>
        <v>6</v>
      </c>
      <c r="D10" t="s">
        <v>134</v>
      </c>
      <c r="E10">
        <v>1</v>
      </c>
      <c r="F10">
        <v>750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750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46242.801413078705</v>
      </c>
      <c r="C11">
        <f t="shared" si="0"/>
        <v>7</v>
      </c>
      <c r="D11" t="s">
        <v>135</v>
      </c>
      <c r="E11">
        <v>1</v>
      </c>
      <c r="F11">
        <v>15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46242.801413078705</v>
      </c>
      <c r="C12">
        <f t="shared" si="0"/>
        <v>8</v>
      </c>
      <c r="D12" t="s">
        <v>136</v>
      </c>
      <c r="E12">
        <v>1</v>
      </c>
      <c r="F12">
        <v>690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690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46242.801413078705</v>
      </c>
      <c r="C13">
        <f t="shared" si="0"/>
        <v>9</v>
      </c>
      <c r="D13" t="s">
        <v>137</v>
      </c>
      <c r="E13">
        <v>1</v>
      </c>
      <c r="F13">
        <v>100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100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46242.801413078705</v>
      </c>
      <c r="C14">
        <f t="shared" si="0"/>
        <v>10</v>
      </c>
      <c r="D14" t="s">
        <v>138</v>
      </c>
      <c r="E14">
        <v>1</v>
      </c>
      <c r="F14">
        <v>100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100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46242.801413078705</v>
      </c>
      <c r="C15">
        <f t="shared" si="0"/>
        <v>11</v>
      </c>
      <c r="D15" t="s">
        <v>139</v>
      </c>
      <c r="E15">
        <v>1</v>
      </c>
      <c r="F15">
        <v>177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177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46242.801413078705</v>
      </c>
      <c r="C16">
        <f t="shared" si="0"/>
        <v>12</v>
      </c>
      <c r="D16" t="s">
        <v>141</v>
      </c>
      <c r="E16">
        <v>1</v>
      </c>
      <c r="F16">
        <v>200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200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46242.801413078705</v>
      </c>
      <c r="C17">
        <f t="shared" si="0"/>
        <v>13</v>
      </c>
      <c r="D17" t="s">
        <v>142</v>
      </c>
      <c r="E17">
        <v>1</v>
      </c>
      <c r="F17">
        <v>295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295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46242.801413078705</v>
      </c>
      <c r="C18" t="str">
        <f t="shared" si="0"/>
        <v/>
      </c>
      <c r="H18" s="5" t="str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46242.801413078705</v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46242.801413078705</v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46242.801413078705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46242.801413078705</v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46242.801413078705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46242.801413078705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46242.801413078705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46242.801413078705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46242.801413078705</v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128</v>
      </c>
      <c r="N27" s="15">
        <v>60</v>
      </c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 t="s">
        <v>140</v>
      </c>
      <c r="N28" s="15">
        <v>7951</v>
      </c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 t="s">
        <v>92</v>
      </c>
      <c r="N29" s="15">
        <v>8011</v>
      </c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46242.801413078705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46242.801413078705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46242.801413078705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46242.801413078705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46242.801413078705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46242.801413078705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46242.801413078705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46242.801413078705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46242.801413078705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46242.801413078705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46242.801413078705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46242.801413078705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46242.801413078705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46242.801413078705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46242.801413078705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46242.801413078705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46242.801413078705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46242.801413078705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46242.801413078705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46242.801413078705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>
        <f ca="1">IF(Tabla1[[#This Row],['#]]&lt;&gt;"", NOW(), "")</f>
        <v>46242.801413078705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>
        <f ca="1">IF(Tabla1[[#This Row],['#]]&lt;&gt;"", NOW(), "")</f>
        <v>46242.801413078705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03-08-26</vt:lpstr>
      <vt:lpstr>Martes 04-08-26</vt:lpstr>
      <vt:lpstr>Miercoles 05-08-11</vt:lpstr>
      <vt:lpstr> JUEVES 06-08-26</vt:lpstr>
      <vt:lpstr>Viernes 07-08-26</vt:lpstr>
      <vt:lpstr>Sabado 08-07-26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2026-08-09T01:15:00Z</dcterms:modified>
</cp:coreProperties>
</file>