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3B4F911B-720A-4EAF-A4BB-34621DC32A0D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Lunes 10-08-26" sheetId="1" r:id="rId1"/>
    <sheet name="Martes 11-08-26" sheetId="2" r:id="rId2"/>
    <sheet name="Miercoles" sheetId="3" r:id="rId3"/>
    <sheet name="Jueves" sheetId="4" r:id="rId4"/>
    <sheet name="Viernes" sheetId="5" r:id="rId5"/>
    <sheet name="Sabado" sheetId="6" r:id="rId6"/>
    <sheet name="Domingo" sheetId="8" r:id="rId7"/>
    <sheet name="Cambios" sheetId="7" r:id="rId8"/>
  </sheets>
  <definedNames>
    <definedName name="_xlnm._FilterDatabase" localSheetId="0" hidden="1">'Lunes 10-08-26'!$B$4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<sst xmlns="http://schemas.openxmlformats.org/spreadsheetml/2006/main" count="203" uniqueCount="85">
  <si>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</si>
  <si>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</si>
  <si>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</si>
  <si>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</si>
  <si>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</si>
  <si>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</si>
  <si>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</si>
  <si>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</si>
  <si>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Miercoles 01-02-03</t>
  </si>
  <si>
    <t>Jueves 01-02-03</t>
  </si>
  <si>
    <t>Viernes 01-02-03</t>
  </si>
  <si>
    <t>Sabado 01-02-03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</si>
  <si>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</si>
  <si>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</si>
  <si>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</si>
  <si>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</si>
  <si>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</si>
  <si>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</si>
  <si>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</si>
  <si>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</si>
  <si>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</si>
  <si>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</si>
  <si>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</si>
  <si>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</si>
  <si>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</si>
  <si>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</si>
  <si>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</si>
  <si>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</si>
  <si>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</si>
  <si>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10 DE AGOSTO-26</t>
  </si>
  <si>
    <t xml:space="preserve">PAGO A DANIEL </t>
  </si>
  <si>
    <t>RETEN DE BARRA FT150</t>
  </si>
  <si>
    <t>X</t>
  </si>
  <si>
    <t>PILA 12N7 3B</t>
  </si>
  <si>
    <t>SALPICADERA DM250</t>
  </si>
  <si>
    <t>CALAVERA DE DM250</t>
  </si>
  <si>
    <t>SWUITH DE 250Z</t>
  </si>
  <si>
    <t>NOTA 1</t>
  </si>
  <si>
    <t>ACEITE AKRON</t>
  </si>
  <si>
    <t>PILA QLINK YTX BS</t>
  </si>
  <si>
    <t xml:space="preserve">SEGURO DE CHABETA </t>
  </si>
  <si>
    <t>CAPUCHON DE BUJIA DS150</t>
  </si>
  <si>
    <t>CAPUCHON DE BUJIA FT150</t>
  </si>
  <si>
    <t>CENTRIFUJO DE 175</t>
  </si>
  <si>
    <t>DIRECCIONALES UNIVERSALES</t>
  </si>
  <si>
    <t xml:space="preserve">MANGUERA DE GASOLINA </t>
  </si>
  <si>
    <t>FILTRO DE AIRE WS175</t>
  </si>
  <si>
    <t xml:space="preserve">CUBREPUÑOS </t>
  </si>
  <si>
    <t>STIKER</t>
  </si>
  <si>
    <t>ACEITE REPSOL</t>
  </si>
  <si>
    <t xml:space="preserve">TOTAL </t>
  </si>
  <si>
    <t xml:space="preserve">CUENTA SEMANA PASADA $32963 MENOS $ 6113 DE PAGO A DANIEL,NOTA 1 Y DEL ACEITE AKRON QUEDA $26850 </t>
  </si>
  <si>
    <t>BOTON DE DIRECCIONAL</t>
  </si>
  <si>
    <t>BALATA DE TAMBOR DS150 WAPEMEX</t>
  </si>
  <si>
    <t xml:space="preserve">AUXILIAR DE BUHO </t>
  </si>
  <si>
    <t>BALATA DE DISCO DM200</t>
  </si>
  <si>
    <t>BARRA DE POSAPIE FT150</t>
  </si>
  <si>
    <t>REGULADOR DE DM200</t>
  </si>
  <si>
    <t>BALATA DE DISCO FT150</t>
  </si>
  <si>
    <t xml:space="preserve">FUSIBLE </t>
  </si>
  <si>
    <t>CHICOTE DE ACELERADOR HONDA CARGO</t>
  </si>
  <si>
    <t>CADENA 428 X 136</t>
  </si>
  <si>
    <t xml:space="preserve">GUANTES AZULES </t>
  </si>
  <si>
    <t>Martes 11 DE AGOSTO-26</t>
  </si>
  <si>
    <t>RED DE ACIENTO UNIVERSAL</t>
  </si>
  <si>
    <t>PASTAS DE CLUTH GTS175</t>
  </si>
  <si>
    <t xml:space="preserve">CINTA DE AISLAR GRANDE </t>
  </si>
  <si>
    <t>BRAZO DE DIRECION ATV 150 PAR</t>
  </si>
  <si>
    <t>MANDO DERECHO DM200</t>
  </si>
  <si>
    <t xml:space="preserve">ACEITE DIKAL </t>
  </si>
  <si>
    <t>PASTAS DE CLUTH FT150</t>
  </si>
  <si>
    <t>CHICOTE DE ACELERADOR FT150</t>
  </si>
  <si>
    <t>FABULLOSO</t>
  </si>
  <si>
    <t>CAMARA 120-80-18</t>
  </si>
  <si>
    <t>CINTA DE RUEDA UNIVERSAL</t>
  </si>
  <si>
    <t>CHICOTE UNIVERSAL CLUTH</t>
  </si>
  <si>
    <t>PROTECTOR NEGRO PARA CALZADO</t>
  </si>
  <si>
    <t>GOMA PROTECTORA DEL TANQUE</t>
  </si>
  <si>
    <t xml:space="preserve">ANTICONGELANTE </t>
  </si>
  <si>
    <t xml:space="preserve">ACEITE AKRON </t>
  </si>
  <si>
    <t>PASTAS DE DISCO ATV ITALIKA</t>
  </si>
  <si>
    <t>SELLO DE ESCAPE DS150</t>
  </si>
  <si>
    <t xml:space="preserve">PEDIDO NASAKI </t>
  </si>
  <si>
    <t xml:space="preserve">HARNES 4 PINES </t>
  </si>
  <si>
    <t xml:space="preserve">ACEITE YAMALUBE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</si>
</sst>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1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21</v>
      </c>
      <c r="K3" s="6">
        <f>SUM(Tabla1[Importa])</f>
        <v>4554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22</v>
      </c>
      <c r="K4" s="10">
        <f>COUNTIF(C5:C103,"&gt;0")</f>
        <v>28</v>
      </c>
      <c r="M4" s="36" t="s">
        <v>51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46245.750395138886</v>
      </c>
      <c r="C5">
        <f>IF(ISNUMBER(E5), IF(ISNUMBER(C4), C4+1, 1), "")</f>
        <v>1</v>
      </c>
      <c r="D5" t="s">
        <v>31</v>
      </c>
      <c r="E5">
        <v>1</v>
      </c>
      <c r="F5">
        <v>38</v>
      </c>
      <c r="G5" t="s">
        <v>32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34.5</v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>
        <f t="shared" ref="C6:C36" si="0">IF(ISNUMBER(E6), IF(ISNUMBER(C5), C5+1, 1), "")</f>
        <v>2</v>
      </c>
      <c r="D6" t="s">
        <v>33</v>
      </c>
      <c r="E6">
        <v>1</v>
      </c>
      <c r="F6">
        <v>556</v>
      </c>
      <c r="G6" t="s">
        <v>32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500.5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>
        <f t="shared" si="0"/>
        <v>3</v>
      </c>
      <c r="D7" t="s">
        <v>34</v>
      </c>
      <c r="E7">
        <v>1</v>
      </c>
      <c r="F7">
        <v>350</v>
      </c>
      <c r="G7" t="s">
        <v>32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315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>
        <f t="shared" si="0"/>
        <v>4</v>
      </c>
      <c r="D8" t="s">
        <v>35</v>
      </c>
      <c r="E8">
        <v>1</v>
      </c>
      <c r="F8">
        <v>162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162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>
        <f t="shared" si="0"/>
        <v>5</v>
      </c>
      <c r="D9" t="s">
        <v>36</v>
      </c>
      <c r="E9">
        <v>1</v>
      </c>
      <c r="F9">
        <v>700</v>
      </c>
      <c r="G9" t="s">
        <v>32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630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>
        <f t="shared" si="0"/>
        <v>6</v>
      </c>
      <c r="D10" t="s">
        <v>39</v>
      </c>
      <c r="E10">
        <v>1</v>
      </c>
      <c r="F10">
        <v>590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590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>
        <f t="shared" si="0"/>
        <v>7</v>
      </c>
      <c r="D11" t="s">
        <v>40</v>
      </c>
      <c r="E11">
        <v>3</v>
      </c>
      <c r="F11">
        <v>6</v>
      </c>
      <c r="G11" t="s">
        <v>32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16.5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>
        <f t="shared" si="0"/>
        <v>8</v>
      </c>
      <c r="D12" t="s">
        <v>43</v>
      </c>
      <c r="E12">
        <v>1</v>
      </c>
      <c r="F12">
        <v>390</v>
      </c>
      <c r="G12" t="s">
        <v>32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351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>
        <f t="shared" si="0"/>
        <v>9</v>
      </c>
      <c r="D13" t="s">
        <v>41</v>
      </c>
      <c r="E13">
        <v>1</v>
      </c>
      <c r="F13">
        <v>20</v>
      </c>
      <c r="G13" t="s">
        <v>32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>
        <f t="shared" si="0"/>
        <v>10</v>
      </c>
      <c r="D14" t="s">
        <v>42</v>
      </c>
      <c r="E14">
        <v>1</v>
      </c>
      <c r="F14">
        <v>140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140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>
        <f t="shared" si="0"/>
        <v>11</v>
      </c>
      <c r="D15" t="s">
        <v>44</v>
      </c>
      <c r="E15">
        <v>1</v>
      </c>
      <c r="F15">
        <v>110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110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>
        <f t="shared" si="0"/>
        <v>12</v>
      </c>
      <c r="D16" t="s">
        <v>45</v>
      </c>
      <c r="E16">
        <v>1</v>
      </c>
      <c r="F16">
        <v>30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30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>
        <f t="shared" si="0"/>
        <v>13</v>
      </c>
      <c r="D17" t="s">
        <v>46</v>
      </c>
      <c r="E17">
        <v>1</v>
      </c>
      <c r="F17">
        <v>64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64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>
        <f t="shared" si="0"/>
        <v>14</v>
      </c>
      <c r="D18" t="s">
        <v>47</v>
      </c>
      <c r="E18">
        <v>1</v>
      </c>
      <c r="F18">
        <v>300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300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>
        <f t="shared" si="0"/>
        <v>15</v>
      </c>
      <c r="D19" t="s">
        <v>48</v>
      </c>
      <c r="E19">
        <v>2</v>
      </c>
      <c r="F19">
        <v>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>
        <f t="shared" si="0"/>
        <v>16</v>
      </c>
      <c r="D20" t="s">
        <v>48</v>
      </c>
      <c r="E20">
        <v>5</v>
      </c>
      <c r="F20">
        <v>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25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>
        <f t="shared" si="0"/>
        <v>17</v>
      </c>
      <c r="D21" t="s">
        <v>49</v>
      </c>
      <c r="E21">
        <v>1</v>
      </c>
      <c r="F21">
        <v>147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147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>
        <f t="shared" si="0"/>
        <v>18</v>
      </c>
      <c r="D22" t="s">
        <v>52</v>
      </c>
      <c r="E22">
        <v>1</v>
      </c>
      <c r="F22">
        <v>15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>
        <f t="shared" si="0"/>
        <v>19</v>
      </c>
      <c r="D23" t="s">
        <v>53</v>
      </c>
      <c r="E23">
        <v>1</v>
      </c>
      <c r="F23">
        <v>75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75</v>
      </c>
    </row>
    <row r="24" spans="2:18" ht="15" customHeight="1" x14ac:dyDescent="0.25">
      <c r="B24" s="18">
        <f ca="1">IF(Tabla1[[#This Row],['#]]&lt;&gt;"", NOW(), "")</f>
        <v>46245.750395138886</v>
      </c>
      <c r="C24">
        <f t="shared" si="0"/>
        <v>20</v>
      </c>
      <c r="D24" t="s">
        <v>54</v>
      </c>
      <c r="E24">
        <v>1</v>
      </c>
      <c r="F24">
        <v>150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150</v>
      </c>
      <c r="M24" s="32" t="s">
        <v>23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46245.750395138886</v>
      </c>
      <c r="C25">
        <f t="shared" si="0"/>
        <v>21</v>
      </c>
      <c r="D25" t="s">
        <v>55</v>
      </c>
      <c r="E25">
        <v>1</v>
      </c>
      <c r="F25">
        <v>48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48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46245.750395138886</v>
      </c>
      <c r="C26">
        <f t="shared" si="0"/>
        <v>22</v>
      </c>
      <c r="D26" t="s">
        <v>56</v>
      </c>
      <c r="E26">
        <v>1</v>
      </c>
      <c r="F26">
        <v>266</v>
      </c>
      <c r="G26" t="s">
        <v>32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239.5</v>
      </c>
      <c r="M26" s="31" t="s">
        <v>24</v>
      </c>
      <c r="N26" s="31"/>
      <c r="O26" s="14" t="s">
        <v>25</v>
      </c>
      <c r="P26" s="31" t="s">
        <v>26</v>
      </c>
      <c r="Q26" s="31"/>
      <c r="R26" s="31"/>
    </row>
    <row r="27" spans="2:18" x14ac:dyDescent="0.25">
      <c r="B27" s="18">
        <f ca="1">IF(Tabla1[[#This Row],['#]]&lt;&gt;"", NOW(), "")</f>
        <v>46245.750395138886</v>
      </c>
      <c r="C27">
        <f t="shared" si="0"/>
        <v>23</v>
      </c>
      <c r="D27" t="s">
        <v>57</v>
      </c>
      <c r="E27">
        <v>1</v>
      </c>
      <c r="F27">
        <v>104</v>
      </c>
      <c r="G27" t="s">
        <v>32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94</v>
      </c>
      <c r="M27" s="19" t="s">
        <v>30</v>
      </c>
      <c r="N27" s="20"/>
      <c r="O27" s="23">
        <v>2070</v>
      </c>
      <c r="P27" s="25"/>
      <c r="Q27" s="26"/>
      <c r="R27" s="27"/>
    </row>
    <row r="28" spans="2:18" x14ac:dyDescent="0.25">
      <c r="B28" s="18">
        <f ca="1">IF(Tabla1[[#This Row],['#]]&lt;&gt;"", NOW(), "")</f>
        <v>46245.750395138886</v>
      </c>
      <c r="C28">
        <f t="shared" si="0"/>
        <v>24</v>
      </c>
      <c r="D28" t="s">
        <v>58</v>
      </c>
      <c r="E28">
        <v>1</v>
      </c>
      <c r="F28">
        <v>42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42</v>
      </c>
      <c r="M28" s="21"/>
      <c r="N28" s="22"/>
      <c r="O28" s="24"/>
      <c r="P28" s="28"/>
      <c r="Q28" s="29"/>
      <c r="R28" s="30"/>
    </row>
    <row r="29" spans="2:18" x14ac:dyDescent="0.25">
      <c r="B29" s="18">
        <f ca="1">IF(Tabla1[[#This Row],['#]]&lt;&gt;"", NOW(), "")</f>
        <v>46245.750395138886</v>
      </c>
      <c r="C29">
        <f t="shared" si="0"/>
        <v>25</v>
      </c>
      <c r="D29" t="s">
        <v>59</v>
      </c>
      <c r="E29">
        <v>4</v>
      </c>
      <c r="F29">
        <v>3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12</v>
      </c>
      <c r="M29" s="19" t="s">
        <v>37</v>
      </c>
      <c r="N29" s="20"/>
      <c r="O29" s="23">
        <v>1243</v>
      </c>
      <c r="P29" s="25"/>
      <c r="Q29" s="26"/>
      <c r="R29" s="27"/>
    </row>
    <row r="30" spans="2:18" x14ac:dyDescent="0.25">
      <c r="B30" s="18">
        <f ca="1">IF(Tabla1[[#This Row],['#]]&lt;&gt;"", NOW(), "")</f>
        <v>46245.750395138886</v>
      </c>
      <c r="C30">
        <f t="shared" si="0"/>
        <v>26</v>
      </c>
      <c r="D30" t="s">
        <v>60</v>
      </c>
      <c r="E30">
        <v>1</v>
      </c>
      <c r="F30">
        <v>35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35</v>
      </c>
      <c r="M30" s="21"/>
      <c r="N30" s="22"/>
      <c r="O30" s="24"/>
      <c r="P30" s="28"/>
      <c r="Q30" s="29"/>
      <c r="R30" s="30"/>
    </row>
    <row r="31" spans="2:18" x14ac:dyDescent="0.25">
      <c r="B31" s="18">
        <f ca="1">IF(Tabla1[[#This Row],['#]]&lt;&gt;"", NOW(), "")</f>
        <v>46245.750395138886</v>
      </c>
      <c r="C31">
        <f t="shared" si="0"/>
        <v>27</v>
      </c>
      <c r="D31" t="s">
        <v>61</v>
      </c>
      <c r="E31">
        <v>1</v>
      </c>
      <c r="F31">
        <v>175</v>
      </c>
      <c r="H31" s="5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>175</v>
      </c>
      <c r="M31" s="19" t="s">
        <v>38</v>
      </c>
      <c r="N31" s="20"/>
      <c r="O31" s="23">
        <v>2800</v>
      </c>
      <c r="P31" s="25"/>
      <c r="Q31" s="26"/>
      <c r="R31" s="27"/>
    </row>
    <row r="32" spans="2:18" x14ac:dyDescent="0.25">
      <c r="B32" s="18">
        <f ca="1">IF(Tabla1[[#This Row],['#]]&lt;&gt;"", NOW(), "")</f>
        <v>46245.750395138886</v>
      </c>
      <c r="C32">
        <f t="shared" si="0"/>
        <v>28</v>
      </c>
      <c r="D32" t="s">
        <v>62</v>
      </c>
      <c r="E32">
        <v>1</v>
      </c>
      <c r="F32">
        <v>225</v>
      </c>
      <c r="H32" s="5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>225</v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 t="s">
        <v>50</v>
      </c>
      <c r="N33" s="20"/>
      <c r="O33" s="23">
        <v>6113</v>
      </c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63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21</v>
      </c>
      <c r="K3" s="6">
        <f>SUM(Tabla110[Importa])</f>
        <v>2041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22</v>
      </c>
      <c r="K4" s="10">
        <f>COUNTIF(C5:C103,"&gt;0")</f>
        <v>19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46245.750395138886</v>
      </c>
      <c r="C5">
        <f t="shared" ref="C5:C68" si="0">IF(ISNUMBER(E5), IF(ISNUMBER(C4), C4+1, 1), "")</f>
        <v>1</v>
      </c>
      <c r="D5" t="s">
        <v>64</v>
      </c>
      <c r="E5">
        <v>1</v>
      </c>
      <c r="F5">
        <v>150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150</v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>
        <f t="shared" si="0"/>
        <v>2</v>
      </c>
      <c r="D6" t="s">
        <v>65</v>
      </c>
      <c r="E6">
        <v>1</v>
      </c>
      <c r="F6">
        <v>395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395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>
        <f t="shared" si="0"/>
        <v>3</v>
      </c>
      <c r="D7" t="s">
        <v>66</v>
      </c>
      <c r="E7">
        <v>1</v>
      </c>
      <c r="F7">
        <v>22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>
        <f t="shared" si="0"/>
        <v>4</v>
      </c>
      <c r="D8" t="s">
        <v>67</v>
      </c>
      <c r="E8">
        <v>1</v>
      </c>
      <c r="F8">
        <v>600</v>
      </c>
      <c r="G8" t="s">
        <v>32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540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>
        <f t="shared" si="0"/>
        <v>5</v>
      </c>
      <c r="D9" t="s">
        <v>68</v>
      </c>
      <c r="E9">
        <v>1</v>
      </c>
      <c r="F9">
        <v>87</v>
      </c>
      <c r="G9" t="s">
        <v>32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78.5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>
        <f t="shared" si="0"/>
        <v>6</v>
      </c>
      <c r="D10" t="s">
        <v>69</v>
      </c>
      <c r="E10">
        <v>1</v>
      </c>
      <c r="F10">
        <v>95</v>
      </c>
      <c r="G10" t="s">
        <v>32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90.5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>
        <f t="shared" si="0"/>
        <v>7</v>
      </c>
      <c r="D11" t="s">
        <v>70</v>
      </c>
      <c r="E11">
        <v>1</v>
      </c>
      <c r="F11">
        <v>70</v>
      </c>
      <c r="G11" t="s">
        <v>32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63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>
        <f t="shared" si="0"/>
        <v>8</v>
      </c>
      <c r="D12" t="s">
        <v>71</v>
      </c>
      <c r="E12">
        <v>1</v>
      </c>
      <c r="F12">
        <v>35</v>
      </c>
      <c r="G12" t="s">
        <v>32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31.5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>
        <f t="shared" si="0"/>
        <v>9</v>
      </c>
      <c r="D13" t="s">
        <v>73</v>
      </c>
      <c r="E13">
        <v>1</v>
      </c>
      <c r="F13">
        <v>120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>
        <f t="shared" si="0"/>
        <v>10</v>
      </c>
      <c r="D14" t="s">
        <v>74</v>
      </c>
      <c r="E14">
        <v>1</v>
      </c>
      <c r="F14">
        <v>20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>
        <f t="shared" si="0"/>
        <v>11</v>
      </c>
      <c r="D15" t="s">
        <v>75</v>
      </c>
      <c r="E15">
        <v>1</v>
      </c>
      <c r="F15">
        <v>15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>
        <f t="shared" si="0"/>
        <v>12</v>
      </c>
      <c r="D16" t="s">
        <v>76</v>
      </c>
      <c r="E16">
        <v>1</v>
      </c>
      <c r="F16">
        <v>95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95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>
        <f t="shared" si="0"/>
        <v>13</v>
      </c>
      <c r="D17" t="s">
        <v>77</v>
      </c>
      <c r="E17">
        <v>2</v>
      </c>
      <c r="F17">
        <v>15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30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>
        <f t="shared" si="0"/>
        <v>14</v>
      </c>
      <c r="D18" t="s">
        <v>78</v>
      </c>
      <c r="E18">
        <v>1</v>
      </c>
      <c r="F18">
        <v>45</v>
      </c>
      <c r="G18" t="s">
        <v>32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40.5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>
        <f t="shared" si="0"/>
        <v>15</v>
      </c>
      <c r="D19" t="s">
        <v>79</v>
      </c>
      <c r="E19">
        <v>1</v>
      </c>
      <c r="F19">
        <v>130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>
        <f t="shared" si="0"/>
        <v>16</v>
      </c>
      <c r="D20" t="s">
        <v>80</v>
      </c>
      <c r="E20">
        <v>1</v>
      </c>
      <c r="F20">
        <v>42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42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>
        <f t="shared" si="0"/>
        <v>17</v>
      </c>
      <c r="D21" t="s">
        <v>81</v>
      </c>
      <c r="E21">
        <v>1</v>
      </c>
      <c r="F21">
        <v>10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>
        <f t="shared" si="0"/>
        <v>18</v>
      </c>
      <c r="D22" t="s">
        <v>83</v>
      </c>
      <c r="E22">
        <v>1</v>
      </c>
      <c r="F22">
        <v>20</v>
      </c>
      <c r="G22" t="s">
        <v>32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18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>
        <f t="shared" si="0"/>
        <v>19</v>
      </c>
      <c r="D23" t="s">
        <v>84</v>
      </c>
      <c r="E23">
        <v>1</v>
      </c>
      <c r="F23">
        <v>150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150</v>
      </c>
    </row>
    <row r="24" spans="2:18" ht="15" customHeight="1" x14ac:dyDescent="0.25">
      <c r="B24" s="18">
        <f ca="1">IF(Tabla1[[#This Row],['#]]&lt;&gt;"", NOW(), "")</f>
        <v>46245.750395138886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23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46245.750395138886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46245.750395138886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24</v>
      </c>
      <c r="N26" s="14" t="s">
        <v>25</v>
      </c>
      <c r="O26" s="31" t="s">
        <v>26</v>
      </c>
      <c r="P26" s="31"/>
      <c r="Q26" s="31"/>
      <c r="R26" s="31"/>
    </row>
    <row r="27" spans="2:18" ht="30" x14ac:dyDescent="0.25">
      <c r="B27" s="18">
        <f ca="1">IF(Tabla1[[#This Row],['#]]&lt;&gt;"", NOW(), "")</f>
        <v>46245.750395138886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72</v>
      </c>
      <c r="N27" s="15">
        <v>9</v>
      </c>
      <c r="O27" s="39"/>
      <c r="P27" s="40"/>
      <c r="Q27" s="40"/>
      <c r="R27" s="41"/>
    </row>
    <row r="28" spans="2:18" ht="30" x14ac:dyDescent="0.25">
      <c r="B28" s="18">
        <f ca="1">IF(Tabla1[[#This Row],['#]]&lt;&gt;"", NOW(), "")</f>
        <v>46245.750395138886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82</v>
      </c>
      <c r="N28" s="15">
        <v>2550</v>
      </c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46245.750395138886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46245.750395138886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46245.750395138886</v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46245.750395138886</v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21</v>
      </c>
      <c r="K3" s="6">
        <f>SUM(Tabla111[Importa])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22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IF(Tabla111[[#This Row],['#]]&lt;&gt;"", NOW(), "")</f>
        <v/>
      </c>
      <c r="C5" t="str">
        <f>IF(ISNUMBER(E5), IF(ISNUMBER(C4), C4+1, 1), "")</f>
        <v/>
      </c>
      <c r="H5" s="5" t="str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/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 t="str">
        <f>IF(ISNUMBER(E6), IF(ISNUMBER(C5), C5+1, 1), "")</f>
        <v/>
      </c>
      <c r="H6" s="5" t="str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 t="str">
        <f>IF(ISNUMBER(E7), IF(ISNUMBER(C6), C6+1, 1), "")</f>
        <v/>
      </c>
      <c r="H7" s="5" t="str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 t="str">
        <f t="shared" ref="C8:C68" si="0">IF(ISNUMBER(E8), IF(ISNUMBER(C7), C7+1, 1), "")</f>
        <v/>
      </c>
      <c r="H8" s="5" t="str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 t="str">
        <f t="shared" si="0"/>
        <v/>
      </c>
      <c r="H9" s="5" t="str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 t="str">
        <f t="shared" si="0"/>
        <v/>
      </c>
      <c r="H10" s="5" t="str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 t="str">
        <f t="shared" si="0"/>
        <v/>
      </c>
      <c r="H11" s="5" t="str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 t="str">
        <f t="shared" si="0"/>
        <v/>
      </c>
      <c r="H12" s="5" t="str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 t="str">
        <f t="shared" si="0"/>
        <v/>
      </c>
      <c r="H13" s="5" t="str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 t="str">
        <f t="shared" si="0"/>
        <v/>
      </c>
      <c r="H14" s="5" t="str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 t="str">
        <f t="shared" si="0"/>
        <v/>
      </c>
      <c r="H15" s="5" t="str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 t="str">
        <f t="shared" si="0"/>
        <v/>
      </c>
      <c r="H16" s="5" t="str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 t="str">
        <f t="shared" si="0"/>
        <v/>
      </c>
      <c r="H17" s="5" t="str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 t="str">
        <f t="shared" si="0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 t="str">
        <f t="shared" si="0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 t="str">
        <f t="shared" si="0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 t="str">
        <f t="shared" si="0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 t="str">
        <f t="shared" si="0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46245.750395138886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23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46245.750395138886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46245.750395138886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24</v>
      </c>
      <c r="N26" s="14" t="s">
        <v>25</v>
      </c>
      <c r="O26" s="31" t="s">
        <v>26</v>
      </c>
      <c r="P26" s="31"/>
      <c r="Q26" s="31"/>
      <c r="R26" s="31"/>
    </row>
    <row r="27" spans="2:18" x14ac:dyDescent="0.25">
      <c r="B27" s="18">
        <f ca="1">IF(Tabla1[[#This Row],['#]]&lt;&gt;"", NOW(), "")</f>
        <v>46245.750395138886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>
        <f ca="1">IF(Tabla1[[#This Row],['#]]&lt;&gt;"", NOW(), "")</f>
        <v>46245.750395138886</v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>
        <f ca="1">IF(Tabla1[[#This Row],['#]]&lt;&gt;"", NOW(), "")</f>
        <v>46245.750395138886</v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>
        <f ca="1">IF(Tabla1[[#This Row],['#]]&lt;&gt;"", NOW(), "")</f>
        <v>46245.750395138886</v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>
        <f ca="1">IF(Tabla1[[#This Row],['#]]&lt;&gt;"", NOW(), "")</f>
        <v>46245.750395138886</v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>
        <f ca="1">IF(Tabla1[[#This Row],['#]]&lt;&gt;"", NOW(), "")</f>
        <v>46245.750395138886</v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21</v>
      </c>
      <c r="K3" s="6">
        <f>SUM(Tabla112[Importa])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22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IF(Tabla112[[#This Row],['#]]&lt;&gt;"", NOW(), "")</f>
        <v/>
      </c>
      <c r="C5" t="str">
        <f t="shared" ref="C5:C68" si="0">IF(ISNUMBER(E5), IF(ISNUMBER(C4), C4+1, 1), "")</f>
        <v/>
      </c>
      <c r="H5" s="5" t="str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/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 t="str">
        <f t="shared" si="0"/>
        <v/>
      </c>
      <c r="H6" s="5" t="str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 t="str">
        <f t="shared" si="0"/>
        <v/>
      </c>
      <c r="H7" s="5" t="str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 t="str">
        <f t="shared" si="0"/>
        <v/>
      </c>
      <c r="H8" s="5" t="str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 t="str">
        <f t="shared" si="0"/>
        <v/>
      </c>
      <c r="H9" s="5" t="str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 t="str">
        <f t="shared" si="0"/>
        <v/>
      </c>
      <c r="H10" s="5" t="str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 t="str">
        <f t="shared" si="0"/>
        <v/>
      </c>
      <c r="H11" s="5" t="str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 t="str">
        <f t="shared" si="0"/>
        <v/>
      </c>
      <c r="H12" s="5" t="str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 t="str">
        <f t="shared" si="0"/>
        <v/>
      </c>
      <c r="H13" s="5" t="str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 t="str">
        <f t="shared" si="0"/>
        <v/>
      </c>
      <c r="H14" s="5" t="str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46245.750395138886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23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46245.750395138886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46245.750395138886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24</v>
      </c>
      <c r="N26" s="14" t="s">
        <v>25</v>
      </c>
      <c r="O26" s="31" t="s">
        <v>26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46245.750395138886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46245.750395138886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46245.750395138886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46245.750395138886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46245.750395138886</v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46245.750395138886</v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B1" sqref="B1:B104857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21</v>
      </c>
      <c r="K3" s="6">
        <f>SUM(Tabla113[Importa])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22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IF(Tabla113[[#This Row],['#]]&lt;&gt;"", NOW(), "")</f>
        <v/>
      </c>
      <c r="C5" t="str">
        <f t="shared" ref="C5:C68" si="0">IF(ISNUMBER(E5), IF(ISNUMBER(C4), C4+1, 1), "")</f>
        <v/>
      </c>
      <c r="H5" s="5" t="str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/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 t="str">
        <f t="shared" si="0"/>
        <v/>
      </c>
      <c r="H6" s="5" t="str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 t="str">
        <f t="shared" si="0"/>
        <v/>
      </c>
      <c r="H7" s="5" t="str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 t="str">
        <f t="shared" si="0"/>
        <v/>
      </c>
      <c r="H8" s="5" t="str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 t="str">
        <f t="shared" si="0"/>
        <v/>
      </c>
      <c r="H9" s="5" t="str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 t="str">
        <f t="shared" si="0"/>
        <v/>
      </c>
      <c r="H10" s="5" t="str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 t="str">
        <f t="shared" si="0"/>
        <v/>
      </c>
      <c r="H11" s="5" t="str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 t="str">
        <f t="shared" si="0"/>
        <v/>
      </c>
      <c r="H12" s="5" t="str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 t="str">
        <f t="shared" si="0"/>
        <v/>
      </c>
      <c r="H13" s="5" t="str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 t="str">
        <f t="shared" si="0"/>
        <v/>
      </c>
      <c r="H14" s="5" t="str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 t="str">
        <f t="shared" si="0"/>
        <v/>
      </c>
      <c r="H15" s="5" t="str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 t="str">
        <f t="shared" si="0"/>
        <v/>
      </c>
      <c r="H16" s="5" t="str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 t="str">
        <f t="shared" si="0"/>
        <v/>
      </c>
      <c r="H17" s="5" t="str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46245.750395138886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23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46245.750395138886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46245.750395138886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24</v>
      </c>
      <c r="N26" s="14" t="s">
        <v>25</v>
      </c>
      <c r="O26" s="31" t="s">
        <v>26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46245.750395138886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46245.750395138886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46245.750395138886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46245.750395138886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46245.750395138886</v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46245.750395138886</v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workbookViewId="0">
      <selection activeCell="D5" sqref="D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21</v>
      </c>
      <c r="K3" s="6">
        <f>SUM(Tabla114[Importa])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22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IF(Tabla114[[#This Row],['#]]&lt;&gt;"", NOW(), "")</f>
        <v/>
      </c>
      <c r="C5" t="str">
        <f t="shared" ref="C5:C68" si="0">IF(ISNUMBER(E5), IF(ISNUMBER(C4), C4+1, 1), "")</f>
        <v/>
      </c>
      <c r="H5" s="5" t="str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/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 t="str">
        <f t="shared" si="0"/>
        <v/>
      </c>
      <c r="H6" s="5" t="str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 t="str">
        <f t="shared" si="0"/>
        <v/>
      </c>
      <c r="H7" s="5" t="str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 t="str">
        <f t="shared" si="0"/>
        <v/>
      </c>
      <c r="H8" s="5" t="str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 t="str">
        <f t="shared" si="0"/>
        <v/>
      </c>
      <c r="H9" s="5" t="str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 t="str">
        <f t="shared" si="0"/>
        <v/>
      </c>
      <c r="H10" s="5" t="str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 t="str">
        <f t="shared" si="0"/>
        <v/>
      </c>
      <c r="H11" s="5" t="str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46245.750395138886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23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46245.750395138886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46245.750395138886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24</v>
      </c>
      <c r="N26" s="14" t="s">
        <v>25</v>
      </c>
      <c r="O26" s="31" t="s">
        <v>26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46245.750395138886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46245.750395138886</v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46245.750395138886</v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46245.750395138886</v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46245.750395138886</v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46245.750395138886</v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21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27</v>
      </c>
      <c r="C4" t="s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22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15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46245.750395138886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46245.750395138886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46245.750395138886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46245.750395138886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46245.750395138886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46245.750395138886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46245.750395138886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46245.750395138886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46245.750395138886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46245.750395138886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46245.750395138886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46245.750395138886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46245.750395138886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46245.750395138886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46245.750395138886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46245.750395138886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46245.750395138886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46245.750395138886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46245.750395138886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23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46245.750395138886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46245.750395138886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24</v>
      </c>
      <c r="N26" s="14" t="s">
        <v>25</v>
      </c>
      <c r="O26" s="31" t="s">
        <v>26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46245.750395138886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>
        <f ca="1">IF(Tabla1[[#This Row],['#]]&lt;&gt;"", NOW(), "")</f>
        <v>46245.750395138886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>
        <f ca="1">IF(Tabla1[[#This Row],['#]]&lt;&gt;"", NOW(), "")</f>
        <v>46245.750395138886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>
        <f ca="1">IF(Tabla1[[#This Row],['#]]&lt;&gt;"", NOW(), "")</f>
        <v>46245.750395138886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>
        <f ca="1">IF(Tabla1[[#This Row],['#]]&lt;&gt;"", NOW(), "")</f>
        <v>46245.750395138886</v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>
        <f ca="1">IF(Tabla1[[#This Row],['#]]&lt;&gt;"", NOW(), "")</f>
        <v>46245.750395138886</v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12</v>
      </c>
      <c r="C3" t="s">
        <v>13</v>
      </c>
      <c r="D3" t="s">
        <v>14</v>
      </c>
    </row>
    <row r="4" spans="2:5" ht="30" x14ac:dyDescent="0.25">
      <c r="B4" s="4" t="s">
        <v>16</v>
      </c>
      <c r="C4" s="2">
        <v>45576</v>
      </c>
      <c r="D4" s="3">
        <v>1.1000000000000001</v>
      </c>
      <c r="E4" s="3"/>
    </row>
    <row r="5" spans="2:5" ht="45" x14ac:dyDescent="0.25">
      <c r="B5" s="7" t="s">
        <v>20</v>
      </c>
      <c r="C5" s="3" t="s">
        <v>17</v>
      </c>
      <c r="D5" s="3">
        <v>1.2</v>
      </c>
      <c r="E5" s="3"/>
    </row>
    <row r="6" spans="2:5" ht="30" x14ac:dyDescent="0.25">
      <c r="B6" s="7" t="s">
        <v>28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10-08-26</vt:lpstr>
      <vt:lpstr>Martes 11-08-26</vt:lpstr>
      <vt:lpstr>Miercoles</vt:lpstr>
      <vt:lpstr>Jueves</vt:lpstr>
      <vt:lpstr>Viernes</vt:lpstr>
      <vt:lpstr>Sabado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2026-08-12T00:00:52Z</dcterms:modified>
</cp:coreProperties>
</file>