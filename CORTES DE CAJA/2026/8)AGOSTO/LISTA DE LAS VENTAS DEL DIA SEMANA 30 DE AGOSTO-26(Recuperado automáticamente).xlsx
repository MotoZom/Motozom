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4328947-D78B-47E8-82FF-AED139BBDD98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4-08-26" sheetId="1" r:id="rId1"/>
    <sheet name="Martes 25-08-26" sheetId="2" r:id="rId2"/>
    <sheet name="Miercoles 26-08-26" sheetId="3" r:id="rId3"/>
    <sheet name="Jueves 27-08-26" sheetId="4" r:id="rId4"/>
    <sheet name="Viernes 28-08-29" sheetId="5" r:id="rId5"/>
    <sheet name="Sabado 29-08-26" sheetId="6" r:id="rId6"/>
    <sheet name="Domingo" sheetId="8" r:id="rId7"/>
    <sheet name="Cambios" sheetId="7" r:id="rId8"/>
  </sheets>
  <definedNames>
    <definedName name="_xlnm._FilterDatabase" localSheetId="0" hidden="1">'Lunes 24-08-26'!$B$4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2" i="5"/>
  <c r="C23" i="5" s="1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7" i="2"/>
  <c r="C8" i="2" s="1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<sst xmlns="http://schemas.openxmlformats.org/spreadsheetml/2006/main" count="343" uniqueCount="159">
  <si>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</si>
  <si>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</si>
  <si>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</si>
  <si>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</si>
  <si>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</si>
  <si>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</si>
  <si>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</si>
  <si>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</si>
  <si>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</si>
  <si>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</si>
  <si>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</si>
  <si>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</si>
  <si>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</si>
  <si>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</si>
  <si>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</si>
  <si>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</si>
  <si>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</si>
  <si>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</si>
  <si>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</si>
  <si>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</si>
  <si>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</si>
  <si>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</si>
  <si>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</si>
  <si>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</si>
  <si>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</si>
  <si>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24 DE AGOSTO-26</t>
  </si>
  <si>
    <t>X</t>
  </si>
  <si>
    <t xml:space="preserve">FILTRO DE ACEIT YAMAHA </t>
  </si>
  <si>
    <t>ACEITE DIKAL</t>
  </si>
  <si>
    <t xml:space="preserve">PORTA PLACA </t>
  </si>
  <si>
    <t xml:space="preserve">RED DE CASCO </t>
  </si>
  <si>
    <t>FILTRO DE GASOLINA CARTRON</t>
  </si>
  <si>
    <t>BUJIA D8</t>
  </si>
  <si>
    <t xml:space="preserve">DIRECCIONALES UNIVERSALES </t>
  </si>
  <si>
    <t>ARNES DE CDI</t>
  </si>
  <si>
    <t>RELEVADOR DE DS150</t>
  </si>
  <si>
    <t>STIKER</t>
  </si>
  <si>
    <t>PEDIDO ALESSIA</t>
  </si>
  <si>
    <t xml:space="preserve">SELLADOR DE ROSCA </t>
  </si>
  <si>
    <t>FILTRO DE AIRE DS150 ITALIKA</t>
  </si>
  <si>
    <t>BUJIA C7</t>
  </si>
  <si>
    <t xml:space="preserve">FILTRO DE GASOLINA CARTON </t>
  </si>
  <si>
    <t>CADENA DE DISTRIBUCCION DS150</t>
  </si>
  <si>
    <t>CAPUCHON DE BUJIA DS150</t>
  </si>
  <si>
    <t xml:space="preserve">PROTECTOR DE PEDAL </t>
  </si>
  <si>
    <t>BALATA DE TAMBOR FYT150</t>
  </si>
  <si>
    <t xml:space="preserve">DIRECCIONAL DE CALAVERA </t>
  </si>
  <si>
    <t>CABLE SUELTO NEGRO</t>
  </si>
  <si>
    <t xml:space="preserve">CUENTA DE LA SEMANA PASADA $36891.5 MENOS $ 4343 DE PEDIDO DE ALESSIA QUEDA $ 32548.5 </t>
  </si>
  <si>
    <t>Martes 25 DE AGOSTO-26</t>
  </si>
  <si>
    <t>MARCHA DE VENTO ROKEMAN</t>
  </si>
  <si>
    <t>RETEN DE PULSAR</t>
  </si>
  <si>
    <t xml:space="preserve">LIQUIDO DE FRENOS </t>
  </si>
  <si>
    <t>LLANATA 120-90-10</t>
  </si>
  <si>
    <t>ESTATOR DE DS150</t>
  </si>
  <si>
    <t>BALATA DE TAMBOR DE ALESSIA</t>
  </si>
  <si>
    <t>BALATA DE DISCO DS150</t>
  </si>
  <si>
    <t>BALATA DE TAMBOR CHICO</t>
  </si>
  <si>
    <t>PEDIDO WAPEMEX</t>
  </si>
  <si>
    <t xml:space="preserve">GOMAS DE POSAPIE </t>
  </si>
  <si>
    <t>DIRECCIONAL DE FT125</t>
  </si>
  <si>
    <t>BUJIA C9</t>
  </si>
  <si>
    <t>CUENTA DE SEMANA PASADA $32548.5 MENOS $ 5914 DE PEDIDO DE WAPEMEX QUEDA $26634.5</t>
  </si>
  <si>
    <t>VALVULAS DE FZ16</t>
  </si>
  <si>
    <t>SELLOS DE ESCDAPE FT150</t>
  </si>
  <si>
    <t xml:space="preserve">CONTRAPESO MANUBRIO </t>
  </si>
  <si>
    <t>FOCO DE STOP</t>
  </si>
  <si>
    <t>FILTRO DE AIRE WS150 SPORT</t>
  </si>
  <si>
    <t>BUJIA D8150</t>
  </si>
  <si>
    <t>Miercoles 26 DE AGOSTO-26</t>
  </si>
  <si>
    <t>POPOTE PARA RIND AZUL</t>
  </si>
  <si>
    <t>BALERO 6003</t>
  </si>
  <si>
    <t>CHICOTE DE CLUTH UNIVERSAL</t>
  </si>
  <si>
    <t>FILTRO DE ACEI YBR125</t>
  </si>
  <si>
    <t>MARCHA DE YBR125</t>
  </si>
  <si>
    <t>CUBREPOLVO DE ATV 150</t>
  </si>
  <si>
    <t>ESPEJOS DE FT150</t>
  </si>
  <si>
    <t>PILA 6.5 ALESSIA</t>
  </si>
  <si>
    <t>PILA MOTONETA WINMEX</t>
  </si>
  <si>
    <t xml:space="preserve">SWITH DE PRESION </t>
  </si>
  <si>
    <t>PEDIDO NASAKI</t>
  </si>
  <si>
    <t xml:space="preserve">CUENTA DE SEMANA PASADA $ 26634.5 MENOS $2486 DE PEDIDO NASAKI QUEDA $24148.5 </t>
  </si>
  <si>
    <t>Jueves 27 DE AGOSTO-26</t>
  </si>
  <si>
    <t>Viernes 28 DE AGOSTO-26</t>
  </si>
  <si>
    <t>LUNES 24 DE AGOSTO-26</t>
  </si>
  <si>
    <t>ALESSIA</t>
  </si>
  <si>
    <t>WAPEM</t>
  </si>
  <si>
    <t>MARTES 25 DE AGOSTO-26</t>
  </si>
  <si>
    <t>P.NASAKI</t>
  </si>
  <si>
    <t>MIERCOLES 26 DE AGOSTO-26</t>
  </si>
  <si>
    <t xml:space="preserve">P.OSCAR </t>
  </si>
  <si>
    <t>VIERNES 28 DE AGOSTO-26</t>
  </si>
  <si>
    <t>PAGOYAS</t>
  </si>
  <si>
    <t>TOTAL</t>
  </si>
  <si>
    <t xml:space="preserve">TOTAL DE EGRESOS </t>
  </si>
  <si>
    <t>MANDO IZQUIERDO DM200</t>
  </si>
  <si>
    <t>VALIKER</t>
  </si>
  <si>
    <t>JUEVES 27 DE AGOSTO-26</t>
  </si>
  <si>
    <t>PIPETA DE FT1200</t>
  </si>
  <si>
    <t xml:space="preserve">TERMINAL DE BACTERIA </t>
  </si>
  <si>
    <t>CHCICOTE DE ACELERADOR UNIVERSAL</t>
  </si>
  <si>
    <t xml:space="preserve">AORCADOR UNIVERSAL </t>
  </si>
  <si>
    <t>CAMARA 3.00.17</t>
  </si>
  <si>
    <t xml:space="preserve">ESPEJOS DE MOTONETA </t>
  </si>
  <si>
    <t xml:space="preserve">TIRAS LED ROJA </t>
  </si>
  <si>
    <t>ABRAZADERA DE DS150</t>
  </si>
  <si>
    <t>CHICOTE DE ACELERADOR A YBR125</t>
  </si>
  <si>
    <t>CHCICOTE DE ACELERADRO B YBR125</t>
  </si>
  <si>
    <t>RESOIRTE DE FT150M PAQUETE</t>
  </si>
  <si>
    <t>CLUTH DE 250Z</t>
  </si>
  <si>
    <t>CAMARA 110-90-16</t>
  </si>
  <si>
    <t xml:space="preserve">CUENTA DE AYER $ 24148.5 MENOS $ 1500 DE PEDIDO DE VALIKER QUEDA $22648.5 </t>
  </si>
  <si>
    <t xml:space="preserve">GOGLEES ROJOS </t>
  </si>
  <si>
    <t>FOCO LED H6</t>
  </si>
  <si>
    <t>BALATAD E DISCO DS150 ALESSIA</t>
  </si>
  <si>
    <t xml:space="preserve">BALATA DE TAMBOR DS150 ALESSIA </t>
  </si>
  <si>
    <t>RODILLO DE CENTRIFUJO</t>
  </si>
  <si>
    <t xml:space="preserve">FILTROD E GASOLINA CARTON </t>
  </si>
  <si>
    <t xml:space="preserve">FILTRO DE AIRE WS175 </t>
  </si>
  <si>
    <t xml:space="preserve">CINTA DE AISLAR GRANDE </t>
  </si>
  <si>
    <t>BAMDA POWER LINK 835 -20-30</t>
  </si>
  <si>
    <t xml:space="preserve">LIMPIADOR DE CARBURADOR LUBER </t>
  </si>
  <si>
    <t>BALERO 6002</t>
  </si>
  <si>
    <t>BALERO 6301</t>
  </si>
  <si>
    <t>BALERO 6204</t>
  </si>
  <si>
    <t>JUNTA DE TRASMISION DS150</t>
  </si>
  <si>
    <t>BANDA 743-20-30</t>
  </si>
  <si>
    <t>BALATA DE DISCO DS150 NASAKI</t>
  </si>
  <si>
    <t>ESTRELLA DE FT150</t>
  </si>
  <si>
    <t xml:space="preserve">MANGUERA DE GASOLINA </t>
  </si>
  <si>
    <t>BUJES DE DS150</t>
  </si>
  <si>
    <t>FLASER FT150</t>
  </si>
  <si>
    <t xml:space="preserve">TUERCA </t>
  </si>
  <si>
    <t>CLUTH DE DS150</t>
  </si>
  <si>
    <t>BANDA POWER LINK 835-20-30</t>
  </si>
  <si>
    <t>BALATA DE TAMBOR FT150</t>
  </si>
  <si>
    <t>ACEITE MOTUL 3000</t>
  </si>
  <si>
    <t xml:space="preserve">STIKER </t>
  </si>
  <si>
    <t>FILTRO DE GASOLINA CARTON</t>
  </si>
  <si>
    <t xml:space="preserve">FUSIBLE </t>
  </si>
  <si>
    <r>
      <rPr>
        <b/>
        <sz val="14"/>
        <color theme="1"/>
        <rFont val="Calibri"/>
        <family val="2"/>
        <scheme val="minor"/>
      </rPr>
      <t>CORTES DE LA SEMANA</t>
    </r>
    <r>
      <rPr>
        <sz val="14"/>
        <color theme="1"/>
        <rFont val="Calibri"/>
        <family val="2"/>
        <scheme val="minor"/>
      </rPr>
      <t xml:space="preserve">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24 DE AGOSTO-26         $36891.5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$ 1653.5    MENOS $16353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25 DE AGOSTO-26     $20538.5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$ 2222.5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26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$ 1775.5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27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$ 1376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28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$ 2720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TOTAL $ 9747.5
TOTAL EN CAJA $30286</t>
    </r>
  </si>
  <si>
    <t>Sabado 29 DE AGOSTO-26</t>
  </si>
  <si>
    <t xml:space="preserve">FOCO LED H4 </t>
  </si>
  <si>
    <t>FOCO OJO DE ANGUEL</t>
  </si>
  <si>
    <t>LLAVEDE GASOLINA FT150</t>
  </si>
  <si>
    <t>ABRAZADERA DE MANGUEERA</t>
  </si>
  <si>
    <t>BALATA DE DISCO</t>
  </si>
  <si>
    <t>ALBAÑIL</t>
  </si>
  <si>
    <t xml:space="preserve">SEGURO DE PIÑON </t>
  </si>
  <si>
    <t xml:space="preserve">PILA XT 5 </t>
  </si>
  <si>
    <t xml:space="preserve">FOCO H4 LED </t>
  </si>
  <si>
    <t>MANDO DERECHO FT150</t>
  </si>
  <si>
    <t>CARBURADOR DE DS150</t>
  </si>
  <si>
    <t xml:space="preserve">TOTAL </t>
  </si>
  <si>
    <t xml:space="preserve">BALATA DE TAMBOR DS150 </t>
  </si>
  <si>
    <t xml:space="preserve">PORTA CELULAR </t>
  </si>
  <si>
    <t>MANIJA IZQUIERDA DE DM200</t>
  </si>
  <si>
    <t>PARADOR LATERAL DM200</t>
  </si>
  <si>
    <r>
      <t xml:space="preserve">CUENTAD E AYER $ 30286 MENOS $ 8913 DE PEDIDO DE NASAKI Y ALBAÑIL QUEDA $21373 
CUENTA DE HOY SABADO $ 2443 MENOS $ 300 PAGO DE YAS QUEDA$ 2143
</t>
    </r>
    <r>
      <rPr>
        <b/>
        <sz val="26"/>
        <color theme="1"/>
        <rFont val="Calibri"/>
        <family val="2"/>
        <scheme val="minor"/>
      </rPr>
      <t>TOTAL EN CAJA $ 23516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</si>
</sst>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4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2" t="s">
        <v>25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2" t="s">
        <v>17</v>
      </c>
      <c r="K3" s="6">
        <f>SUM(Tabla1[Importa])</f>
        <v>1653.5</v>
      </c>
      <c r="M3" s="25" t="s">
        <v>6</v>
      </c>
      <c r="N3" s="25"/>
      <c r="O3" s="25"/>
      <c r="P3" s="25"/>
      <c r="Q3" s="25"/>
      <c r="R3" s="25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23</v>
      </c>
      <c r="M4" s="24" t="s">
        <v>48</v>
      </c>
      <c r="N4" s="24"/>
      <c r="O4" s="24"/>
      <c r="P4" s="24"/>
      <c r="Q4" s="24"/>
      <c r="R4" s="24"/>
    </row>
    <row r="5" spans="2:18" x14ac:dyDescent="0.25">
      <c r="B5" s="18">
        <f ca="1">IF(Tabla1[[#This Row],['#]]&lt;&gt;"", NOW(), "")</f>
        <v>46263.798125000001</v>
      </c>
      <c r="C5">
        <f>IF(ISNUMBER(E5), IF(ISNUMBER(C4), C4+1, 1), "")</f>
        <v>1</v>
      </c>
      <c r="D5" t="s">
        <v>28</v>
      </c>
      <c r="E5">
        <v>1</v>
      </c>
      <c r="F5">
        <v>95</v>
      </c>
      <c r="G5" t="s">
        <v>26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90.5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46263.798125000001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280</v>
      </c>
      <c r="G6" t="s">
        <v>26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252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46263.798125000001</v>
      </c>
      <c r="C7">
        <f t="shared" si="0"/>
        <v>3</v>
      </c>
      <c r="D7" t="s">
        <v>29</v>
      </c>
      <c r="E7">
        <v>1</v>
      </c>
      <c r="F7">
        <v>195</v>
      </c>
      <c r="G7" t="s">
        <v>26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175.5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46263.798125000001</v>
      </c>
      <c r="C8">
        <f t="shared" si="0"/>
        <v>4</v>
      </c>
      <c r="D8" t="s">
        <v>30</v>
      </c>
      <c r="E8">
        <v>1</v>
      </c>
      <c r="F8">
        <v>70</v>
      </c>
      <c r="G8" t="s">
        <v>26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63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46263.798125000001</v>
      </c>
      <c r="C9">
        <f t="shared" si="0"/>
        <v>5</v>
      </c>
      <c r="D9" t="s">
        <v>28</v>
      </c>
      <c r="E9">
        <v>1</v>
      </c>
      <c r="F9">
        <v>95</v>
      </c>
      <c r="G9" t="s">
        <v>26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90.5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46263.798125000001</v>
      </c>
      <c r="C10">
        <f t="shared" si="0"/>
        <v>6</v>
      </c>
      <c r="D10" t="s">
        <v>31</v>
      </c>
      <c r="E10">
        <v>1</v>
      </c>
      <c r="F10">
        <v>15</v>
      </c>
      <c r="G10" t="s">
        <v>26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13.5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46263.798125000001</v>
      </c>
      <c r="C11">
        <f t="shared" si="0"/>
        <v>7</v>
      </c>
      <c r="D11" t="s">
        <v>32</v>
      </c>
      <c r="E11">
        <v>1</v>
      </c>
      <c r="F11">
        <v>50</v>
      </c>
      <c r="G11" t="s">
        <v>26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45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46263.798125000001</v>
      </c>
      <c r="C12">
        <f t="shared" si="0"/>
        <v>8</v>
      </c>
      <c r="D12" t="s">
        <v>33</v>
      </c>
      <c r="E12">
        <v>2</v>
      </c>
      <c r="F12">
        <v>105</v>
      </c>
      <c r="G12" t="s">
        <v>26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189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46263.798125000001</v>
      </c>
      <c r="C13">
        <f t="shared" si="0"/>
        <v>9</v>
      </c>
      <c r="D13" t="s">
        <v>34</v>
      </c>
      <c r="E13">
        <v>1</v>
      </c>
      <c r="F13">
        <v>20</v>
      </c>
      <c r="G13" t="s">
        <v>26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18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46263.798125000001</v>
      </c>
      <c r="C14">
        <f t="shared" si="0"/>
        <v>10</v>
      </c>
      <c r="D14" t="s">
        <v>35</v>
      </c>
      <c r="E14">
        <v>1</v>
      </c>
      <c r="F14">
        <v>35</v>
      </c>
      <c r="G14" t="s">
        <v>26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31.5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46263.798125000001</v>
      </c>
      <c r="C15">
        <f t="shared" si="0"/>
        <v>11</v>
      </c>
      <c r="D15" t="s">
        <v>36</v>
      </c>
      <c r="E15">
        <v>1</v>
      </c>
      <c r="F15">
        <v>5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5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46263.798125000001</v>
      </c>
      <c r="C16">
        <f t="shared" si="0"/>
        <v>12</v>
      </c>
      <c r="D16" t="s">
        <v>38</v>
      </c>
      <c r="E16">
        <v>1</v>
      </c>
      <c r="F16">
        <v>105</v>
      </c>
      <c r="G16" t="s">
        <v>26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94.5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46263.798125000001</v>
      </c>
      <c r="C17">
        <f t="shared" si="0"/>
        <v>13</v>
      </c>
      <c r="D17" t="s">
        <v>39</v>
      </c>
      <c r="E17">
        <v>1</v>
      </c>
      <c r="F17">
        <v>121</v>
      </c>
      <c r="G17" t="s">
        <v>26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109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46263.798125000001</v>
      </c>
      <c r="C18">
        <f t="shared" si="0"/>
        <v>14</v>
      </c>
      <c r="D18" t="s">
        <v>40</v>
      </c>
      <c r="E18">
        <v>1</v>
      </c>
      <c r="F18">
        <v>50</v>
      </c>
      <c r="G18" t="s">
        <v>26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45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46263.798125000001</v>
      </c>
      <c r="C19">
        <f t="shared" si="0"/>
        <v>15</v>
      </c>
      <c r="D19" t="s">
        <v>41</v>
      </c>
      <c r="E19">
        <v>1</v>
      </c>
      <c r="F19">
        <v>15</v>
      </c>
      <c r="G19" t="s">
        <v>26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13.5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46263.798125000001</v>
      </c>
      <c r="C20">
        <f t="shared" si="0"/>
        <v>16</v>
      </c>
      <c r="D20" t="s">
        <v>42</v>
      </c>
      <c r="E20">
        <v>1</v>
      </c>
      <c r="F20">
        <v>68</v>
      </c>
      <c r="G20" t="s">
        <v>26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61.5</v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46263.798125000001</v>
      </c>
      <c r="C21">
        <f t="shared" si="0"/>
        <v>17</v>
      </c>
      <c r="D21" t="s">
        <v>43</v>
      </c>
      <c r="E21">
        <v>1</v>
      </c>
      <c r="F21">
        <v>20</v>
      </c>
      <c r="G21" t="s">
        <v>26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18</v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46263.798125000001</v>
      </c>
      <c r="C22">
        <f t="shared" si="0"/>
        <v>18</v>
      </c>
      <c r="D22" t="s">
        <v>36</v>
      </c>
      <c r="E22">
        <v>10</v>
      </c>
      <c r="F22">
        <v>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50</v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46263.798125000001</v>
      </c>
      <c r="C23">
        <f t="shared" si="0"/>
        <v>19</v>
      </c>
      <c r="D23" t="s">
        <v>44</v>
      </c>
      <c r="E23">
        <v>1</v>
      </c>
      <c r="F23">
        <v>35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35</v>
      </c>
    </row>
    <row r="24" spans="2:18" ht="15" customHeight="1" x14ac:dyDescent="0.25">
      <c r="B24" s="18">
        <f ca="1">IF(Tabla1[[#This Row],['#]]&lt;&gt;"", NOW(), "")</f>
        <v>46263.798125000001</v>
      </c>
      <c r="C24">
        <f t="shared" si="0"/>
        <v>20</v>
      </c>
      <c r="D24" t="s">
        <v>45</v>
      </c>
      <c r="E24">
        <v>1</v>
      </c>
      <c r="F24">
        <v>85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85</v>
      </c>
      <c r="M24" s="20" t="s">
        <v>19</v>
      </c>
      <c r="N24" s="20"/>
      <c r="O24" s="20"/>
      <c r="P24" s="20"/>
      <c r="Q24" s="20"/>
      <c r="R24" s="20"/>
    </row>
    <row r="25" spans="2:18" x14ac:dyDescent="0.25">
      <c r="B25" s="18">
        <f ca="1">IF(Tabla1[[#This Row],['#]]&lt;&gt;"", NOW(), "")</f>
        <v>46263.798125000001</v>
      </c>
      <c r="C25">
        <f t="shared" si="0"/>
        <v>21</v>
      </c>
      <c r="D25" t="s">
        <v>46</v>
      </c>
      <c r="E25">
        <v>1</v>
      </c>
      <c r="F25">
        <v>110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110</v>
      </c>
      <c r="M25" s="21"/>
      <c r="N25" s="21"/>
      <c r="O25" s="21"/>
      <c r="P25" s="21"/>
      <c r="Q25" s="21"/>
      <c r="R25" s="21"/>
    </row>
    <row r="26" spans="2:18" ht="15" customHeight="1" x14ac:dyDescent="0.25">
      <c r="B26" s="18">
        <f ca="1">IF(Tabla1[[#This Row],['#]]&lt;&gt;"", NOW(), "")</f>
        <v>46263.798125000001</v>
      </c>
      <c r="C26">
        <f t="shared" si="0"/>
        <v>22</v>
      </c>
      <c r="D26" t="s">
        <v>47</v>
      </c>
      <c r="E26">
        <v>4</v>
      </c>
      <c r="F26">
        <v>12</v>
      </c>
      <c r="G26" t="s">
        <v>26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43.5</v>
      </c>
      <c r="M26" s="39" t="s">
        <v>20</v>
      </c>
      <c r="N26" s="39"/>
      <c r="O26" s="14" t="s">
        <v>21</v>
      </c>
      <c r="P26" s="39" t="s">
        <v>22</v>
      </c>
      <c r="Q26" s="39"/>
      <c r="R26" s="39"/>
    </row>
    <row r="27" spans="2:18" x14ac:dyDescent="0.25">
      <c r="B27" s="18">
        <f ca="1">IF(Tabla1[[#This Row],['#]]&lt;&gt;"", NOW(), "")</f>
        <v>46263.798125000001</v>
      </c>
      <c r="C27">
        <f t="shared" si="0"/>
        <v>23</v>
      </c>
      <c r="D27" t="s">
        <v>36</v>
      </c>
      <c r="E27">
        <v>3</v>
      </c>
      <c r="F27">
        <v>5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15</v>
      </c>
      <c r="M27" s="27" t="s">
        <v>37</v>
      </c>
      <c r="N27" s="28"/>
      <c r="O27" s="31">
        <v>4343</v>
      </c>
      <c r="P27" s="33"/>
      <c r="Q27" s="34"/>
      <c r="R27" s="35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9"/>
      <c r="N28" s="30"/>
      <c r="O28" s="32"/>
      <c r="P28" s="36"/>
      <c r="Q28" s="37"/>
      <c r="R28" s="38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7"/>
      <c r="N29" s="28"/>
      <c r="O29" s="31"/>
      <c r="P29" s="33"/>
      <c r="Q29" s="34"/>
      <c r="R29" s="35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9"/>
      <c r="N30" s="30"/>
      <c r="O30" s="32"/>
      <c r="P30" s="36"/>
      <c r="Q30" s="37"/>
      <c r="R30" s="38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7"/>
      <c r="N31" s="28"/>
      <c r="O31" s="31"/>
      <c r="P31" s="33"/>
      <c r="Q31" s="34"/>
      <c r="R31" s="35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9"/>
      <c r="N32" s="30"/>
      <c r="O32" s="32"/>
      <c r="P32" s="36"/>
      <c r="Q32" s="37"/>
      <c r="R32" s="38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7"/>
      <c r="N33" s="28"/>
      <c r="O33" s="31"/>
      <c r="P33" s="33"/>
      <c r="Q33" s="34"/>
      <c r="R33" s="35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9"/>
      <c r="N34" s="30"/>
      <c r="O34" s="32"/>
      <c r="P34" s="36"/>
      <c r="Q34" s="37"/>
      <c r="R34" s="38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7"/>
      <c r="N35" s="28"/>
      <c r="O35" s="31"/>
      <c r="P35" s="33"/>
      <c r="Q35" s="34"/>
      <c r="R35" s="35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9"/>
      <c r="N36" s="30"/>
      <c r="O36" s="32"/>
      <c r="P36" s="36"/>
      <c r="Q36" s="37"/>
      <c r="R36" s="38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7"/>
      <c r="N37" s="28"/>
      <c r="O37" s="31"/>
      <c r="P37" s="33"/>
      <c r="Q37" s="34"/>
      <c r="R37" s="35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9"/>
      <c r="N38" s="30"/>
      <c r="O38" s="32"/>
      <c r="P38" s="36"/>
      <c r="Q38" s="37"/>
      <c r="R38" s="38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7"/>
      <c r="N39" s="28"/>
      <c r="O39" s="31"/>
      <c r="P39" s="33"/>
      <c r="Q39" s="34"/>
      <c r="R39" s="35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9"/>
      <c r="N40" s="30"/>
      <c r="O40" s="32"/>
      <c r="P40" s="36"/>
      <c r="Q40" s="37"/>
      <c r="R40" s="38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7"/>
      <c r="N41" s="28"/>
      <c r="O41" s="31"/>
      <c r="P41" s="33"/>
      <c r="Q41" s="34"/>
      <c r="R41" s="35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9"/>
      <c r="N42" s="30"/>
      <c r="O42" s="32"/>
      <c r="P42" s="36"/>
      <c r="Q42" s="37"/>
      <c r="R42" s="38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7"/>
      <c r="N43" s="28"/>
      <c r="O43" s="31"/>
      <c r="P43" s="33"/>
      <c r="Q43" s="34"/>
      <c r="R43" s="35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9"/>
      <c r="N44" s="30"/>
      <c r="O44" s="32"/>
      <c r="P44" s="36"/>
      <c r="Q44" s="37"/>
      <c r="R44" s="38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7"/>
      <c r="N45" s="28"/>
      <c r="O45" s="31"/>
      <c r="P45" s="33"/>
      <c r="Q45" s="34"/>
      <c r="R45" s="35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9"/>
      <c r="N46" s="30"/>
      <c r="O46" s="32"/>
      <c r="P46" s="36"/>
      <c r="Q46" s="37"/>
      <c r="R46" s="38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7"/>
      <c r="N47" s="28"/>
      <c r="O47" s="31"/>
      <c r="P47" s="33"/>
      <c r="Q47" s="34"/>
      <c r="R47" s="35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9"/>
      <c r="N48" s="30"/>
      <c r="O48" s="32"/>
      <c r="P48" s="36"/>
      <c r="Q48" s="37"/>
      <c r="R48" s="38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7"/>
      <c r="N49" s="28"/>
      <c r="O49" s="31"/>
      <c r="P49" s="33"/>
      <c r="Q49" s="34"/>
      <c r="R49" s="35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9"/>
      <c r="N50" s="30"/>
      <c r="O50" s="32"/>
      <c r="P50" s="36"/>
      <c r="Q50" s="37"/>
      <c r="R50" s="38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7"/>
      <c r="N51" s="28"/>
      <c r="O51" s="31"/>
      <c r="P51" s="33"/>
      <c r="Q51" s="34"/>
      <c r="R51" s="35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9"/>
      <c r="N52" s="30"/>
      <c r="O52" s="32"/>
      <c r="P52" s="36"/>
      <c r="Q52" s="37"/>
      <c r="R52" s="38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49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SUM(Tabla110[Importa])</f>
        <v>2222.5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24" t="s">
        <v>62</v>
      </c>
      <c r="N4" s="24"/>
      <c r="O4" s="24"/>
      <c r="P4" s="24"/>
      <c r="Q4" s="24"/>
      <c r="R4" s="24"/>
    </row>
    <row r="5" spans="2:18" x14ac:dyDescent="0.25">
      <c r="B5" s="18">
        <f ca="1">IF(Tabla110[[#This Row],['#]]&lt;&gt;"", NOW(), "")</f>
        <v>46263.798125000001</v>
      </c>
      <c r="C5">
        <f t="shared" ref="C5:C68" si="0">IF(ISNUMBER(E5), IF(ISNUMBER(C4), C4+1, 1), "")</f>
        <v>1</v>
      </c>
      <c r="D5" t="s">
        <v>50</v>
      </c>
      <c r="E5">
        <v>1</v>
      </c>
      <c r="F5">
        <v>650</v>
      </c>
      <c r="G5" t="s">
        <v>26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585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46263.798125000001</v>
      </c>
      <c r="C6">
        <f t="shared" si="0"/>
        <v>2</v>
      </c>
      <c r="D6" t="s">
        <v>52</v>
      </c>
      <c r="E6">
        <v>1</v>
      </c>
      <c r="F6">
        <v>60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60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46263.798125000001</v>
      </c>
      <c r="C7">
        <f t="shared" si="0"/>
        <v>3</v>
      </c>
      <c r="D7" t="s">
        <v>51</v>
      </c>
      <c r="E7">
        <v>1</v>
      </c>
      <c r="F7">
        <v>38</v>
      </c>
      <c r="G7" t="s">
        <v>26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34.5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46263.798125000001</v>
      </c>
      <c r="C8">
        <f t="shared" si="0"/>
        <v>4</v>
      </c>
      <c r="D8" t="s">
        <v>53</v>
      </c>
      <c r="E8">
        <v>1</v>
      </c>
      <c r="F8">
        <v>612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612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46263.798125000001</v>
      </c>
      <c r="C9">
        <f t="shared" si="0"/>
        <v>5</v>
      </c>
      <c r="D9" t="s">
        <v>54</v>
      </c>
      <c r="E9">
        <v>1</v>
      </c>
      <c r="F9">
        <v>240</v>
      </c>
      <c r="G9" t="s">
        <v>26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216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46263.798125000001</v>
      </c>
      <c r="C10">
        <f t="shared" si="0"/>
        <v>6</v>
      </c>
      <c r="D10" t="s">
        <v>55</v>
      </c>
      <c r="E10">
        <v>1</v>
      </c>
      <c r="F10">
        <v>75</v>
      </c>
      <c r="G10" t="s">
        <v>26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67.5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46263.798125000001</v>
      </c>
      <c r="C11">
        <f t="shared" si="0"/>
        <v>7</v>
      </c>
      <c r="D11" t="s">
        <v>56</v>
      </c>
      <c r="E11">
        <v>1</v>
      </c>
      <c r="F11">
        <v>40</v>
      </c>
      <c r="G11" t="s">
        <v>26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36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46263.798125000001</v>
      </c>
      <c r="C12">
        <f t="shared" si="0"/>
        <v>8</v>
      </c>
      <c r="D12" t="s">
        <v>57</v>
      </c>
      <c r="E12">
        <v>1</v>
      </c>
      <c r="F12">
        <v>78</v>
      </c>
      <c r="G12" t="s">
        <v>26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70.5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46263.798125000001</v>
      </c>
      <c r="C13">
        <f t="shared" si="0"/>
        <v>9</v>
      </c>
      <c r="D13" t="s">
        <v>59</v>
      </c>
      <c r="E13">
        <v>1</v>
      </c>
      <c r="F13">
        <v>35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35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46263.798125000001</v>
      </c>
      <c r="C14">
        <f t="shared" si="0"/>
        <v>10</v>
      </c>
      <c r="D14" t="s">
        <v>60</v>
      </c>
      <c r="E14">
        <v>1</v>
      </c>
      <c r="F14">
        <v>104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104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46263.798125000001</v>
      </c>
      <c r="C15">
        <f t="shared" si="0"/>
        <v>11</v>
      </c>
      <c r="D15" t="s">
        <v>61</v>
      </c>
      <c r="E15" s="19">
        <v>2</v>
      </c>
      <c r="F15">
        <v>50</v>
      </c>
      <c r="G15" t="s">
        <v>26</v>
      </c>
      <c r="H15" s="5"/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46263.798125000001</v>
      </c>
      <c r="C16">
        <f t="shared" si="0"/>
        <v>12</v>
      </c>
      <c r="D16" t="s">
        <v>63</v>
      </c>
      <c r="E16">
        <v>1</v>
      </c>
      <c r="F16">
        <v>123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123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46263.798125000001</v>
      </c>
      <c r="C17">
        <f t="shared" si="0"/>
        <v>13</v>
      </c>
      <c r="D17" t="s">
        <v>64</v>
      </c>
      <c r="E17">
        <v>1</v>
      </c>
      <c r="F17">
        <v>10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10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46263.798125000001</v>
      </c>
      <c r="C18">
        <f t="shared" si="0"/>
        <v>14</v>
      </c>
      <c r="D18" t="s">
        <v>65</v>
      </c>
      <c r="E18">
        <v>1</v>
      </c>
      <c r="F18">
        <v>110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110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46263.798125000001</v>
      </c>
      <c r="C19">
        <f t="shared" si="0"/>
        <v>15</v>
      </c>
      <c r="D19" t="s">
        <v>36</v>
      </c>
      <c r="E19">
        <v>3</v>
      </c>
      <c r="F19">
        <v>5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15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46263.798125000001</v>
      </c>
      <c r="C20">
        <f t="shared" si="0"/>
        <v>16</v>
      </c>
      <c r="D20" t="s">
        <v>66</v>
      </c>
      <c r="E20">
        <v>2</v>
      </c>
      <c r="F20">
        <v>20</v>
      </c>
      <c r="G20" t="s">
        <v>26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36</v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46263.798125000001</v>
      </c>
      <c r="C21">
        <f t="shared" si="0"/>
        <v>17</v>
      </c>
      <c r="D21" t="s">
        <v>67</v>
      </c>
      <c r="E21">
        <v>1</v>
      </c>
      <c r="F21">
        <v>64</v>
      </c>
      <c r="G21" t="s">
        <v>26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58</v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46263.798125000001</v>
      </c>
      <c r="C22">
        <f t="shared" si="0"/>
        <v>18</v>
      </c>
      <c r="D22" t="s">
        <v>68</v>
      </c>
      <c r="E22">
        <v>1</v>
      </c>
      <c r="F22">
        <v>50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50</v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46263.798125000001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46263.798125000001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x14ac:dyDescent="0.25">
      <c r="B25" s="18">
        <f ca="1">IF(Tabla1[[#This Row],['#]]&lt;&gt;"", NOW(), "")</f>
        <v>46263.798125000001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x14ac:dyDescent="0.25">
      <c r="B26" s="18">
        <f ca="1">IF(Tabla1[[#This Row],['#]]&lt;&gt;"", NOW(), "")</f>
        <v>46263.798125000001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45" x14ac:dyDescent="0.25">
      <c r="B27" s="18">
        <f ca="1">IF(Tabla1[[#This Row],['#]]&lt;&gt;"", NOW(), "")</f>
        <v>46263.798125000001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58</v>
      </c>
      <c r="N27" s="15">
        <v>5914</v>
      </c>
      <c r="O27" s="41"/>
      <c r="P27" s="42"/>
      <c r="Q27" s="42"/>
      <c r="R27" s="43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topLeftCell="A2" workbookViewId="0">
      <selection activeCell="G40" sqref="G4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69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SUM(Tabla111[Importa])</f>
        <v>1775.5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10</v>
      </c>
      <c r="M4" s="24" t="s">
        <v>81</v>
      </c>
      <c r="N4" s="24"/>
      <c r="O4" s="24"/>
      <c r="P4" s="24"/>
      <c r="Q4" s="24"/>
      <c r="R4" s="24"/>
    </row>
    <row r="5" spans="2:18" x14ac:dyDescent="0.25">
      <c r="B5" s="18">
        <f ca="1">IF(Tabla111[[#This Row],['#]]&lt;&gt;"", NOW(), "")</f>
        <v>46263.798125000001</v>
      </c>
      <c r="C5">
        <f>IF(ISNUMBER(E5), IF(ISNUMBER(C4), C4+1, 1), "")</f>
        <v>1</v>
      </c>
      <c r="D5" t="s">
        <v>70</v>
      </c>
      <c r="E5">
        <v>1</v>
      </c>
      <c r="F5">
        <v>70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70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46263.798125000001</v>
      </c>
      <c r="C6">
        <f>IF(ISNUMBER(E6), IF(ISNUMBER(C5), C5+1, 1), "")</f>
        <v>2</v>
      </c>
      <c r="D6" t="s">
        <v>71</v>
      </c>
      <c r="E6">
        <v>2</v>
      </c>
      <c r="F6">
        <v>30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60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46263.798125000001</v>
      </c>
      <c r="C7">
        <f>IF(ISNUMBER(E7), IF(ISNUMBER(C6), C6+1, 1), "")</f>
        <v>3</v>
      </c>
      <c r="D7" t="s">
        <v>72</v>
      </c>
      <c r="E7">
        <v>3</v>
      </c>
      <c r="F7">
        <v>15</v>
      </c>
      <c r="G7" t="s">
        <v>26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40.5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46263.798125000001</v>
      </c>
      <c r="C8">
        <f t="shared" ref="C8:C68" si="0">IF(ISNUMBER(E8), IF(ISNUMBER(C7), C7+1, 1), "")</f>
        <v>4</v>
      </c>
      <c r="D8" t="s">
        <v>73</v>
      </c>
      <c r="E8">
        <v>1</v>
      </c>
      <c r="F8">
        <v>30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30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46263.798125000001</v>
      </c>
      <c r="C9">
        <f t="shared" si="0"/>
        <v>5</v>
      </c>
      <c r="D9" t="s">
        <v>74</v>
      </c>
      <c r="E9">
        <v>1</v>
      </c>
      <c r="F9">
        <v>510</v>
      </c>
      <c r="G9" t="s">
        <v>26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459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46263.798125000001</v>
      </c>
      <c r="C10">
        <f t="shared" si="0"/>
        <v>6</v>
      </c>
      <c r="D10" t="s">
        <v>75</v>
      </c>
      <c r="E10">
        <v>2</v>
      </c>
      <c r="F10">
        <v>35</v>
      </c>
      <c r="G10" t="s">
        <v>26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63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46263.798125000001</v>
      </c>
      <c r="C11">
        <f t="shared" si="0"/>
        <v>7</v>
      </c>
      <c r="D11" t="s">
        <v>76</v>
      </c>
      <c r="E11">
        <v>1</v>
      </c>
      <c r="F11">
        <v>90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90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46263.798125000001</v>
      </c>
      <c r="C12">
        <f t="shared" si="0"/>
        <v>8</v>
      </c>
      <c r="D12" t="s">
        <v>77</v>
      </c>
      <c r="E12">
        <v>1</v>
      </c>
      <c r="F12">
        <v>450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450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46263.798125000001</v>
      </c>
      <c r="C13">
        <f t="shared" si="0"/>
        <v>9</v>
      </c>
      <c r="D13" t="s">
        <v>78</v>
      </c>
      <c r="E13">
        <v>1</v>
      </c>
      <c r="F13">
        <v>500</v>
      </c>
      <c r="G13" t="s">
        <v>26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450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46263.798125000001</v>
      </c>
      <c r="C14">
        <f t="shared" si="0"/>
        <v>10</v>
      </c>
      <c r="D14" t="s">
        <v>79</v>
      </c>
      <c r="E14">
        <v>1</v>
      </c>
      <c r="F14">
        <v>70</v>
      </c>
      <c r="G14" t="s">
        <v>26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63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46263.798125000001</v>
      </c>
      <c r="C15" t="str">
        <f t="shared" si="0"/>
        <v/>
      </c>
      <c r="H15" s="5" t="str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/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46263.798125000001</v>
      </c>
      <c r="C16" t="str">
        <f t="shared" si="0"/>
        <v/>
      </c>
      <c r="H16" s="5" t="str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/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46263.798125000001</v>
      </c>
      <c r="C17" t="str">
        <f t="shared" si="0"/>
        <v/>
      </c>
      <c r="H17" s="5" t="str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/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46263.798125000001</v>
      </c>
      <c r="C18" t="str">
        <f t="shared" si="0"/>
        <v/>
      </c>
      <c r="H18" s="5" t="str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/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46263.798125000001</v>
      </c>
      <c r="C19" t="str">
        <f t="shared" si="0"/>
        <v/>
      </c>
      <c r="H19" s="5" t="str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/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46263.798125000001</v>
      </c>
      <c r="C20" t="str">
        <f t="shared" si="0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46263.798125000001</v>
      </c>
      <c r="C21" t="str">
        <f t="shared" si="0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46263.798125000001</v>
      </c>
      <c r="C22" t="str">
        <f t="shared" si="0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46263.798125000001</v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46263.798125000001</v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x14ac:dyDescent="0.25">
      <c r="B25" s="18">
        <f ca="1">IF(Tabla1[[#This Row],['#]]&lt;&gt;"", NOW(), "")</f>
        <v>46263.798125000001</v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46263.798125000001</v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30" x14ac:dyDescent="0.25">
      <c r="B27" s="18">
        <f ca="1">IF(Tabla1[[#This Row],['#]]&lt;&gt;"", NOW(), "")</f>
        <v>46263.798125000001</v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80</v>
      </c>
      <c r="N27" s="15">
        <v>2486</v>
      </c>
      <c r="O27" s="41"/>
      <c r="P27" s="42"/>
      <c r="Q27" s="42"/>
      <c r="R27" s="43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82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SUM(Tabla112[Importa])</f>
        <v>1376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24" t="s">
        <v>111</v>
      </c>
      <c r="N4" s="24"/>
      <c r="O4" s="24"/>
      <c r="P4" s="24"/>
      <c r="Q4" s="24"/>
      <c r="R4" s="24"/>
    </row>
    <row r="5" spans="2:18" x14ac:dyDescent="0.25">
      <c r="B5" s="18">
        <f ca="1">IF(Tabla112[[#This Row],['#]]&lt;&gt;"", NOW(), "")</f>
        <v>46263.798125000001</v>
      </c>
      <c r="C5">
        <f t="shared" ref="C5:C68" si="0">IF(ISNUMBER(E5), IF(ISNUMBER(C4), C4+1, 1), "")</f>
        <v>1</v>
      </c>
      <c r="D5" t="s">
        <v>95</v>
      </c>
      <c r="E5">
        <v>1</v>
      </c>
      <c r="F5">
        <v>189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189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46263.798125000001</v>
      </c>
      <c r="C6">
        <f t="shared" si="0"/>
        <v>2</v>
      </c>
      <c r="D6" t="s">
        <v>98</v>
      </c>
      <c r="E6">
        <v>1</v>
      </c>
      <c r="F6">
        <v>168</v>
      </c>
      <c r="G6" t="s">
        <v>26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151.5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46263.798125000001</v>
      </c>
      <c r="C7">
        <f t="shared" si="0"/>
        <v>3</v>
      </c>
      <c r="D7" t="s">
        <v>99</v>
      </c>
      <c r="E7">
        <v>2</v>
      </c>
      <c r="F7">
        <v>3</v>
      </c>
      <c r="G7" t="s">
        <v>26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5.5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46263.798125000001</v>
      </c>
      <c r="C8">
        <f t="shared" si="0"/>
        <v>4</v>
      </c>
      <c r="D8" t="s">
        <v>100</v>
      </c>
      <c r="E8">
        <v>2</v>
      </c>
      <c r="F8">
        <v>15</v>
      </c>
      <c r="G8" t="s">
        <v>26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27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46263.798125000001</v>
      </c>
      <c r="C9">
        <f t="shared" si="0"/>
        <v>5</v>
      </c>
      <c r="D9" t="s">
        <v>101</v>
      </c>
      <c r="E9">
        <v>2</v>
      </c>
      <c r="F9">
        <v>3</v>
      </c>
      <c r="G9" t="s">
        <v>26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5.5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46263.798125000001</v>
      </c>
      <c r="C10">
        <f t="shared" si="0"/>
        <v>6</v>
      </c>
      <c r="D10" t="s">
        <v>40</v>
      </c>
      <c r="E10">
        <v>1</v>
      </c>
      <c r="F10">
        <v>50</v>
      </c>
      <c r="G10" t="s">
        <v>26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45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46263.798125000001</v>
      </c>
      <c r="C11">
        <f t="shared" si="0"/>
        <v>7</v>
      </c>
      <c r="D11" t="s">
        <v>36</v>
      </c>
      <c r="E11">
        <v>1</v>
      </c>
      <c r="F11">
        <v>5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46263.798125000001</v>
      </c>
      <c r="C12">
        <f t="shared" si="0"/>
        <v>8</v>
      </c>
      <c r="D12" t="s">
        <v>102</v>
      </c>
      <c r="E12">
        <v>1</v>
      </c>
      <c r="F12">
        <v>65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65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46263.798125000001</v>
      </c>
      <c r="C13">
        <f t="shared" si="0"/>
        <v>9</v>
      </c>
      <c r="D13" t="s">
        <v>36</v>
      </c>
      <c r="E13">
        <v>2</v>
      </c>
      <c r="F13">
        <v>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10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46263.798125000001</v>
      </c>
      <c r="C14">
        <f t="shared" si="0"/>
        <v>10</v>
      </c>
      <c r="D14" t="s">
        <v>103</v>
      </c>
      <c r="E14">
        <v>1</v>
      </c>
      <c r="F14">
        <v>172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172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46263.798125000001</v>
      </c>
      <c r="C15">
        <f t="shared" si="0"/>
        <v>11</v>
      </c>
      <c r="D15" t="s">
        <v>36</v>
      </c>
      <c r="E15">
        <v>2</v>
      </c>
      <c r="F15">
        <v>5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10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46263.798125000001</v>
      </c>
      <c r="C16">
        <f t="shared" si="0"/>
        <v>12</v>
      </c>
      <c r="D16" t="s">
        <v>104</v>
      </c>
      <c r="E16">
        <v>2</v>
      </c>
      <c r="F16">
        <v>15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30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46263.798125000001</v>
      </c>
      <c r="C17">
        <f t="shared" si="0"/>
        <v>13</v>
      </c>
      <c r="D17" t="s">
        <v>105</v>
      </c>
      <c r="E17">
        <v>1</v>
      </c>
      <c r="F17">
        <v>25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25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46263.798125000001</v>
      </c>
      <c r="C18">
        <f t="shared" si="0"/>
        <v>14</v>
      </c>
      <c r="D18" t="s">
        <v>106</v>
      </c>
      <c r="E18">
        <v>1</v>
      </c>
      <c r="F18">
        <v>40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40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46263.798125000001</v>
      </c>
      <c r="C19">
        <f t="shared" si="0"/>
        <v>15</v>
      </c>
      <c r="D19" t="s">
        <v>107</v>
      </c>
      <c r="E19">
        <v>1</v>
      </c>
      <c r="F19">
        <v>54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54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46263.798125000001</v>
      </c>
      <c r="C20">
        <f t="shared" si="0"/>
        <v>16</v>
      </c>
      <c r="D20" t="s">
        <v>108</v>
      </c>
      <c r="E20">
        <v>1</v>
      </c>
      <c r="F20">
        <v>28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28</v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46263.798125000001</v>
      </c>
      <c r="C21">
        <f t="shared" si="0"/>
        <v>17</v>
      </c>
      <c r="D21" t="s">
        <v>109</v>
      </c>
      <c r="E21">
        <v>1</v>
      </c>
      <c r="F21">
        <v>276</v>
      </c>
      <c r="G21" t="s">
        <v>26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248.5</v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46263.798125000001</v>
      </c>
      <c r="C22">
        <f t="shared" si="0"/>
        <v>18</v>
      </c>
      <c r="D22" t="s">
        <v>110</v>
      </c>
      <c r="E22">
        <v>1</v>
      </c>
      <c r="F22">
        <v>75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75</v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46263.798125000001</v>
      </c>
      <c r="C23">
        <f t="shared" si="0"/>
        <v>19</v>
      </c>
      <c r="D23" t="s">
        <v>112</v>
      </c>
      <c r="E23">
        <v>1</v>
      </c>
      <c r="F23">
        <v>190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190</v>
      </c>
    </row>
    <row r="24" spans="2:18" ht="15" customHeight="1" x14ac:dyDescent="0.25">
      <c r="B24" s="18">
        <f ca="1">IF(Tabla1[[#This Row],['#]]&lt;&gt;"", NOW(), "")</f>
        <v>46263.798125000001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>
        <f ca="1">IF(Tabla1[[#This Row],['#]]&lt;&gt;"", NOW(), "")</f>
        <v>46263.798125000001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46263.798125000001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>
        <f ca="1">IF(Tabla1[[#This Row],['#]]&lt;&gt;"", NOW(), "")</f>
        <v>46263.798125000001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96</v>
      </c>
      <c r="N27" s="15">
        <v>1500</v>
      </c>
      <c r="O27" s="41"/>
      <c r="P27" s="42"/>
      <c r="Q27" s="42"/>
      <c r="R27" s="43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6" sqref="D3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2" t="s">
        <v>83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SUM(Tabla113[Importa])</f>
        <v>2720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31</v>
      </c>
      <c r="M4" s="24" t="s">
        <v>140</v>
      </c>
      <c r="N4" s="24"/>
      <c r="O4" s="24"/>
      <c r="P4" s="24"/>
      <c r="Q4" s="24"/>
      <c r="R4" s="24"/>
    </row>
    <row r="5" spans="2:18" x14ac:dyDescent="0.25">
      <c r="B5" s="18">
        <f ca="1">IF(Tabla113[[#This Row],['#]]&lt;&gt;"", NOW(), "")</f>
        <v>46263.798125000001</v>
      </c>
      <c r="C5">
        <f t="shared" ref="C5:C68" si="0">IF(ISNUMBER(E5), IF(ISNUMBER(C4), C4+1, 1), "")</f>
        <v>1</v>
      </c>
      <c r="D5" t="s">
        <v>113</v>
      </c>
      <c r="E5">
        <v>1</v>
      </c>
      <c r="F5">
        <v>150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150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46263.798125000001</v>
      </c>
      <c r="C6">
        <f t="shared" si="0"/>
        <v>2</v>
      </c>
      <c r="D6" t="s">
        <v>114</v>
      </c>
      <c r="E6">
        <v>1</v>
      </c>
      <c r="F6">
        <v>40</v>
      </c>
      <c r="G6" t="s">
        <v>26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36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46263.798125000001</v>
      </c>
      <c r="C7">
        <f t="shared" si="0"/>
        <v>3</v>
      </c>
      <c r="D7" t="s">
        <v>115</v>
      </c>
      <c r="E7">
        <v>1</v>
      </c>
      <c r="F7">
        <v>75</v>
      </c>
      <c r="G7" t="s">
        <v>26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67.5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46263.798125000001</v>
      </c>
      <c r="C8">
        <f t="shared" si="0"/>
        <v>4</v>
      </c>
      <c r="D8" t="s">
        <v>116</v>
      </c>
      <c r="E8">
        <v>1</v>
      </c>
      <c r="F8">
        <v>55</v>
      </c>
      <c r="G8" t="s">
        <v>26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49.5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46263.798125000001</v>
      </c>
      <c r="C9">
        <f t="shared" si="0"/>
        <v>5</v>
      </c>
      <c r="D9" t="s">
        <v>117</v>
      </c>
      <c r="E9">
        <v>1</v>
      </c>
      <c r="F9">
        <v>15</v>
      </c>
      <c r="G9" t="s">
        <v>26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13.5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46263.798125000001</v>
      </c>
      <c r="C10">
        <f t="shared" si="0"/>
        <v>6</v>
      </c>
      <c r="D10" t="s">
        <v>118</v>
      </c>
      <c r="E10">
        <v>1</v>
      </c>
      <c r="F10">
        <v>64</v>
      </c>
      <c r="G10" t="s">
        <v>26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58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46263.798125000001</v>
      </c>
      <c r="C11">
        <f t="shared" si="0"/>
        <v>7</v>
      </c>
      <c r="D11" t="s">
        <v>119</v>
      </c>
      <c r="E11">
        <v>1</v>
      </c>
      <c r="F11">
        <v>22</v>
      </c>
      <c r="G11" t="s">
        <v>26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20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46263.798125000001</v>
      </c>
      <c r="C12">
        <f t="shared" si="0"/>
        <v>8</v>
      </c>
      <c r="D12" t="s">
        <v>120</v>
      </c>
      <c r="E12">
        <v>1</v>
      </c>
      <c r="F12">
        <v>350</v>
      </c>
      <c r="G12" t="s">
        <v>26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315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46263.798125000001</v>
      </c>
      <c r="C13">
        <f t="shared" si="0"/>
        <v>9</v>
      </c>
      <c r="D13" t="s">
        <v>121</v>
      </c>
      <c r="E13">
        <v>1</v>
      </c>
      <c r="F13">
        <v>75</v>
      </c>
      <c r="G13" t="s">
        <v>26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67.5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46263.798125000001</v>
      </c>
      <c r="C14">
        <f t="shared" si="0"/>
        <v>10</v>
      </c>
      <c r="D14" t="s">
        <v>40</v>
      </c>
      <c r="E14">
        <v>1</v>
      </c>
      <c r="F14">
        <v>50</v>
      </c>
      <c r="G14" t="s">
        <v>26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45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46263.798125000001</v>
      </c>
      <c r="C15">
        <f t="shared" si="0"/>
        <v>11</v>
      </c>
      <c r="D15" t="s">
        <v>122</v>
      </c>
      <c r="E15">
        <v>1</v>
      </c>
      <c r="F15">
        <v>30</v>
      </c>
      <c r="G15" t="s">
        <v>26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27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46263.798125000001</v>
      </c>
      <c r="C16">
        <f t="shared" si="0"/>
        <v>12</v>
      </c>
      <c r="D16" t="s">
        <v>123</v>
      </c>
      <c r="E16">
        <v>1</v>
      </c>
      <c r="F16">
        <v>30</v>
      </c>
      <c r="G16" t="s">
        <v>26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27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46263.798125000001</v>
      </c>
      <c r="C17">
        <f t="shared" si="0"/>
        <v>13</v>
      </c>
      <c r="D17" t="s">
        <v>124</v>
      </c>
      <c r="E17">
        <v>1</v>
      </c>
      <c r="F17">
        <v>50</v>
      </c>
      <c r="G17" t="s">
        <v>26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45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46263.798125000001</v>
      </c>
      <c r="C18">
        <f t="shared" si="0"/>
        <v>14</v>
      </c>
      <c r="D18" t="s">
        <v>125</v>
      </c>
      <c r="E18">
        <v>1</v>
      </c>
      <c r="F18">
        <v>27</v>
      </c>
      <c r="G18" t="s">
        <v>26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24.5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46263.798125000001</v>
      </c>
      <c r="C19">
        <f t="shared" si="0"/>
        <v>15</v>
      </c>
      <c r="D19" t="s">
        <v>126</v>
      </c>
      <c r="E19">
        <v>1</v>
      </c>
      <c r="F19">
        <v>120</v>
      </c>
      <c r="G19" t="s">
        <v>26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108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46263.798125000001</v>
      </c>
      <c r="C20">
        <f t="shared" si="0"/>
        <v>16</v>
      </c>
      <c r="D20" t="s">
        <v>127</v>
      </c>
      <c r="E20">
        <v>1</v>
      </c>
      <c r="F20">
        <v>36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36</v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46263.798125000001</v>
      </c>
      <c r="C21">
        <f t="shared" si="0"/>
        <v>17</v>
      </c>
      <c r="D21" t="s">
        <v>128</v>
      </c>
      <c r="E21">
        <v>1</v>
      </c>
      <c r="F21">
        <v>160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160</v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46263.798125000001</v>
      </c>
      <c r="C22">
        <f t="shared" si="0"/>
        <v>18</v>
      </c>
      <c r="D22" t="s">
        <v>129</v>
      </c>
      <c r="E22">
        <v>2</v>
      </c>
      <c r="F22">
        <v>30</v>
      </c>
      <c r="G22" t="s">
        <v>26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54</v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46263.798125000001</v>
      </c>
      <c r="C23">
        <f t="shared" si="0"/>
        <v>19</v>
      </c>
      <c r="D23" t="s">
        <v>130</v>
      </c>
      <c r="E23">
        <v>1</v>
      </c>
      <c r="F23">
        <v>65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65</v>
      </c>
    </row>
    <row r="24" spans="2:18" ht="15" customHeight="1" x14ac:dyDescent="0.25">
      <c r="B24" s="18">
        <f ca="1">IF(Tabla1[[#This Row],['#]]&lt;&gt;"", NOW(), "")</f>
        <v>46263.798125000001</v>
      </c>
      <c r="C24">
        <f t="shared" si="0"/>
        <v>20</v>
      </c>
      <c r="D24" t="s">
        <v>131</v>
      </c>
      <c r="E24">
        <v>1</v>
      </c>
      <c r="F24">
        <v>25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25</v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>
        <f ca="1">IF(Tabla1[[#This Row],['#]]&lt;&gt;"", NOW(), "")</f>
        <v>46263.798125000001</v>
      </c>
      <c r="C25">
        <f t="shared" si="0"/>
        <v>21</v>
      </c>
      <c r="D25" t="s">
        <v>132</v>
      </c>
      <c r="E25">
        <v>1</v>
      </c>
      <c r="F25">
        <v>10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10</v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46263.798125000001</v>
      </c>
      <c r="C26">
        <f t="shared" si="0"/>
        <v>22</v>
      </c>
      <c r="D26" t="s">
        <v>133</v>
      </c>
      <c r="E26">
        <v>1</v>
      </c>
      <c r="F26">
        <v>700</v>
      </c>
      <c r="G26" t="s">
        <v>26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630</v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>
        <f ca="1">IF(Tabla1[[#This Row],['#]]&lt;&gt;"", NOW(), "")</f>
        <v>46263.798125000001</v>
      </c>
      <c r="C27">
        <f t="shared" si="0"/>
        <v>23</v>
      </c>
      <c r="D27" t="s">
        <v>134</v>
      </c>
      <c r="E27">
        <v>1</v>
      </c>
      <c r="F27">
        <v>350</v>
      </c>
      <c r="G27" t="s">
        <v>26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315</v>
      </c>
      <c r="M27" s="13" t="s">
        <v>85</v>
      </c>
      <c r="N27" s="15">
        <v>4343</v>
      </c>
      <c r="O27" s="41" t="s">
        <v>84</v>
      </c>
      <c r="P27" s="42"/>
      <c r="Q27" s="42"/>
      <c r="R27" s="43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72</v>
      </c>
      <c r="E28">
        <v>1</v>
      </c>
      <c r="F28">
        <v>15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15</v>
      </c>
      <c r="M28" s="13" t="s">
        <v>86</v>
      </c>
      <c r="N28" s="15">
        <v>5914</v>
      </c>
      <c r="O28" s="41" t="s">
        <v>87</v>
      </c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135</v>
      </c>
      <c r="E29">
        <v>1</v>
      </c>
      <c r="F29">
        <v>70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70</v>
      </c>
      <c r="M29" s="13" t="s">
        <v>88</v>
      </c>
      <c r="N29" s="15">
        <v>2486</v>
      </c>
      <c r="O29" s="41" t="s">
        <v>89</v>
      </c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136</v>
      </c>
      <c r="E30">
        <v>1</v>
      </c>
      <c r="F30">
        <v>200</v>
      </c>
      <c r="H30" s="5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>200</v>
      </c>
      <c r="M30" s="13" t="s">
        <v>96</v>
      </c>
      <c r="N30" s="15">
        <v>1500</v>
      </c>
      <c r="O30" s="41" t="s">
        <v>97</v>
      </c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32</v>
      </c>
      <c r="E31">
        <v>1</v>
      </c>
      <c r="F31">
        <v>50</v>
      </c>
      <c r="H31" s="5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>50</v>
      </c>
      <c r="M31" s="13" t="s">
        <v>90</v>
      </c>
      <c r="N31" s="15">
        <v>610</v>
      </c>
      <c r="O31" s="41" t="s">
        <v>91</v>
      </c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137</v>
      </c>
      <c r="E32">
        <v>2</v>
      </c>
      <c r="F32">
        <v>5</v>
      </c>
      <c r="H32" s="5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>10</v>
      </c>
      <c r="M32" s="13" t="s">
        <v>92</v>
      </c>
      <c r="N32" s="15">
        <v>1500</v>
      </c>
      <c r="O32" s="41" t="s">
        <v>91</v>
      </c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137</v>
      </c>
      <c r="E33">
        <v>2</v>
      </c>
      <c r="F33">
        <v>5</v>
      </c>
      <c r="H33" s="5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>10</v>
      </c>
      <c r="M33" s="13" t="s">
        <v>93</v>
      </c>
      <c r="N33" s="15">
        <v>16353</v>
      </c>
      <c r="O33" s="41" t="s">
        <v>94</v>
      </c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>
        <f t="shared" si="0"/>
        <v>30</v>
      </c>
      <c r="D34" t="s">
        <v>138</v>
      </c>
      <c r="E34">
        <v>1</v>
      </c>
      <c r="F34">
        <v>15</v>
      </c>
      <c r="G34" t="s">
        <v>26</v>
      </c>
      <c r="H34" s="5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>13.5</v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>
        <f t="shared" si="0"/>
        <v>31</v>
      </c>
      <c r="D35" t="s">
        <v>139</v>
      </c>
      <c r="E35">
        <v>1</v>
      </c>
      <c r="F35">
        <v>3</v>
      </c>
      <c r="H35" s="5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>3</v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141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SUM(Tabla114[Importa])</f>
        <v>2443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24" t="s">
        <v>158</v>
      </c>
      <c r="N4" s="24"/>
      <c r="O4" s="24"/>
      <c r="P4" s="24"/>
      <c r="Q4" s="24"/>
      <c r="R4" s="24"/>
    </row>
    <row r="5" spans="2:18" x14ac:dyDescent="0.25">
      <c r="B5" s="18">
        <f ca="1">IF(Tabla114[[#This Row],['#]]&lt;&gt;"", NOW(), "")</f>
        <v>46263.798125000001</v>
      </c>
      <c r="C5">
        <f t="shared" ref="C5:C68" si="0">IF(ISNUMBER(E5), IF(ISNUMBER(C4), C4+1, 1), "")</f>
        <v>1</v>
      </c>
      <c r="D5" t="s">
        <v>142</v>
      </c>
      <c r="E5">
        <v>1</v>
      </c>
      <c r="F5">
        <v>150</v>
      </c>
      <c r="G5" t="s">
        <v>26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135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46263.798125000001</v>
      </c>
      <c r="C6">
        <f t="shared" si="0"/>
        <v>2</v>
      </c>
      <c r="D6" t="s">
        <v>143</v>
      </c>
      <c r="E6">
        <v>1</v>
      </c>
      <c r="F6">
        <v>210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210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46263.798125000001</v>
      </c>
      <c r="C7">
        <f t="shared" si="0"/>
        <v>3</v>
      </c>
      <c r="D7" t="s">
        <v>144</v>
      </c>
      <c r="E7">
        <v>1</v>
      </c>
      <c r="F7">
        <v>80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80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46263.798125000001</v>
      </c>
      <c r="C8">
        <f t="shared" si="0"/>
        <v>4</v>
      </c>
      <c r="D8" t="s">
        <v>145</v>
      </c>
      <c r="E8">
        <v>4</v>
      </c>
      <c r="F8">
        <v>3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12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46263.798125000001</v>
      </c>
      <c r="C9">
        <f t="shared" si="0"/>
        <v>5</v>
      </c>
      <c r="D9" t="s">
        <v>146</v>
      </c>
      <c r="E9">
        <v>1</v>
      </c>
      <c r="F9">
        <v>34</v>
      </c>
      <c r="G9" t="s">
        <v>26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31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46263.798125000001</v>
      </c>
      <c r="C10">
        <f t="shared" si="0"/>
        <v>6</v>
      </c>
      <c r="D10" t="s">
        <v>132</v>
      </c>
      <c r="E10">
        <v>1</v>
      </c>
      <c r="F10">
        <v>28</v>
      </c>
      <c r="G10" t="s">
        <v>26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25.5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46263.798125000001</v>
      </c>
      <c r="C11">
        <f t="shared" si="0"/>
        <v>7</v>
      </c>
      <c r="D11" t="s">
        <v>36</v>
      </c>
      <c r="E11">
        <v>2</v>
      </c>
      <c r="F11">
        <v>5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10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46263.798125000001</v>
      </c>
      <c r="C12">
        <f t="shared" si="0"/>
        <v>8</v>
      </c>
      <c r="D12" t="s">
        <v>32</v>
      </c>
      <c r="E12">
        <v>1</v>
      </c>
      <c r="F12">
        <v>50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50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46263.798125000001</v>
      </c>
      <c r="C13">
        <f t="shared" si="0"/>
        <v>9</v>
      </c>
      <c r="D13" t="s">
        <v>148</v>
      </c>
      <c r="E13">
        <v>1</v>
      </c>
      <c r="F13">
        <v>10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10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46263.798125000001</v>
      </c>
      <c r="C14">
        <f t="shared" si="0"/>
        <v>10</v>
      </c>
      <c r="D14" t="s">
        <v>149</v>
      </c>
      <c r="E14">
        <v>1</v>
      </c>
      <c r="F14">
        <v>590</v>
      </c>
      <c r="G14" t="s">
        <v>26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531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46263.798125000001</v>
      </c>
      <c r="C15">
        <f t="shared" si="0"/>
        <v>11</v>
      </c>
      <c r="D15" t="s">
        <v>150</v>
      </c>
      <c r="E15">
        <v>2</v>
      </c>
      <c r="F15">
        <v>150</v>
      </c>
      <c r="G15" t="s">
        <v>26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270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46263.798125000001</v>
      </c>
      <c r="C16">
        <f t="shared" si="0"/>
        <v>12</v>
      </c>
      <c r="D16" t="s">
        <v>151</v>
      </c>
      <c r="E16">
        <v>1</v>
      </c>
      <c r="F16">
        <v>95</v>
      </c>
      <c r="G16" t="s">
        <v>26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85.5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46263.798125000001</v>
      </c>
      <c r="C17">
        <f t="shared" si="0"/>
        <v>13</v>
      </c>
      <c r="D17" t="s">
        <v>152</v>
      </c>
      <c r="E17">
        <v>1</v>
      </c>
      <c r="F17">
        <v>490</v>
      </c>
      <c r="G17" t="s">
        <v>26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441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46263.798125000001</v>
      </c>
      <c r="C18">
        <f t="shared" si="0"/>
        <v>14</v>
      </c>
      <c r="D18" t="s">
        <v>154</v>
      </c>
      <c r="E18">
        <v>2</v>
      </c>
      <c r="F18">
        <v>75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150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46263.798125000001</v>
      </c>
      <c r="C19">
        <f t="shared" si="0"/>
        <v>15</v>
      </c>
      <c r="D19" t="s">
        <v>155</v>
      </c>
      <c r="E19">
        <v>1</v>
      </c>
      <c r="F19">
        <v>150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150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46263.798125000001</v>
      </c>
      <c r="C20">
        <f t="shared" si="0"/>
        <v>16</v>
      </c>
      <c r="D20" t="s">
        <v>156</v>
      </c>
      <c r="E20">
        <v>1</v>
      </c>
      <c r="F20">
        <v>125</v>
      </c>
      <c r="G20" t="s">
        <v>26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112.5</v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46263.798125000001</v>
      </c>
      <c r="C21">
        <f t="shared" si="0"/>
        <v>17</v>
      </c>
      <c r="D21" t="s">
        <v>41</v>
      </c>
      <c r="E21">
        <v>1</v>
      </c>
      <c r="F21">
        <v>15</v>
      </c>
      <c r="G21" t="s">
        <v>26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13.5</v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46263.798125000001</v>
      </c>
      <c r="C22">
        <f t="shared" si="0"/>
        <v>18</v>
      </c>
      <c r="D22" t="s">
        <v>157</v>
      </c>
      <c r="E22">
        <v>1</v>
      </c>
      <c r="F22">
        <v>126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126</v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46263.798125000001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46263.798125000001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>
        <f ca="1">IF(Tabla1[[#This Row],['#]]&lt;&gt;"", NOW(), "")</f>
        <v>46263.798125000001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46263.798125000001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>
        <f ca="1">IF(Tabla1[[#This Row],['#]]&lt;&gt;"", NOW(), "")</f>
        <v>46263.798125000001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85</v>
      </c>
      <c r="N27" s="15">
        <v>6913</v>
      </c>
      <c r="O27" s="41"/>
      <c r="P27" s="42"/>
      <c r="Q27" s="42"/>
      <c r="R27" s="43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 t="s">
        <v>147</v>
      </c>
      <c r="N28" s="15">
        <v>2000</v>
      </c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 t="s">
        <v>153</v>
      </c>
      <c r="N29" s="15">
        <v>8913</v>
      </c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2" t="s">
        <v>14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4"/>
      <c r="N4" s="24"/>
      <c r="O4" s="24"/>
      <c r="P4" s="24"/>
      <c r="Q4" s="24"/>
      <c r="R4" s="24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46263.798125000001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46263.798125000001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46263.798125000001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46263.798125000001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46263.798125000001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46263.798125000001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46263.798125000001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46263.798125000001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46263.798125000001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46263.798125000001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46263.798125000001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46263.798125000001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46263.798125000001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46263.798125000001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46263.798125000001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46263.798125000001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46263.798125000001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46263.798125000001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46263.798125000001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>
        <f ca="1">IF(Tabla1[[#This Row],['#]]&lt;&gt;"", NOW(), "")</f>
        <v>46263.798125000001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46263.798125000001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>
        <f ca="1">IF(Tabla1[[#This Row],['#]]&lt;&gt;"", NOW(), "")</f>
        <v>46263.798125000001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1"/>
      <c r="P27" s="42"/>
      <c r="Q27" s="42"/>
      <c r="R27" s="43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24-08-26</vt:lpstr>
      <vt:lpstr>Martes 25-08-26</vt:lpstr>
      <vt:lpstr>Miercoles 26-08-26</vt:lpstr>
      <vt:lpstr>Jueves 27-08-26</vt:lpstr>
      <vt:lpstr>Viernes 28-08-29</vt:lpstr>
      <vt:lpstr>Sabado 29-08-26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2026-08-30T01:11:30Z</dcterms:modified>
</cp:coreProperties>
</file>