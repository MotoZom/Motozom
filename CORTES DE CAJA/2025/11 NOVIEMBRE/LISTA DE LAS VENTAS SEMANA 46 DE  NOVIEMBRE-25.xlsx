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3BBAC82D-9472-4147-A705-866E736CFE1D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0-11-25" sheetId="1" r:id="rId1"/>
    <sheet name="Martes 11-11-25" sheetId="2" r:id="rId2"/>
    <sheet name="Miercoles 12-11-25" sheetId="3" r:id="rId3"/>
    <sheet name="Jueves 13-11-25" sheetId="4" r:id="rId4"/>
    <sheet name="Viernes 4-11-25" sheetId="5" r:id="rId5"/>
    <sheet name="Sabado 15-11-25" sheetId="6" r:id="rId6"/>
    <sheet name="Domingo" sheetId="8" r:id="rId7"/>
    <sheet name="Cambios" sheetId="7" r:id="rId8"/>
  </sheets>
  <definedNames>
    <definedName name="_xlnm._FilterDatabase" localSheetId="0" hidden="1">'Lunes 10-11-25'!$B$4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<sst xmlns="http://schemas.openxmlformats.org/spreadsheetml/2006/main" count="328" uniqueCount="147">
  <si>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</si>
  <si>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</si>
  <si>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</si>
  <si>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</si>
  <si>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</si>
  <si>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</si>
  <si>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</si>
  <si>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</si>
  <si>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</si>
  <si>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</si>
  <si>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</si>
  <si>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</si>
  <si>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</si>
  <si>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</si>
  <si>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</si>
  <si>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</si>
  <si>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</si>
  <si>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</si>
  <si>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</si>
  <si>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</si>
  <si>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</si>
  <si>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</si>
  <si>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</si>
  <si>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</si>
  <si>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</si>
  <si>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10 DE NOVIEMBRE-25</t>
  </si>
  <si>
    <t>ARO TRASERO DM200</t>
  </si>
  <si>
    <t>X</t>
  </si>
  <si>
    <t>MANIJA IZQUIERDA 125Z</t>
  </si>
  <si>
    <t>MANIJA DEREHCA FT150</t>
  </si>
  <si>
    <t>CHICOTE DE CLUTH UNIVERSAL</t>
  </si>
  <si>
    <t>MANDO DERECHO FT150</t>
  </si>
  <si>
    <t>CLUTH COMPLETO DS150</t>
  </si>
  <si>
    <t xml:space="preserve">DANIEL SE LLEVO CAJA DE ACEITE </t>
  </si>
  <si>
    <t>LUBRICANTE DE CADENA LUBER</t>
  </si>
  <si>
    <t>ACEITE LUBER</t>
  </si>
  <si>
    <t>BALERO 6201</t>
  </si>
  <si>
    <t>SWUITH DE FT150</t>
  </si>
  <si>
    <t>GOMAS DE IMPACTON FT125</t>
  </si>
  <si>
    <t>ESPEJOS DE GTS175</t>
  </si>
  <si>
    <t>FILTRO DE AIRE DM200</t>
  </si>
  <si>
    <t>MANGUERA GASOLINA 1</t>
  </si>
  <si>
    <t>CAMARA 3.00.18</t>
  </si>
  <si>
    <t>FOCO H4 LED</t>
  </si>
  <si>
    <t>ACEITE AKRON</t>
  </si>
  <si>
    <t>RETEN 30-42*10.5-</t>
  </si>
  <si>
    <t>FOCO H6 LED</t>
  </si>
  <si>
    <t>BALATA DE TAMBOR DS150</t>
  </si>
  <si>
    <t xml:space="preserve">CUENTA DE SEMANA PASADA  $ 6602.5 MENOS $ 1015 DE ACEITE AKRON QUEDA $ 5587.5 </t>
  </si>
  <si>
    <t xml:space="preserve">DIRECCIONAL ECONOMICA </t>
  </si>
  <si>
    <t>MANGUERA DE GASOLINA MEDIO</t>
  </si>
  <si>
    <t>FILTRO DE GASOLINA PIEDRA</t>
  </si>
  <si>
    <t xml:space="preserve">BALATA DE TAMBOR CHICO </t>
  </si>
  <si>
    <t>CINTA DE AISLAR</t>
  </si>
  <si>
    <t xml:space="preserve">TERMINAL DE BACTERIA </t>
  </si>
  <si>
    <t>Martes 11 DE NOVIEMBRE-25</t>
  </si>
  <si>
    <t xml:space="preserve">RESORTE DE LA PATA </t>
  </si>
  <si>
    <t>CARBURADOR DE DS150</t>
  </si>
  <si>
    <t xml:space="preserve">JUNTA DE CARTEL </t>
  </si>
  <si>
    <t>BOMBA DE ACEITE DS150</t>
  </si>
  <si>
    <t xml:space="preserve">FOCO LED </t>
  </si>
  <si>
    <t xml:space="preserve">FOCO DE DIRECCIONAL </t>
  </si>
  <si>
    <t>CHICOTE DE CLUTH DM200</t>
  </si>
  <si>
    <t xml:space="preserve">CHICOT UNIVERSAL CLTUH </t>
  </si>
  <si>
    <t>AORCADOR DE CLUTH UNI</t>
  </si>
  <si>
    <t>RESORTE DE LA PARADOR CENTRAL</t>
  </si>
  <si>
    <t xml:space="preserve">FARO DE BUHOS </t>
  </si>
  <si>
    <t>BIRLOS DE SPROKET FT150</t>
  </si>
  <si>
    <t xml:space="preserve">FOCO LED H6 </t>
  </si>
  <si>
    <t>ACEITE REPSOL</t>
  </si>
  <si>
    <t>BUJIA C7</t>
  </si>
  <si>
    <t xml:space="preserve">BUJIA C9 </t>
  </si>
  <si>
    <t>AORCADOREE UNIVERSALES DE CLUTH</t>
  </si>
  <si>
    <t xml:space="preserve">POPOTE PARA RIND </t>
  </si>
  <si>
    <t xml:space="preserve">BALATA DE DISCO VENTO CROSMAX </t>
  </si>
  <si>
    <t xml:space="preserve">FILTRO DE ALTO FLUJO </t>
  </si>
  <si>
    <t>STIKER</t>
  </si>
  <si>
    <t>Miercoles 12 DE NOVIEMBRE-25</t>
  </si>
  <si>
    <t>SALPICADERA DELANTERA FT150</t>
  </si>
  <si>
    <t>CHICOTE DE CLUTH FT150</t>
  </si>
  <si>
    <t>MANIJA DERECHA FT125 YOG</t>
  </si>
  <si>
    <t>SELENOIDE DE MOTONETA ITALIKA</t>
  </si>
  <si>
    <t>MANIJA COMPLETA IZ 125Z</t>
  </si>
  <si>
    <t xml:space="preserve">FUDIBLES </t>
  </si>
  <si>
    <t>GOMA PARADOR CENTRAL</t>
  </si>
  <si>
    <t>RETEN SUSPENSIÓN 31-40-10-</t>
  </si>
  <si>
    <t>FILTRO DE ACEI GNS125</t>
  </si>
  <si>
    <t xml:space="preserve">CADENA 428 SENCILLA </t>
  </si>
  <si>
    <t>PIÑON 428</t>
  </si>
  <si>
    <t>RESORTE DEL PARADOR CENTRAL</t>
  </si>
  <si>
    <t>GANCHO DE RESORTE FT150</t>
  </si>
  <si>
    <t xml:space="preserve">SEGURO DE PIÑON </t>
  </si>
  <si>
    <t>GUANTES MEDIANOS MERCADO LIBRE</t>
  </si>
  <si>
    <t>Jueves 13 DE NOVIEMBRE-25</t>
  </si>
  <si>
    <t>ACEITE YAMALUBE</t>
  </si>
  <si>
    <t>TAPON DE GASOLINA CROSMAX 250</t>
  </si>
  <si>
    <t>JUNTAS DE MOTOR AT110 ITALIKA</t>
  </si>
  <si>
    <t>SWUITH DE TORNILLO UNIVERSAL</t>
  </si>
  <si>
    <t>BUJIA D8</t>
  </si>
  <si>
    <t>CHICOTE DE CLUTH UNIVERSAL FT125</t>
  </si>
  <si>
    <t>CHIOCTE DE CLUTH UNIVERSAL</t>
  </si>
  <si>
    <t xml:space="preserve">BALATA DE TAMBOR FT150 ITALIKA </t>
  </si>
  <si>
    <t>CARGADOR DE TELEFONO</t>
  </si>
  <si>
    <t>LIMPIADOR DE CARBURADOR AXPRO</t>
  </si>
  <si>
    <t>GUANTES MEDIO DEDOS</t>
  </si>
  <si>
    <t>PEDAL DE ARRANQUE DS150</t>
  </si>
  <si>
    <t>RELEVADOR DE FT150</t>
  </si>
  <si>
    <t>REGULADO DE FT125 ITALIKA</t>
  </si>
  <si>
    <t>Viernes 14 DE NOVIEMBRE-25</t>
  </si>
  <si>
    <t>AC.AKRON</t>
  </si>
  <si>
    <t>LUNES 10 DE NOVIEMBRE-25</t>
  </si>
  <si>
    <t>VIERNES 14 DE NOVIEMBRE25</t>
  </si>
  <si>
    <t>PAGOYAS</t>
  </si>
  <si>
    <t>TOTAL</t>
  </si>
  <si>
    <t>TOTAL DE EGRESOS</t>
  </si>
  <si>
    <t>JUNTAS DE MOTOR DS150</t>
  </si>
  <si>
    <t>SEGURO DE PIÑON</t>
  </si>
  <si>
    <t>TAPON DE ACEITE FT150</t>
  </si>
  <si>
    <t xml:space="preserve">LLANTAS DELANTERA CUATRIMOTO </t>
  </si>
  <si>
    <t xml:space="preserve">SEGUR DE PIÑON </t>
  </si>
  <si>
    <t>BALERO 6302</t>
  </si>
  <si>
    <t>BALERO 6202</t>
  </si>
  <si>
    <t xml:space="preserve">DIRECCIONALE ECONOMICAS </t>
  </si>
  <si>
    <t>CAJA ACEITE DANIEL DEJO</t>
  </si>
  <si>
    <t xml:space="preserve">AORCADORES UNIVERSALES </t>
  </si>
  <si>
    <t>SELLOS DE ESCAPE FT150</t>
  </si>
  <si>
    <t>PORTA SPROKET FT125</t>
  </si>
  <si>
    <t>TAPADERA DE BACTERIA WS150</t>
  </si>
  <si>
    <t>BALATA DE DISCO DS150</t>
  </si>
  <si>
    <t>LLEVODA</t>
  </si>
  <si>
    <r>
      <rPr>
        <b/>
        <sz val="14"/>
        <color theme="1"/>
        <rFont val="Calibri"/>
        <family val="2"/>
        <scheme val="minor"/>
      </rPr>
      <t xml:space="preserve">CORTES DE LA SEMANA     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10 DE NOVIEMBRE-25                $6602.5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$ 3715                  MENOS  $ 3077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11 DE NOVIEMBRE-25           $ 3525.5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$ 1734.5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12 DE NOVIEMBRE-25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$ 1439.5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13 DE NOVIEMBRE-25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$ 1868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14 DE NOVIEMRE-25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$ 3781.5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$ 12538.5 
TOTAL EN CAJA $ 16064 </t>
    </r>
  </si>
  <si>
    <t>Sabado 15  DE NOVIEMBRE-25</t>
  </si>
  <si>
    <t>LLANTA 3.50.10</t>
  </si>
  <si>
    <t>JUNTA CLUT FT150</t>
  </si>
  <si>
    <t>DIRECCIONALES FT125</t>
  </si>
  <si>
    <t>FILTROS DE GASOLINA CARTON</t>
  </si>
  <si>
    <t>BUJIAS D8</t>
  </si>
  <si>
    <t>ESTATOR FT150 WINMEX</t>
  </si>
  <si>
    <t>ROLLO</t>
  </si>
  <si>
    <t>BUJIA PULSAR 200 NS</t>
  </si>
  <si>
    <t>BUJIA C9</t>
  </si>
  <si>
    <t>FILTRO DE ACEITE PULSAR 200NS</t>
  </si>
  <si>
    <t xml:space="preserve">SELENOIDE DE MOTONETA </t>
  </si>
  <si>
    <t>CAMARA 110-70-17</t>
  </si>
  <si>
    <t xml:space="preserve">LIGA </t>
  </si>
  <si>
    <t>LLANTA 90-80-17</t>
  </si>
  <si>
    <r>
      <t xml:space="preserve">CUENTA DE AYER $ 16064 MAS 690 TOTAL $ 16754 MENOS 67 DE ROLLO Y FABULOSO QUEDA $ 16687 
CUENTA DE HOY SABADO $ 2581.5 MENOS $ 300 DE PAGO DE YAS QUEDA $ 2281.5
MAS LO DE AYER EN CAJA $ 16687  
</t>
    </r>
    <r>
      <rPr>
        <b/>
        <sz val="20"/>
        <color rgb="FFFF0000"/>
        <rFont val="Calibri"/>
        <family val="2"/>
        <scheme val="minor"/>
      </rPr>
      <t xml:space="preserve">TOTAL EN CAJA $ 18968.5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</si>
</sst>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3715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27</v>
      </c>
      <c r="M4" s="36" t="s">
        <v>48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45976.797498148146</v>
      </c>
      <c r="C5">
        <f>IF(ISNUMBER(E5), IF(ISNUMBER(C4), C4+1, 1), "")</f>
        <v>1</v>
      </c>
      <c r="D5" t="s">
        <v>26</v>
      </c>
      <c r="E5">
        <v>1</v>
      </c>
      <c r="F5">
        <v>500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450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>
        <f t="shared" ref="C6:C36" si="0">IF(ISNUMBER(E6), IF(ISNUMBER(C5), C5+1, 1), "")</f>
        <v>2</v>
      </c>
      <c r="D6" t="s">
        <v>28</v>
      </c>
      <c r="E6">
        <v>1</v>
      </c>
      <c r="F6">
        <v>90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81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>
        <f t="shared" si="0"/>
        <v>3</v>
      </c>
      <c r="D7" t="s">
        <v>29</v>
      </c>
      <c r="E7">
        <v>1</v>
      </c>
      <c r="F7">
        <v>41</v>
      </c>
      <c r="G7" t="s">
        <v>27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>
        <f t="shared" si="0"/>
        <v>4</v>
      </c>
      <c r="D8" t="s">
        <v>30</v>
      </c>
      <c r="E8">
        <v>2</v>
      </c>
      <c r="F8">
        <v>20</v>
      </c>
      <c r="G8" t="s">
        <v>27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36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>
        <f t="shared" si="0"/>
        <v>5</v>
      </c>
      <c r="D9" t="s">
        <v>31</v>
      </c>
      <c r="E9">
        <v>1</v>
      </c>
      <c r="F9">
        <v>120</v>
      </c>
      <c r="G9" t="s">
        <v>27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108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>
        <f t="shared" si="0"/>
        <v>6</v>
      </c>
      <c r="D10" t="s">
        <v>32</v>
      </c>
      <c r="E10">
        <v>1</v>
      </c>
      <c r="F10">
        <v>700</v>
      </c>
      <c r="G10" t="s">
        <v>27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630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>
        <f t="shared" si="0"/>
        <v>7</v>
      </c>
      <c r="D11" t="s">
        <v>33</v>
      </c>
      <c r="E11">
        <v>1</v>
      </c>
      <c r="F11">
        <v>770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770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>
        <f t="shared" si="0"/>
        <v>8</v>
      </c>
      <c r="D12" t="s">
        <v>34</v>
      </c>
      <c r="E12">
        <v>1</v>
      </c>
      <c r="F12">
        <v>90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81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>
        <f t="shared" si="0"/>
        <v>9</v>
      </c>
      <c r="D13" t="s">
        <v>35</v>
      </c>
      <c r="E13">
        <v>1</v>
      </c>
      <c r="F13">
        <v>90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85.5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>
        <f t="shared" si="0"/>
        <v>10</v>
      </c>
      <c r="D14" t="s">
        <v>36</v>
      </c>
      <c r="E14">
        <v>2</v>
      </c>
      <c r="F14">
        <v>28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56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>
        <f t="shared" si="0"/>
        <v>11</v>
      </c>
      <c r="D15" t="s">
        <v>37</v>
      </c>
      <c r="E15">
        <v>1</v>
      </c>
      <c r="F15">
        <v>310</v>
      </c>
      <c r="G15" t="s">
        <v>27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279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>
        <f t="shared" si="0"/>
        <v>12</v>
      </c>
      <c r="D16" t="s">
        <v>38</v>
      </c>
      <c r="E16">
        <v>1</v>
      </c>
      <c r="F16">
        <v>35</v>
      </c>
      <c r="G16" t="s">
        <v>27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31.5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>
        <f t="shared" si="0"/>
        <v>13</v>
      </c>
      <c r="D17" t="s">
        <v>39</v>
      </c>
      <c r="E17">
        <v>1</v>
      </c>
      <c r="F17">
        <v>151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151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>
        <f t="shared" si="0"/>
        <v>14</v>
      </c>
      <c r="D18" t="s">
        <v>40</v>
      </c>
      <c r="E18">
        <v>1</v>
      </c>
      <c r="F18">
        <v>71</v>
      </c>
      <c r="G18" t="s">
        <v>27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64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>
        <f t="shared" si="0"/>
        <v>15</v>
      </c>
      <c r="D19" t="s">
        <v>41</v>
      </c>
      <c r="E19">
        <v>1</v>
      </c>
      <c r="F19">
        <v>30</v>
      </c>
      <c r="G19" t="s">
        <v>27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27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>
        <f t="shared" si="0"/>
        <v>16</v>
      </c>
      <c r="D20" t="s">
        <v>42</v>
      </c>
      <c r="E20">
        <v>1</v>
      </c>
      <c r="F20">
        <v>65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65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>
        <f t="shared" si="0"/>
        <v>17</v>
      </c>
      <c r="D21" t="s">
        <v>43</v>
      </c>
      <c r="E21">
        <v>1</v>
      </c>
      <c r="F21">
        <v>135</v>
      </c>
      <c r="G21" t="s">
        <v>27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121.5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>
        <f t="shared" si="0"/>
        <v>18</v>
      </c>
      <c r="D22" t="s">
        <v>45</v>
      </c>
      <c r="E22">
        <v>1</v>
      </c>
      <c r="F22">
        <v>35</v>
      </c>
      <c r="G22" t="s">
        <v>27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31.5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>
        <f t="shared" si="0"/>
        <v>19</v>
      </c>
      <c r="D23" t="s">
        <v>44</v>
      </c>
      <c r="E23">
        <v>1</v>
      </c>
      <c r="F23">
        <v>123</v>
      </c>
      <c r="G23" t="s">
        <v>27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117</v>
      </c>
    </row>
    <row r="24" spans="2:18" ht="15" customHeight="1" x14ac:dyDescent="0.25">
      <c r="B24" s="18">
        <f ca="1">IF(Tabla1[[#This Row],['#]]&lt;&gt;"", NOW(), "")</f>
        <v>45976.797498148146</v>
      </c>
      <c r="C24">
        <f t="shared" si="0"/>
        <v>20</v>
      </c>
      <c r="D24" t="s">
        <v>46</v>
      </c>
      <c r="E24">
        <v>1</v>
      </c>
      <c r="F24">
        <v>135</v>
      </c>
      <c r="G24" t="s">
        <v>27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121.5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45976.797498148146</v>
      </c>
      <c r="C25">
        <f t="shared" si="0"/>
        <v>21</v>
      </c>
      <c r="D25" t="s">
        <v>49</v>
      </c>
      <c r="E25">
        <v>1</v>
      </c>
      <c r="F25">
        <v>90</v>
      </c>
      <c r="G25" t="s">
        <v>27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81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45976.797498148146</v>
      </c>
      <c r="C26">
        <f t="shared" si="0"/>
        <v>22</v>
      </c>
      <c r="D26" t="s">
        <v>47</v>
      </c>
      <c r="E26">
        <v>1</v>
      </c>
      <c r="F26">
        <v>96</v>
      </c>
      <c r="G26" t="s">
        <v>27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86.5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45976.797498148146</v>
      </c>
      <c r="C27">
        <f t="shared" si="0"/>
        <v>23</v>
      </c>
      <c r="D27" t="s">
        <v>50</v>
      </c>
      <c r="E27">
        <v>1</v>
      </c>
      <c r="F27">
        <v>15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15</v>
      </c>
      <c r="M27" s="19" t="s">
        <v>44</v>
      </c>
      <c r="N27" s="20"/>
      <c r="O27" s="23">
        <v>1015</v>
      </c>
      <c r="P27" s="25"/>
      <c r="Q27" s="26"/>
      <c r="R27" s="27"/>
    </row>
    <row r="28" spans="2:18" x14ac:dyDescent="0.25">
      <c r="B28" s="18">
        <f ca="1">IF(Tabla1[[#This Row],['#]]&lt;&gt;"", NOW(), "")</f>
        <v>45976.797498148146</v>
      </c>
      <c r="C28">
        <f t="shared" si="0"/>
        <v>24</v>
      </c>
      <c r="D28" t="s">
        <v>53</v>
      </c>
      <c r="E28">
        <v>4</v>
      </c>
      <c r="F28">
        <v>5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20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45976.797498148146</v>
      </c>
      <c r="C29">
        <f t="shared" si="0"/>
        <v>25</v>
      </c>
      <c r="D29" t="s">
        <v>51</v>
      </c>
      <c r="E29">
        <v>1</v>
      </c>
      <c r="F29">
        <v>20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20</v>
      </c>
      <c r="M29" s="19"/>
      <c r="N29" s="20"/>
      <c r="O29" s="23"/>
      <c r="P29" s="25"/>
      <c r="Q29" s="26"/>
      <c r="R29" s="27"/>
    </row>
    <row r="30" spans="2:18" x14ac:dyDescent="0.25">
      <c r="B30" s="18">
        <f ca="1">IF(Tabla1[[#This Row],['#]]&lt;&gt;"", NOW(), "")</f>
        <v>45976.797498148146</v>
      </c>
      <c r="C30">
        <f t="shared" si="0"/>
        <v>26</v>
      </c>
      <c r="D30" t="s">
        <v>52</v>
      </c>
      <c r="E30">
        <v>2</v>
      </c>
      <c r="F30">
        <v>77</v>
      </c>
      <c r="G30" t="s">
        <v>27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139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45976.797498148146</v>
      </c>
      <c r="C31">
        <f t="shared" si="0"/>
        <v>27</v>
      </c>
      <c r="D31" t="s">
        <v>54</v>
      </c>
      <c r="E31">
        <v>2</v>
      </c>
      <c r="F31">
        <v>5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10</v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55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1734.5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45976.797498148146</v>
      </c>
      <c r="C5">
        <f t="shared" ref="C5:C68" si="0">IF(ISNUMBER(E5), IF(ISNUMBER(C4), C4+1, 1), "")</f>
        <v>1</v>
      </c>
      <c r="D5" t="s">
        <v>56</v>
      </c>
      <c r="E5">
        <v>1</v>
      </c>
      <c r="F5">
        <v>20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>
        <f t="shared" si="0"/>
        <v>2</v>
      </c>
      <c r="D6" t="s">
        <v>57</v>
      </c>
      <c r="E6">
        <v>1</v>
      </c>
      <c r="F6">
        <v>560</v>
      </c>
      <c r="G6" t="s">
        <v>27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504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>
        <f t="shared" si="0"/>
        <v>3</v>
      </c>
      <c r="D7" t="s">
        <v>35</v>
      </c>
      <c r="E7">
        <v>1</v>
      </c>
      <c r="F7">
        <v>90</v>
      </c>
      <c r="G7" t="s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85.5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>
        <f t="shared" si="0"/>
        <v>4</v>
      </c>
      <c r="D8" t="s">
        <v>58</v>
      </c>
      <c r="E8">
        <v>1</v>
      </c>
      <c r="F8">
        <v>35</v>
      </c>
      <c r="G8" t="s">
        <v>27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31.5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>
        <f t="shared" si="0"/>
        <v>5</v>
      </c>
      <c r="D9" t="s">
        <v>59</v>
      </c>
      <c r="E9">
        <v>1</v>
      </c>
      <c r="F9">
        <v>40</v>
      </c>
      <c r="G9" t="s">
        <v>27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>
        <f t="shared" si="0"/>
        <v>6</v>
      </c>
      <c r="D10" t="s">
        <v>60</v>
      </c>
      <c r="E10">
        <v>1</v>
      </c>
      <c r="F10">
        <v>82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74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>
        <f t="shared" si="0"/>
        <v>7</v>
      </c>
      <c r="D11" t="s">
        <v>61</v>
      </c>
      <c r="E11">
        <v>2</v>
      </c>
      <c r="F11">
        <v>12</v>
      </c>
      <c r="G11" t="s">
        <v>27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22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>
        <f t="shared" si="0"/>
        <v>8</v>
      </c>
      <c r="D12" t="s">
        <v>62</v>
      </c>
      <c r="E12">
        <v>2</v>
      </c>
      <c r="F12">
        <v>45</v>
      </c>
      <c r="G12" t="s">
        <v>27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81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>
        <f t="shared" si="0"/>
        <v>9</v>
      </c>
      <c r="D13" t="s">
        <v>63</v>
      </c>
      <c r="E13">
        <v>1</v>
      </c>
      <c r="F13">
        <v>20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>
        <f t="shared" si="0"/>
        <v>10</v>
      </c>
      <c r="D14" t="s">
        <v>64</v>
      </c>
      <c r="E14">
        <v>2</v>
      </c>
      <c r="F14">
        <v>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>
        <f t="shared" si="0"/>
        <v>11</v>
      </c>
      <c r="D15" t="s">
        <v>65</v>
      </c>
      <c r="E15">
        <v>1</v>
      </c>
      <c r="F15">
        <v>20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>
        <f t="shared" si="0"/>
        <v>12</v>
      </c>
      <c r="D16" t="s">
        <v>66</v>
      </c>
      <c r="E16">
        <v>1</v>
      </c>
      <c r="F16">
        <v>180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180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>
        <f t="shared" si="0"/>
        <v>13</v>
      </c>
      <c r="D17" t="s">
        <v>67</v>
      </c>
      <c r="E17">
        <v>1</v>
      </c>
      <c r="F17">
        <v>25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>
        <f t="shared" si="0"/>
        <v>14</v>
      </c>
      <c r="D18" t="s">
        <v>68</v>
      </c>
      <c r="E18">
        <v>1</v>
      </c>
      <c r="F18">
        <v>135</v>
      </c>
      <c r="G18" t="s">
        <v>27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121.5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>
        <f t="shared" si="0"/>
        <v>15</v>
      </c>
      <c r="D19" t="s">
        <v>69</v>
      </c>
      <c r="E19">
        <v>1</v>
      </c>
      <c r="F19">
        <v>142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142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>
        <f t="shared" si="0"/>
        <v>16</v>
      </c>
      <c r="D20" t="s">
        <v>70</v>
      </c>
      <c r="E20">
        <v>1</v>
      </c>
      <c r="F20">
        <v>57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57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>
        <f t="shared" si="0"/>
        <v>17</v>
      </c>
      <c r="D21" t="s">
        <v>71</v>
      </c>
      <c r="E21">
        <v>2</v>
      </c>
      <c r="F21">
        <v>57</v>
      </c>
      <c r="G21" t="s">
        <v>27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103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>
        <f t="shared" si="0"/>
        <v>18</v>
      </c>
      <c r="D22" t="s">
        <v>72</v>
      </c>
      <c r="E22">
        <v>3</v>
      </c>
      <c r="F22">
        <v>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>
        <f t="shared" si="0"/>
        <v>19</v>
      </c>
      <c r="D23" t="s">
        <v>73</v>
      </c>
      <c r="E23">
        <v>1</v>
      </c>
      <c r="F23">
        <v>70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70</v>
      </c>
    </row>
    <row r="24" spans="2:18" ht="15" customHeight="1" x14ac:dyDescent="0.25">
      <c r="B24" s="18">
        <f ca="1">IF(Tabla1[[#This Row],['#]]&lt;&gt;"", NOW(), "")</f>
        <v>45976.797498148146</v>
      </c>
      <c r="C24">
        <f t="shared" si="0"/>
        <v>20</v>
      </c>
      <c r="D24" t="s">
        <v>74</v>
      </c>
      <c r="E24">
        <v>1</v>
      </c>
      <c r="F24">
        <v>27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27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45976.797498148146</v>
      </c>
      <c r="C25">
        <f t="shared" si="0"/>
        <v>21</v>
      </c>
      <c r="D25" t="s">
        <v>75</v>
      </c>
      <c r="E25">
        <v>1</v>
      </c>
      <c r="F25">
        <v>78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78</v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45976.797498148146</v>
      </c>
      <c r="C26">
        <f t="shared" si="0"/>
        <v>22</v>
      </c>
      <c r="D26" t="s">
        <v>76</v>
      </c>
      <c r="E26">
        <v>2</v>
      </c>
      <c r="F26">
        <v>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10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45976.797498148146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45976.797498148146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45976.797498148146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45976.797498148146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45976.797498148146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1439.5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45976.797498148146</v>
      </c>
      <c r="C5">
        <f>IF(ISNUMBER(E5), IF(ISNUMBER(C4), C4+1, 1), "")</f>
        <v>1</v>
      </c>
      <c r="D5" t="s">
        <v>78</v>
      </c>
      <c r="E5">
        <v>1</v>
      </c>
      <c r="F5">
        <v>250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>
        <f>IF(ISNUMBER(E6), IF(ISNUMBER(C5), C5+1, 1), "")</f>
        <v>2</v>
      </c>
      <c r="D6" t="s">
        <v>79</v>
      </c>
      <c r="E6">
        <v>2</v>
      </c>
      <c r="F6">
        <v>35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63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>
        <f>IF(ISNUMBER(E7), IF(ISNUMBER(C6), C6+1, 1), "")</f>
        <v>3</v>
      </c>
      <c r="D7" t="s">
        <v>80</v>
      </c>
      <c r="E7">
        <v>1</v>
      </c>
      <c r="F7">
        <v>48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>
        <f t="shared" ref="C8:C68" si="0">IF(ISNUMBER(E8), IF(ISNUMBER(C7), C7+1, 1), "")</f>
        <v>4</v>
      </c>
      <c r="D8" t="s">
        <v>81</v>
      </c>
      <c r="E8">
        <v>1</v>
      </c>
      <c r="F8">
        <v>172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155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>
        <f t="shared" si="0"/>
        <v>5</v>
      </c>
      <c r="D9" t="s">
        <v>82</v>
      </c>
      <c r="E9">
        <v>1</v>
      </c>
      <c r="F9">
        <v>85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76.5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>
        <f t="shared" si="0"/>
        <v>6</v>
      </c>
      <c r="D10" t="s">
        <v>83</v>
      </c>
      <c r="E10">
        <v>3</v>
      </c>
      <c r="F10">
        <v>3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9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>
        <f t="shared" si="0"/>
        <v>7</v>
      </c>
      <c r="D11" t="s">
        <v>70</v>
      </c>
      <c r="E11">
        <v>1</v>
      </c>
      <c r="F11">
        <v>57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57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>
        <f t="shared" si="0"/>
        <v>8</v>
      </c>
      <c r="D12" t="s">
        <v>84</v>
      </c>
      <c r="E12">
        <v>1</v>
      </c>
      <c r="F12">
        <v>20</v>
      </c>
      <c r="G12" t="s">
        <v>27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18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>
        <f t="shared" si="0"/>
        <v>9</v>
      </c>
      <c r="D13" t="s">
        <v>85</v>
      </c>
      <c r="E13">
        <v>1</v>
      </c>
      <c r="F13">
        <v>35</v>
      </c>
      <c r="G13" t="s">
        <v>27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>
        <f t="shared" si="0"/>
        <v>10</v>
      </c>
      <c r="D14" t="s">
        <v>36</v>
      </c>
      <c r="E14">
        <v>2</v>
      </c>
      <c r="F14">
        <v>28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50.5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>
        <f t="shared" si="0"/>
        <v>11</v>
      </c>
      <c r="D15" t="s">
        <v>86</v>
      </c>
      <c r="E15">
        <v>1</v>
      </c>
      <c r="F15">
        <v>25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22.5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>
        <f t="shared" si="0"/>
        <v>12</v>
      </c>
      <c r="D16" t="s">
        <v>87</v>
      </c>
      <c r="E16">
        <v>1</v>
      </c>
      <c r="F16">
        <v>220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220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>
        <f t="shared" si="0"/>
        <v>13</v>
      </c>
      <c r="D17" t="s">
        <v>88</v>
      </c>
      <c r="E17">
        <v>1</v>
      </c>
      <c r="F17">
        <v>40</v>
      </c>
      <c r="G17" t="s">
        <v>27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36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>
        <f t="shared" si="0"/>
        <v>14</v>
      </c>
      <c r="D18" t="s">
        <v>89</v>
      </c>
      <c r="E18">
        <v>1</v>
      </c>
      <c r="F18">
        <v>20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20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>
        <f t="shared" si="0"/>
        <v>15</v>
      </c>
      <c r="D19" t="s">
        <v>90</v>
      </c>
      <c r="E19">
        <v>1</v>
      </c>
      <c r="F19">
        <v>30</v>
      </c>
      <c r="G19" t="s">
        <v>27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>
        <f t="shared" si="0"/>
        <v>16</v>
      </c>
      <c r="D20" t="s">
        <v>91</v>
      </c>
      <c r="E20">
        <v>1</v>
      </c>
      <c r="F20">
        <v>10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>
        <f t="shared" si="0"/>
        <v>17</v>
      </c>
      <c r="D21" t="s">
        <v>92</v>
      </c>
      <c r="E21">
        <v>1</v>
      </c>
      <c r="F21">
        <v>350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350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 t="str">
        <f t="shared" si="0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45976.797498148146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45976.797498148146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45976.797498148146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45976.797498148146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45976.797498148146</v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45976.797498148146</v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45976.797498148146</v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45976.797498148146</v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1868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45976.797498148146</v>
      </c>
      <c r="C5">
        <f t="shared" ref="C5:C68" si="0">IF(ISNUMBER(E5), IF(ISNUMBER(C4), C4+1, 1), "")</f>
        <v>1</v>
      </c>
      <c r="D5" t="s">
        <v>94</v>
      </c>
      <c r="E5">
        <v>1</v>
      </c>
      <c r="F5">
        <v>150</v>
      </c>
      <c r="G5" t="s">
        <v>27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142.5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>
        <f t="shared" si="0"/>
        <v>2</v>
      </c>
      <c r="D6" t="s">
        <v>95</v>
      </c>
      <c r="E6">
        <v>1</v>
      </c>
      <c r="F6">
        <v>375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337.5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>
        <f t="shared" si="0"/>
        <v>3</v>
      </c>
      <c r="D7" t="s">
        <v>96</v>
      </c>
      <c r="E7">
        <v>1</v>
      </c>
      <c r="F7">
        <v>85</v>
      </c>
      <c r="G7" t="s">
        <v>27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76.5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>
        <f t="shared" si="0"/>
        <v>4</v>
      </c>
      <c r="D8" t="s">
        <v>97</v>
      </c>
      <c r="E8">
        <v>1</v>
      </c>
      <c r="F8">
        <v>70</v>
      </c>
      <c r="G8" t="s">
        <v>27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>
        <f t="shared" si="0"/>
        <v>5</v>
      </c>
      <c r="D9" t="s">
        <v>98</v>
      </c>
      <c r="E9">
        <v>2</v>
      </c>
      <c r="F9">
        <v>57</v>
      </c>
      <c r="G9" t="s">
        <v>27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103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>
        <f t="shared" si="0"/>
        <v>6</v>
      </c>
      <c r="D10" t="s">
        <v>99</v>
      </c>
      <c r="E10">
        <v>1</v>
      </c>
      <c r="F10">
        <v>35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31.5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>
        <f t="shared" si="0"/>
        <v>7</v>
      </c>
      <c r="D11" t="s">
        <v>100</v>
      </c>
      <c r="E11">
        <v>2</v>
      </c>
      <c r="F11">
        <v>20</v>
      </c>
      <c r="G11" t="s">
        <v>27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36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>
        <f t="shared" si="0"/>
        <v>8</v>
      </c>
      <c r="D12" t="s">
        <v>101</v>
      </c>
      <c r="E12">
        <v>1</v>
      </c>
      <c r="F12">
        <v>88</v>
      </c>
      <c r="G12" t="s">
        <v>27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79.5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>
        <f t="shared" si="0"/>
        <v>9</v>
      </c>
      <c r="D13" t="s">
        <v>102</v>
      </c>
      <c r="E13">
        <v>1</v>
      </c>
      <c r="F13">
        <v>95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95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>
        <f t="shared" si="0"/>
        <v>10</v>
      </c>
      <c r="D14" t="s">
        <v>103</v>
      </c>
      <c r="E14">
        <v>1</v>
      </c>
      <c r="F14">
        <v>75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75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>
        <f t="shared" si="0"/>
        <v>11</v>
      </c>
      <c r="D15" t="s">
        <v>104</v>
      </c>
      <c r="E15">
        <v>1</v>
      </c>
      <c r="F15">
        <v>150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>
        <f t="shared" si="0"/>
        <v>12</v>
      </c>
      <c r="D16" t="s">
        <v>105</v>
      </c>
      <c r="E16">
        <v>1</v>
      </c>
      <c r="F16">
        <v>87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87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>
        <f t="shared" si="0"/>
        <v>13</v>
      </c>
      <c r="D17" t="s">
        <v>36</v>
      </c>
      <c r="E17">
        <v>2</v>
      </c>
      <c r="F17">
        <v>28</v>
      </c>
      <c r="G17" t="s">
        <v>27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50.5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>
        <f t="shared" si="0"/>
        <v>14</v>
      </c>
      <c r="D18" t="s">
        <v>69</v>
      </c>
      <c r="E18">
        <v>1</v>
      </c>
      <c r="F18">
        <v>142</v>
      </c>
      <c r="G18" t="s">
        <v>27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135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>
        <f t="shared" si="0"/>
        <v>15</v>
      </c>
      <c r="D19" t="s">
        <v>105</v>
      </c>
      <c r="E19">
        <v>1</v>
      </c>
      <c r="F19">
        <v>87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87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>
        <f t="shared" si="0"/>
        <v>16</v>
      </c>
      <c r="D20" t="s">
        <v>106</v>
      </c>
      <c r="E20">
        <v>1</v>
      </c>
      <c r="F20">
        <v>25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25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>
        <f t="shared" si="0"/>
        <v>17</v>
      </c>
      <c r="D21" t="s">
        <v>98</v>
      </c>
      <c r="E21">
        <v>2</v>
      </c>
      <c r="F21">
        <v>57</v>
      </c>
      <c r="G21" t="s">
        <v>27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103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>
        <f t="shared" si="0"/>
        <v>18</v>
      </c>
      <c r="D22" t="s">
        <v>107</v>
      </c>
      <c r="E22">
        <v>1</v>
      </c>
      <c r="F22">
        <v>212</v>
      </c>
      <c r="G22" t="s">
        <v>27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191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45976.797498148146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45976.797498148146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45976.797498148146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45976.797498148146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45976.797498148146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45976.797498148146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45976.797498148146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45976.797498148146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108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3781.5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 t="s">
        <v>130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45976.797498148146</v>
      </c>
      <c r="C5">
        <f t="shared" ref="C5:C68" si="0">IF(ISNUMBER(E5), IF(ISNUMBER(C4), C4+1, 1), "")</f>
        <v>1</v>
      </c>
      <c r="D5" t="s">
        <v>115</v>
      </c>
      <c r="E5">
        <v>1</v>
      </c>
      <c r="F5">
        <v>75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67.5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>
        <f t="shared" si="0"/>
        <v>2</v>
      </c>
      <c r="D6" t="s">
        <v>116</v>
      </c>
      <c r="E6">
        <v>1</v>
      </c>
      <c r="F6">
        <v>10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>
        <f t="shared" si="0"/>
        <v>3</v>
      </c>
      <c r="D7" t="s">
        <v>117</v>
      </c>
      <c r="E7">
        <v>1</v>
      </c>
      <c r="F7">
        <v>50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>
        <f t="shared" si="0"/>
        <v>4</v>
      </c>
      <c r="D8" t="s">
        <v>118</v>
      </c>
      <c r="E8">
        <v>2</v>
      </c>
      <c r="F8">
        <v>1260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2520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>
        <f t="shared" si="0"/>
        <v>5</v>
      </c>
      <c r="D9" t="s">
        <v>119</v>
      </c>
      <c r="E9">
        <v>1</v>
      </c>
      <c r="F9">
        <v>10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9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>
        <f t="shared" si="0"/>
        <v>6</v>
      </c>
      <c r="D10" t="s">
        <v>103</v>
      </c>
      <c r="E10">
        <v>1</v>
      </c>
      <c r="F10">
        <v>75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75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>
        <f t="shared" si="0"/>
        <v>7</v>
      </c>
      <c r="D11" t="s">
        <v>120</v>
      </c>
      <c r="E11">
        <v>1</v>
      </c>
      <c r="F11">
        <v>30</v>
      </c>
      <c r="G11" t="s">
        <v>27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>
        <f t="shared" si="0"/>
        <v>8</v>
      </c>
      <c r="D12" t="s">
        <v>121</v>
      </c>
      <c r="E12">
        <v>1</v>
      </c>
      <c r="F12">
        <v>30</v>
      </c>
      <c r="G12" t="s">
        <v>27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27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>
        <f t="shared" si="0"/>
        <v>9</v>
      </c>
      <c r="D13" t="s">
        <v>122</v>
      </c>
      <c r="E13">
        <v>1</v>
      </c>
      <c r="F13">
        <v>90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90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>
        <f t="shared" si="0"/>
        <v>10</v>
      </c>
      <c r="D14" t="s">
        <v>123</v>
      </c>
      <c r="E14">
        <v>1</v>
      </c>
      <c r="F14">
        <v>500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500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>
        <f t="shared" si="0"/>
        <v>11</v>
      </c>
      <c r="D15" t="s">
        <v>30</v>
      </c>
      <c r="E15">
        <v>1</v>
      </c>
      <c r="F15">
        <v>20</v>
      </c>
      <c r="G15" t="s">
        <v>27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>
        <f t="shared" si="0"/>
        <v>12</v>
      </c>
      <c r="D16" t="s">
        <v>124</v>
      </c>
      <c r="E16">
        <v>3</v>
      </c>
      <c r="F16">
        <v>5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15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>
        <f t="shared" si="0"/>
        <v>13</v>
      </c>
      <c r="D17" t="s">
        <v>125</v>
      </c>
      <c r="E17">
        <v>2</v>
      </c>
      <c r="F17">
        <v>10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>
        <f t="shared" si="0"/>
        <v>14</v>
      </c>
      <c r="D18" t="s">
        <v>126</v>
      </c>
      <c r="E18">
        <v>1</v>
      </c>
      <c r="F18">
        <v>185</v>
      </c>
      <c r="G18" t="s">
        <v>27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166.5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>
        <f t="shared" si="0"/>
        <v>15</v>
      </c>
      <c r="D19" t="s">
        <v>127</v>
      </c>
      <c r="E19">
        <v>1</v>
      </c>
      <c r="F19">
        <v>60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60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>
        <f t="shared" si="0"/>
        <v>16</v>
      </c>
      <c r="D20" t="s">
        <v>47</v>
      </c>
      <c r="E20">
        <v>1</v>
      </c>
      <c r="F20">
        <v>87</v>
      </c>
      <c r="G20" t="s">
        <v>27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78.5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>
        <f t="shared" si="0"/>
        <v>17</v>
      </c>
      <c r="D21" t="s">
        <v>128</v>
      </c>
      <c r="E21">
        <v>1</v>
      </c>
      <c r="F21">
        <v>42</v>
      </c>
      <c r="G21" t="s">
        <v>27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38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>
        <f t="shared" si="0"/>
        <v>18</v>
      </c>
      <c r="D22" t="s">
        <v>116</v>
      </c>
      <c r="E22">
        <v>1</v>
      </c>
      <c r="F22">
        <v>10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10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45976.797498148146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45976.797498148146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45976.797498148146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45976.797498148146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109</v>
      </c>
      <c r="N27" s="15">
        <v>1015</v>
      </c>
      <c r="O27" s="39" t="s">
        <v>110</v>
      </c>
      <c r="P27" s="40"/>
      <c r="Q27" s="40"/>
      <c r="R27" s="41"/>
    </row>
    <row r="28" spans="2:18" ht="15" customHeight="1" x14ac:dyDescent="0.25">
      <c r="B28" s="18">
        <f ca="1">IF(Tabla1[[#This Row],['#]]&lt;&gt;"", NOW(), "")</f>
        <v>45976.797498148146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129</v>
      </c>
      <c r="N28" s="15">
        <v>562</v>
      </c>
      <c r="O28" s="39" t="s">
        <v>111</v>
      </c>
      <c r="P28" s="40"/>
      <c r="Q28" s="40"/>
      <c r="R28" s="41"/>
    </row>
    <row r="29" spans="2:18" ht="15" customHeight="1" x14ac:dyDescent="0.25">
      <c r="B29" s="18">
        <f ca="1">IF(Tabla1[[#This Row],['#]]&lt;&gt;"", NOW(), "")</f>
        <v>45976.797498148146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112</v>
      </c>
      <c r="N29" s="15">
        <v>1500</v>
      </c>
      <c r="O29" s="39" t="s">
        <v>111</v>
      </c>
      <c r="P29" s="40"/>
      <c r="Q29" s="40"/>
      <c r="R29" s="41"/>
    </row>
    <row r="30" spans="2:18" ht="15" customHeight="1" x14ac:dyDescent="0.25">
      <c r="B30" s="18">
        <f ca="1">IF(Tabla1[[#This Row],['#]]&lt;&gt;"", NOW(), "")</f>
        <v>45976.797498148146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113</v>
      </c>
      <c r="N30" s="15">
        <v>3077</v>
      </c>
      <c r="O30" s="39" t="s">
        <v>114</v>
      </c>
      <c r="P30" s="40"/>
      <c r="Q30" s="40"/>
      <c r="R30" s="41"/>
    </row>
    <row r="31" spans="2:18" ht="15" customHeight="1" x14ac:dyDescent="0.25">
      <c r="B31" s="18">
        <f ca="1">IF(Tabla1[[#This Row],['#]]&lt;&gt;"", NOW(), "")</f>
        <v>45976.797498148146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131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2581.5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146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45976.797498148146</v>
      </c>
      <c r="C5">
        <f t="shared" ref="C5:C68" si="0">IF(ISNUMBER(E5), IF(ISNUMBER(C4), C4+1, 1), "")</f>
        <v>1</v>
      </c>
      <c r="D5" t="s">
        <v>132</v>
      </c>
      <c r="E5">
        <v>1</v>
      </c>
      <c r="F5">
        <v>450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450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>
        <f t="shared" si="0"/>
        <v>2</v>
      </c>
      <c r="D6" t="s">
        <v>137</v>
      </c>
      <c r="E6">
        <v>1</v>
      </c>
      <c r="F6">
        <v>239</v>
      </c>
      <c r="G6" t="s">
        <v>27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215.5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>
        <f t="shared" si="0"/>
        <v>3</v>
      </c>
      <c r="D7" t="s">
        <v>133</v>
      </c>
      <c r="E7">
        <v>1</v>
      </c>
      <c r="F7">
        <v>15</v>
      </c>
      <c r="G7" t="s">
        <v>27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>
        <f t="shared" si="0"/>
        <v>4</v>
      </c>
      <c r="D8" t="s">
        <v>134</v>
      </c>
      <c r="E8">
        <v>1</v>
      </c>
      <c r="F8">
        <v>104</v>
      </c>
      <c r="G8" t="s">
        <v>27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94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>
        <f t="shared" si="0"/>
        <v>5</v>
      </c>
      <c r="D9" t="s">
        <v>135</v>
      </c>
      <c r="E9">
        <v>5</v>
      </c>
      <c r="F9">
        <v>15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67.5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>
        <f t="shared" si="0"/>
        <v>6</v>
      </c>
      <c r="D10" t="s">
        <v>136</v>
      </c>
      <c r="E10">
        <v>2</v>
      </c>
      <c r="F10">
        <v>57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103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>
        <f t="shared" si="0"/>
        <v>7</v>
      </c>
      <c r="D11" t="s">
        <v>44</v>
      </c>
      <c r="E11">
        <v>1</v>
      </c>
      <c r="F11">
        <v>123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123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>
        <f t="shared" si="0"/>
        <v>8</v>
      </c>
      <c r="D12" t="s">
        <v>98</v>
      </c>
      <c r="E12">
        <v>1</v>
      </c>
      <c r="F12">
        <v>57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57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>
        <f t="shared" si="0"/>
        <v>9</v>
      </c>
      <c r="D13" t="s">
        <v>139</v>
      </c>
      <c r="E13">
        <v>1</v>
      </c>
      <c r="F13">
        <v>200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200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>
        <f t="shared" si="0"/>
        <v>10</v>
      </c>
      <c r="D14" t="s">
        <v>140</v>
      </c>
      <c r="E14">
        <v>1</v>
      </c>
      <c r="F14">
        <v>57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57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>
        <f t="shared" si="0"/>
        <v>11</v>
      </c>
      <c r="D15" t="s">
        <v>141</v>
      </c>
      <c r="E15">
        <v>1</v>
      </c>
      <c r="F15">
        <v>48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48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>
        <f t="shared" si="0"/>
        <v>12</v>
      </c>
      <c r="D16" t="s">
        <v>142</v>
      </c>
      <c r="E16">
        <v>1</v>
      </c>
      <c r="F16">
        <v>172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172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>
        <f t="shared" si="0"/>
        <v>13</v>
      </c>
      <c r="D17" t="s">
        <v>143</v>
      </c>
      <c r="E17">
        <v>1</v>
      </c>
      <c r="F17">
        <v>79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79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>
        <f t="shared" si="0"/>
        <v>14</v>
      </c>
      <c r="D18" t="s">
        <v>144</v>
      </c>
      <c r="E18">
        <v>1</v>
      </c>
      <c r="F18">
        <v>35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35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>
        <f t="shared" si="0"/>
        <v>15</v>
      </c>
      <c r="D19" t="s">
        <v>69</v>
      </c>
      <c r="E19">
        <v>1</v>
      </c>
      <c r="F19">
        <v>142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142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>
        <f t="shared" si="0"/>
        <v>16</v>
      </c>
      <c r="D20" t="s">
        <v>145</v>
      </c>
      <c r="E20">
        <v>1</v>
      </c>
      <c r="F20">
        <v>650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650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>
        <f t="shared" si="0"/>
        <v>17</v>
      </c>
      <c r="D21" t="s">
        <v>115</v>
      </c>
      <c r="E21">
        <v>1</v>
      </c>
      <c r="F21">
        <v>75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75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45976.797498148146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45976.797498148146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45976.797498148146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45976.797498148146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138</v>
      </c>
      <c r="N27" s="15">
        <v>67</v>
      </c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45976.797498148146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45976.797498148146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45976.797498148146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45976.797498148146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45976.797498148146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45976.797498148146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45976.797498148146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45976.797498148146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45976.797498148146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45976.797498148146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45976.797498148146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45976.797498148146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45976.797498148146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45976.797498148146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45976.797498148146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45976.797498148146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45976.797498148146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45976.797498148146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45976.797498148146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45976.797498148146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45976.797498148146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45976.797498148146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45976.797498148146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45976.797498148146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45976.797498148146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45976.797498148146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45976.797498148146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45976.797498148146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45976.797498148146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45976.797498148146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10-11-25</vt:lpstr>
      <vt:lpstr>Martes 11-11-25</vt:lpstr>
      <vt:lpstr>Miercoles 12-11-25</vt:lpstr>
      <vt:lpstr>Jueves 13-11-25</vt:lpstr>
      <vt:lpstr>Viernes 4-11-25</vt:lpstr>
      <vt:lpstr>Sabado 15-11-25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2025-11-16T01:08:25Z</dcterms:modified>
</cp:coreProperties>
</file>