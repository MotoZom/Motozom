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2303C727-F251-442A-A0C0-408C3D2F263C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03-11-25" sheetId="1" r:id="rId1"/>
    <sheet name="Martes 04-11-25" sheetId="2" r:id="rId2"/>
    <sheet name="Miercoles 05-11-25" sheetId="3" r:id="rId3"/>
    <sheet name="Jueves 06-11-25" sheetId="4" r:id="rId4"/>
    <sheet name="viernes 07-11-25" sheetId="5" r:id="rId5"/>
    <sheet name="Sabado 08-11-25" sheetId="6" r:id="rId6"/>
    <sheet name="Domingo" sheetId="8" r:id="rId7"/>
    <sheet name="Cambios" sheetId="7" r:id="rId8"/>
  </sheets>
  <definedNames>
    <definedName name="_xlnm._FilterDatabase" localSheetId="0" hidden="1">'Lunes 03-11-25'!$B$4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<sst xmlns="http://schemas.openxmlformats.org/spreadsheetml/2006/main" count="322" uniqueCount="140">
  <si>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</si>
  <si>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</si>
  <si>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</si>
  <si>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</si>
  <si>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</si>
  <si>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</si>
  <si>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</si>
  <si>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</si>
  <si>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</si>
  <si>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</si>
  <si>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</si>
  <si>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</si>
  <si>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</si>
  <si>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</si>
  <si>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</si>
  <si>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</si>
  <si>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</si>
  <si>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</si>
  <si>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</si>
  <si>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</si>
  <si>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</si>
  <si>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</si>
  <si>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</si>
  <si>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</si>
  <si>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</si>
  <si>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03 DE NOVIEMBRE-25</t>
  </si>
  <si>
    <t xml:space="preserve">ANTICONGELANTE </t>
  </si>
  <si>
    <t>INTERRUPTOR DE FRENO TRASERO</t>
  </si>
  <si>
    <t xml:space="preserve">FUSIBLES </t>
  </si>
  <si>
    <t xml:space="preserve">DIRECCIONALES UNIVERSALES </t>
  </si>
  <si>
    <t>LLANTA 3.50.10</t>
  </si>
  <si>
    <t>FOCO H4 HALOGENO ITALIKA</t>
  </si>
  <si>
    <t>FOCO M10</t>
  </si>
  <si>
    <t>CAPUCHON DE BUJIA FT150</t>
  </si>
  <si>
    <t>ACEITE LUBER</t>
  </si>
  <si>
    <t>ACEILUBER</t>
  </si>
  <si>
    <t>X</t>
  </si>
  <si>
    <t>SALPICADERA YA ACOMPLETARON</t>
  </si>
  <si>
    <t xml:space="preserve">PEDIDO ITALIKA </t>
  </si>
  <si>
    <t xml:space="preserve">CUENTA SEMANA PASADA $ 21223 MAS LOS 8 PESOSQUE DEJASTE QUEDA $ 21231 MENOS 534 DE AXPRO QUEDA $ 20697  MENSOS 13427 PEDIDO DE ITALIKA QUEDA $ 7270 </t>
  </si>
  <si>
    <t>PEDIDO AXPRO</t>
  </si>
  <si>
    <t>ACEITE REPSOL</t>
  </si>
  <si>
    <t>Martes 04 DE NOVIEMBRE-25</t>
  </si>
  <si>
    <t>KID DE ARRASTRE 250Z</t>
  </si>
  <si>
    <t>CADENA 520 SENCILLA</t>
  </si>
  <si>
    <t>BALEROS 6301</t>
  </si>
  <si>
    <t>BALERO 6201</t>
  </si>
  <si>
    <t>CHICOTE DE ACLERADOR DM200</t>
  </si>
  <si>
    <t>BUJIA C7</t>
  </si>
  <si>
    <t>PIZZA</t>
  </si>
  <si>
    <t xml:space="preserve">ACEITE AKRON </t>
  </si>
  <si>
    <t>BUJIA D8</t>
  </si>
  <si>
    <t>CHICOTE DE CLUTH UNIVERSAL</t>
  </si>
  <si>
    <t xml:space="preserve">BUJE DE HORQUILLA </t>
  </si>
  <si>
    <t xml:space="preserve">TUERCA </t>
  </si>
  <si>
    <t>PARADOR LATERAL DM200</t>
  </si>
  <si>
    <t>RESORTE DE LA PATA DM200</t>
  </si>
  <si>
    <t>STIKER</t>
  </si>
  <si>
    <t>CUENTA DE AYER $ 7270 MENOS $ 80 DE CENA QUEDA $ 7190</t>
  </si>
  <si>
    <t>PASTAS DE CLUTH FT150</t>
  </si>
  <si>
    <t>ABRAZADERA DE MOFLE DS150</t>
  </si>
  <si>
    <t>Miercoles 05  DE NOVIEMBRE-25</t>
  </si>
  <si>
    <t>EMBOLO DE CARBURADOR DS150</t>
  </si>
  <si>
    <t xml:space="preserve">RAYOS DM200 TRASEREOS </t>
  </si>
  <si>
    <t xml:space="preserve">EMPAQUE DE PIPETA MOTONETA </t>
  </si>
  <si>
    <t xml:space="preserve">SELLOS DE  ESCAPE </t>
  </si>
  <si>
    <t>SELENOIDE DS150 ITALIKA</t>
  </si>
  <si>
    <t>BIRLOS DE ESCAPE DS150</t>
  </si>
  <si>
    <t>MANGUERA DE GASOLINA MEDIO</t>
  </si>
  <si>
    <t xml:space="preserve">FILTRO DE CARTON GASOLINA </t>
  </si>
  <si>
    <t>CADENA DE DISTRIBUCION DS150</t>
  </si>
  <si>
    <t>GUIAS DE CADENA DS150</t>
  </si>
  <si>
    <t>BALATA DE YAMAHA FZ</t>
  </si>
  <si>
    <t>FILTRO DE AIRE DM200</t>
  </si>
  <si>
    <t>KID DE CILINDRO DS150</t>
  </si>
  <si>
    <t>CABEZA DE CILINDRO DS150</t>
  </si>
  <si>
    <t xml:space="preserve">GRAPAS </t>
  </si>
  <si>
    <t xml:space="preserve">PILA QLINK 6.5 </t>
  </si>
  <si>
    <t xml:space="preserve">CADENA 428 X 126 </t>
  </si>
  <si>
    <t>BALATA DE DS150</t>
  </si>
  <si>
    <t>LUBRICANTE DE CADENA AXPRO</t>
  </si>
  <si>
    <t>PEDAL DE CAMBIOS FT150</t>
  </si>
  <si>
    <t>BOMBA DE GASOLINA DS150</t>
  </si>
  <si>
    <t>BALATA DE TAMBOR FT 150</t>
  </si>
  <si>
    <t>BALATA DE TAMBOR DE FT150</t>
  </si>
  <si>
    <t>GUANTES SENCILLOS</t>
  </si>
  <si>
    <t>CABLE SWITH UNIVERSAL</t>
  </si>
  <si>
    <t>Jueves 06 DE NOVIEMBRE-25</t>
  </si>
  <si>
    <t>PILA YTX 7 NASAKI</t>
  </si>
  <si>
    <t>GOMAS DE IMPACTO FT125</t>
  </si>
  <si>
    <t xml:space="preserve"> GOMA DE PARADOR CENTRAL DS150</t>
  </si>
  <si>
    <t>SENSOR DE FRENO TRASERO DS150</t>
  </si>
  <si>
    <t xml:space="preserve">ARNES DE 3 CABLES </t>
  </si>
  <si>
    <t>JUNTA DE CLUTH DS150</t>
  </si>
  <si>
    <t xml:space="preserve">AUXILIARES LED </t>
  </si>
  <si>
    <t xml:space="preserve">BALATA DE ATV VOLARIS </t>
  </si>
  <si>
    <t>ESPEJOS WS150</t>
  </si>
  <si>
    <t>JUNTAS DE HONDA CARGO</t>
  </si>
  <si>
    <t>FOCO DE DIRECCIONAL</t>
  </si>
  <si>
    <t>Viernes 07 DE NOVIEMBRE-25</t>
  </si>
  <si>
    <t>AXPRO</t>
  </si>
  <si>
    <t>LUNES 03 DE NOVIEMBRE-25</t>
  </si>
  <si>
    <t>P.ITALIKA</t>
  </si>
  <si>
    <t>MARTES 04 DE NOVIEMBRE-25</t>
  </si>
  <si>
    <t>P.LUBER</t>
  </si>
  <si>
    <t>VIERNES 07 DE NOVIEMBRE-25</t>
  </si>
  <si>
    <t>P.NASAKI</t>
  </si>
  <si>
    <t>PAGOYAS</t>
  </si>
  <si>
    <t>TOTAL</t>
  </si>
  <si>
    <t xml:space="preserve">TOTAL DE EGRESOS </t>
  </si>
  <si>
    <t xml:space="preserve">JUNTA DE CLUTH MOTONETA </t>
  </si>
  <si>
    <t>P.OSCAR</t>
  </si>
  <si>
    <t>PILA YTX7 NASAKI</t>
  </si>
  <si>
    <t>PILA 12N7 3B QLINK</t>
  </si>
  <si>
    <t>RETEN 33-46-11</t>
  </si>
  <si>
    <t>DISC DE FRENO TRASERO 250Z</t>
  </si>
  <si>
    <t xml:space="preserve">FOCO H4 LED </t>
  </si>
  <si>
    <t>ACEITE AKRON</t>
  </si>
  <si>
    <t>RED DE ACIENDO DS150</t>
  </si>
  <si>
    <t xml:space="preserve">FILTRO DE ALTO FLUJO </t>
  </si>
  <si>
    <r>
      <rPr>
        <b/>
        <sz val="14"/>
        <color theme="1"/>
        <rFont val="Calibri"/>
        <family val="2"/>
        <scheme val="minor"/>
      </rPr>
      <t>CORTES DE LA SEMANA             SEMNA PASADA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03 DE NOVIEMBRE-25             $ 21231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$ 1379                 MENOS $23816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04 DE NOVIEMBRE-25 QUEDA 000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$ 2012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MIERCOLES 05 DE NOVIEMBRE-25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VENTA$ 3001.5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06 DE NOVIEMBRE-25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$ 1531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VIERNES 07  DE NOVIEMBRE-25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$ 2119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 xml:space="preserve">TOTAL $ 10042.5 
MENOS $ 2585 
QUEDA $ 7457.5 
</t>
    </r>
    <r>
      <rPr>
        <b/>
        <sz val="20"/>
        <color theme="1"/>
        <rFont val="Calibri"/>
        <family val="2"/>
        <scheme val="minor"/>
      </rPr>
      <t xml:space="preserve">TOTAL EN CAJA $ 7457.5 </t>
    </r>
  </si>
  <si>
    <t>Sabado 08 DE NOVIEMBRE-25</t>
  </si>
  <si>
    <t>BALATA TRASERA  VENTO CROSMAX</t>
  </si>
  <si>
    <t>BLATA DE DISCO 125Z</t>
  </si>
  <si>
    <t>FILTROS DE GASOLINA CARTON</t>
  </si>
  <si>
    <t>FILTRO DE AIRE WS175</t>
  </si>
  <si>
    <t xml:space="preserve">PEDIDO MERCADO </t>
  </si>
  <si>
    <t>TAPA DE BACTERIA D150</t>
  </si>
  <si>
    <t>ESEPJOS DE WS150</t>
  </si>
  <si>
    <t>FOCO H4 HALOGENO</t>
  </si>
  <si>
    <t>FOCO H4  P43T</t>
  </si>
  <si>
    <t>BALATA DE TAMBOR DE FT150 ITALIKA</t>
  </si>
  <si>
    <t>PASTAS DE CLUTH 250Z</t>
  </si>
  <si>
    <t>JUNTA DE CARTEL FT150</t>
  </si>
  <si>
    <t>ACEITE YAMALUBE</t>
  </si>
  <si>
    <t>BUJIA C9</t>
  </si>
  <si>
    <t>CAMARA 110-90-16</t>
  </si>
  <si>
    <t>CADENA 530 ITALIKA</t>
  </si>
  <si>
    <t xml:space="preserve">ESTRELLA DE CUATRIMOTO </t>
  </si>
  <si>
    <t xml:space="preserve">CUENTA DE AYER $ 7457 MENOS $ 2827 DE PEDIDO DE MERCADO QUEDA $ 4630 
CUENTA DE HOY SABADO $ 2272.5 MENOS $ 300 PAGO DE YAS QUEDA $ 1972.5 MAS LO DE AYER $ 4630 
TOTAL EN CAJA $ 6602.5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</si>
</sst>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4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9" fillId="0" borderId="0" xfId="0" applyFont="1" applyAlignment="1">
      <alignment horizontal="center" vertical="center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17" sqref="D1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34" t="s">
        <v>25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2" t="s">
        <v>17</v>
      </c>
      <c r="K3" s="6">
        <f>SUM(Tabla1[Importa])</f>
        <v>1379</v>
      </c>
      <c r="M3" s="37" t="s">
        <v>6</v>
      </c>
      <c r="N3" s="37"/>
      <c r="O3" s="37"/>
      <c r="P3" s="37"/>
      <c r="Q3" s="37"/>
      <c r="R3" s="37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12</v>
      </c>
      <c r="M4" s="36" t="s">
        <v>39</v>
      </c>
      <c r="N4" s="36"/>
      <c r="O4" s="36"/>
      <c r="P4" s="36"/>
      <c r="Q4" s="36"/>
      <c r="R4" s="36"/>
    </row>
    <row r="5" spans="2:18" x14ac:dyDescent="0.25">
      <c r="B5" s="18">
        <f ca="1">IF(Tabla1[[#This Row],['#]]&lt;&gt;"", NOW(), "")</f>
        <v>45969.787371643521</v>
      </c>
      <c r="C5">
        <f>IF(ISNUMBER(E5), IF(ISNUMBER(C4), C4+1, 1), "")</f>
        <v>1</v>
      </c>
      <c r="D5" t="s">
        <v>26</v>
      </c>
      <c r="E5">
        <v>1</v>
      </c>
      <c r="F5">
        <v>35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35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45969.787371643521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35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35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45969.787371643521</v>
      </c>
      <c r="C7">
        <f t="shared" si="0"/>
        <v>3</v>
      </c>
      <c r="D7" t="s">
        <v>28</v>
      </c>
      <c r="E7">
        <v>2</v>
      </c>
      <c r="F7">
        <v>3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6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45969.787371643521</v>
      </c>
      <c r="C8">
        <f t="shared" si="0"/>
        <v>4</v>
      </c>
      <c r="D8" t="s">
        <v>29</v>
      </c>
      <c r="E8">
        <v>1</v>
      </c>
      <c r="F8">
        <v>90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90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45969.787371643521</v>
      </c>
      <c r="C9">
        <f t="shared" si="0"/>
        <v>5</v>
      </c>
      <c r="D9" t="s">
        <v>30</v>
      </c>
      <c r="E9">
        <v>1</v>
      </c>
      <c r="F9">
        <v>450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450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45969.787371643521</v>
      </c>
      <c r="C10">
        <f t="shared" si="0"/>
        <v>6</v>
      </c>
      <c r="D10" t="s">
        <v>31</v>
      </c>
      <c r="E10">
        <v>1</v>
      </c>
      <c r="F10">
        <v>45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45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45969.787371643521</v>
      </c>
      <c r="C11">
        <f t="shared" si="0"/>
        <v>7</v>
      </c>
      <c r="D11" t="s">
        <v>32</v>
      </c>
      <c r="E11">
        <v>3</v>
      </c>
      <c r="F11">
        <v>5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45969.787371643521</v>
      </c>
      <c r="C12">
        <f t="shared" si="0"/>
        <v>8</v>
      </c>
      <c r="D12" t="s">
        <v>33</v>
      </c>
      <c r="E12">
        <v>1</v>
      </c>
      <c r="F12">
        <v>20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20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45969.787371643521</v>
      </c>
      <c r="C13">
        <f t="shared" si="0"/>
        <v>9</v>
      </c>
      <c r="D13" t="s">
        <v>34</v>
      </c>
      <c r="E13">
        <v>4</v>
      </c>
      <c r="F13">
        <v>90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360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45969.787371643521</v>
      </c>
      <c r="C14">
        <f t="shared" si="0"/>
        <v>10</v>
      </c>
      <c r="D14" t="s">
        <v>35</v>
      </c>
      <c r="E14">
        <v>1</v>
      </c>
      <c r="F14">
        <v>90</v>
      </c>
      <c r="G14" t="s">
        <v>36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81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45969.787371643521</v>
      </c>
      <c r="C15">
        <f t="shared" si="0"/>
        <v>11</v>
      </c>
      <c r="D15" t="s">
        <v>37</v>
      </c>
      <c r="E15">
        <v>1</v>
      </c>
      <c r="F15">
        <v>100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100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45969.787371643521</v>
      </c>
      <c r="C16">
        <f t="shared" si="0"/>
        <v>12</v>
      </c>
      <c r="D16" t="s">
        <v>41</v>
      </c>
      <c r="E16">
        <v>1</v>
      </c>
      <c r="F16">
        <v>142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142</v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 t="str">
        <f t="shared" si="0"/>
        <v/>
      </c>
      <c r="H17" s="5" t="str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32" t="s">
        <v>19</v>
      </c>
      <c r="N24" s="32"/>
      <c r="O24" s="32"/>
      <c r="P24" s="32"/>
      <c r="Q24" s="32"/>
      <c r="R24" s="3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33"/>
      <c r="N25" s="33"/>
      <c r="O25" s="33"/>
      <c r="P25" s="33"/>
      <c r="Q25" s="33"/>
      <c r="R25" s="33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1" t="s">
        <v>20</v>
      </c>
      <c r="N26" s="31"/>
      <c r="O26" s="14" t="s">
        <v>21</v>
      </c>
      <c r="P26" s="31" t="s">
        <v>22</v>
      </c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19" t="s">
        <v>40</v>
      </c>
      <c r="N27" s="20"/>
      <c r="O27" s="23">
        <v>534</v>
      </c>
      <c r="P27" s="25"/>
      <c r="Q27" s="26"/>
      <c r="R27" s="27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1"/>
      <c r="N28" s="22"/>
      <c r="O28" s="24"/>
      <c r="P28" s="28"/>
      <c r="Q28" s="29"/>
      <c r="R28" s="30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19" t="s">
        <v>38</v>
      </c>
      <c r="N29" s="20"/>
      <c r="O29" s="23">
        <v>13427</v>
      </c>
      <c r="P29" s="25"/>
      <c r="Q29" s="26"/>
      <c r="R29" s="27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1"/>
      <c r="N30" s="22"/>
      <c r="O30" s="24"/>
      <c r="P30" s="28"/>
      <c r="Q30" s="29"/>
      <c r="R30" s="30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19"/>
      <c r="N31" s="20"/>
      <c r="O31" s="23"/>
      <c r="P31" s="25"/>
      <c r="Q31" s="26"/>
      <c r="R31" s="27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1"/>
      <c r="N32" s="22"/>
      <c r="O32" s="24"/>
      <c r="P32" s="28"/>
      <c r="Q32" s="29"/>
      <c r="R32" s="30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19"/>
      <c r="N33" s="20"/>
      <c r="O33" s="23"/>
      <c r="P33" s="25"/>
      <c r="Q33" s="26"/>
      <c r="R33" s="27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1"/>
      <c r="N34" s="22"/>
      <c r="O34" s="24"/>
      <c r="P34" s="28"/>
      <c r="Q34" s="29"/>
      <c r="R34" s="30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19"/>
      <c r="N35" s="20"/>
      <c r="O35" s="23"/>
      <c r="P35" s="25"/>
      <c r="Q35" s="26"/>
      <c r="R35" s="27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1"/>
      <c r="N36" s="22"/>
      <c r="O36" s="24"/>
      <c r="P36" s="28"/>
      <c r="Q36" s="29"/>
      <c r="R36" s="30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19"/>
      <c r="N37" s="20"/>
      <c r="O37" s="23"/>
      <c r="P37" s="25"/>
      <c r="Q37" s="26"/>
      <c r="R37" s="27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1"/>
      <c r="N38" s="22"/>
      <c r="O38" s="24"/>
      <c r="P38" s="28"/>
      <c r="Q38" s="29"/>
      <c r="R38" s="30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19"/>
      <c r="N39" s="20"/>
      <c r="O39" s="23"/>
      <c r="P39" s="25"/>
      <c r="Q39" s="26"/>
      <c r="R39" s="27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1"/>
      <c r="N40" s="22"/>
      <c r="O40" s="24"/>
      <c r="P40" s="28"/>
      <c r="Q40" s="29"/>
      <c r="R40" s="30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19"/>
      <c r="N41" s="20"/>
      <c r="O41" s="23"/>
      <c r="P41" s="25"/>
      <c r="Q41" s="26"/>
      <c r="R41" s="27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1"/>
      <c r="N42" s="22"/>
      <c r="O42" s="24"/>
      <c r="P42" s="28"/>
      <c r="Q42" s="29"/>
      <c r="R42" s="30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19"/>
      <c r="N43" s="20"/>
      <c r="O43" s="23"/>
      <c r="P43" s="25"/>
      <c r="Q43" s="26"/>
      <c r="R43" s="27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1"/>
      <c r="N44" s="22"/>
      <c r="O44" s="24"/>
      <c r="P44" s="28"/>
      <c r="Q44" s="29"/>
      <c r="R44" s="30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19"/>
      <c r="N45" s="20"/>
      <c r="O45" s="23"/>
      <c r="P45" s="25"/>
      <c r="Q45" s="26"/>
      <c r="R45" s="27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1"/>
      <c r="N46" s="22"/>
      <c r="O46" s="24"/>
      <c r="P46" s="28"/>
      <c r="Q46" s="29"/>
      <c r="R46" s="30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19"/>
      <c r="N47" s="20"/>
      <c r="O47" s="23"/>
      <c r="P47" s="25"/>
      <c r="Q47" s="26"/>
      <c r="R47" s="27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1"/>
      <c r="N48" s="22"/>
      <c r="O48" s="24"/>
      <c r="P48" s="28"/>
      <c r="Q48" s="29"/>
      <c r="R48" s="30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19"/>
      <c r="N49" s="20"/>
      <c r="O49" s="23"/>
      <c r="P49" s="25"/>
      <c r="Q49" s="26"/>
      <c r="R49" s="27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1"/>
      <c r="N50" s="22"/>
      <c r="O50" s="24"/>
      <c r="P50" s="28"/>
      <c r="Q50" s="29"/>
      <c r="R50" s="30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19"/>
      <c r="N51" s="20"/>
      <c r="O51" s="23"/>
      <c r="P51" s="25"/>
      <c r="Q51" s="26"/>
      <c r="R51" s="27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1"/>
      <c r="N52" s="22"/>
      <c r="O52" s="24"/>
      <c r="P52" s="28"/>
      <c r="Q52" s="29"/>
      <c r="R52" s="30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24:R24"/>
    <mergeCell ref="M25:R25"/>
    <mergeCell ref="C2:H2"/>
    <mergeCell ref="M4:R22"/>
    <mergeCell ref="M2:R2"/>
    <mergeCell ref="M3:R3"/>
    <mergeCell ref="J5:K14"/>
    <mergeCell ref="M41:N42"/>
    <mergeCell ref="M43:N44"/>
    <mergeCell ref="O41:O42"/>
    <mergeCell ref="O43:O44"/>
    <mergeCell ref="P41:R42"/>
    <mergeCell ref="P43:R44"/>
    <mergeCell ref="P26:R26"/>
    <mergeCell ref="M26:N26"/>
    <mergeCell ref="M27:N28"/>
    <mergeCell ref="M29:N30"/>
    <mergeCell ref="O27:O28"/>
    <mergeCell ref="O29:O30"/>
    <mergeCell ref="P27:R28"/>
    <mergeCell ref="P29:R30"/>
    <mergeCell ref="M31:N32"/>
    <mergeCell ref="M33:N34"/>
    <mergeCell ref="M35:N36"/>
    <mergeCell ref="M37:N38"/>
    <mergeCell ref="M39:N40"/>
    <mergeCell ref="O31:O32"/>
    <mergeCell ref="O33:O34"/>
    <mergeCell ref="O35:O36"/>
    <mergeCell ref="O37:O38"/>
    <mergeCell ref="O39:O40"/>
    <mergeCell ref="P31:R32"/>
    <mergeCell ref="P33:R34"/>
    <mergeCell ref="P35:R36"/>
    <mergeCell ref="P37:R38"/>
    <mergeCell ref="P39:R40"/>
    <mergeCell ref="M45:N46"/>
    <mergeCell ref="O45:O46"/>
    <mergeCell ref="P45:R46"/>
    <mergeCell ref="M47:N48"/>
    <mergeCell ref="O47:O48"/>
    <mergeCell ref="P47:R48"/>
    <mergeCell ref="M49:N50"/>
    <mergeCell ref="O49:O50"/>
    <mergeCell ref="P49:R50"/>
    <mergeCell ref="M51:N52"/>
    <mergeCell ref="O51:O52"/>
    <mergeCell ref="P51:R52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topLeftCell="A2" workbookViewId="0">
      <selection activeCell="D24" sqref="D2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42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SUM(Tabla110[Importa])</f>
        <v>2012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20</v>
      </c>
      <c r="M4" s="36" t="s">
        <v>58</v>
      </c>
      <c r="N4" s="36"/>
      <c r="O4" s="36"/>
      <c r="P4" s="36"/>
      <c r="Q4" s="36"/>
      <c r="R4" s="36"/>
    </row>
    <row r="5" spans="2:18" x14ac:dyDescent="0.25">
      <c r="B5" s="18">
        <f ca="1">IF(Tabla110[[#This Row],['#]]&lt;&gt;"", NOW(), "")</f>
        <v>45969.787371643521</v>
      </c>
      <c r="C5">
        <f t="shared" ref="C5:C68" si="0">IF(ISNUMBER(E5), IF(ISNUMBER(C4), C4+1, 1), "")</f>
        <v>1</v>
      </c>
      <c r="D5" t="s">
        <v>43</v>
      </c>
      <c r="E5">
        <v>1</v>
      </c>
      <c r="F5">
        <v>450</v>
      </c>
      <c r="G5" t="s">
        <v>36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405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45969.787371643521</v>
      </c>
      <c r="C6">
        <f t="shared" si="0"/>
        <v>2</v>
      </c>
      <c r="D6" t="s">
        <v>44</v>
      </c>
      <c r="E6">
        <v>1</v>
      </c>
      <c r="F6">
        <v>294</v>
      </c>
      <c r="G6" t="s">
        <v>36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265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45969.787371643521</v>
      </c>
      <c r="C7">
        <f t="shared" si="0"/>
        <v>3</v>
      </c>
      <c r="D7" t="s">
        <v>45</v>
      </c>
      <c r="E7">
        <v>1</v>
      </c>
      <c r="F7">
        <v>30</v>
      </c>
      <c r="G7" t="s">
        <v>36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27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45969.787371643521</v>
      </c>
      <c r="C8">
        <f t="shared" si="0"/>
        <v>4</v>
      </c>
      <c r="D8" t="s">
        <v>46</v>
      </c>
      <c r="E8">
        <v>1</v>
      </c>
      <c r="F8">
        <v>28</v>
      </c>
      <c r="G8" t="s">
        <v>36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25.5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45969.787371643521</v>
      </c>
      <c r="C9">
        <f t="shared" si="0"/>
        <v>5</v>
      </c>
      <c r="D9" t="s">
        <v>47</v>
      </c>
      <c r="E9">
        <v>1</v>
      </c>
      <c r="F9">
        <v>60</v>
      </c>
      <c r="G9" t="s">
        <v>36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54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45969.787371643521</v>
      </c>
      <c r="C10">
        <f t="shared" si="0"/>
        <v>6</v>
      </c>
      <c r="D10" t="s">
        <v>48</v>
      </c>
      <c r="E10">
        <v>1</v>
      </c>
      <c r="F10">
        <v>57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57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45969.787371643521</v>
      </c>
      <c r="C11">
        <f t="shared" si="0"/>
        <v>7</v>
      </c>
      <c r="D11" t="s">
        <v>50</v>
      </c>
      <c r="E11">
        <v>1</v>
      </c>
      <c r="F11">
        <v>123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123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45969.787371643521</v>
      </c>
      <c r="C12">
        <f t="shared" si="0"/>
        <v>8</v>
      </c>
      <c r="D12" t="s">
        <v>50</v>
      </c>
      <c r="E12">
        <v>1</v>
      </c>
      <c r="F12">
        <v>123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123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45969.787371643521</v>
      </c>
      <c r="C13">
        <f t="shared" si="0"/>
        <v>9</v>
      </c>
      <c r="D13" t="s">
        <v>51</v>
      </c>
      <c r="E13">
        <v>1</v>
      </c>
      <c r="F13">
        <v>57</v>
      </c>
      <c r="G13" t="s">
        <v>36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51.5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45969.787371643521</v>
      </c>
      <c r="C14">
        <f t="shared" si="0"/>
        <v>10</v>
      </c>
      <c r="D14" t="s">
        <v>52</v>
      </c>
      <c r="E14">
        <v>1</v>
      </c>
      <c r="F14">
        <v>20</v>
      </c>
      <c r="G14" t="s">
        <v>36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18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45969.787371643521</v>
      </c>
      <c r="C15">
        <f t="shared" si="0"/>
        <v>11</v>
      </c>
      <c r="D15" t="s">
        <v>41</v>
      </c>
      <c r="E15">
        <v>1</v>
      </c>
      <c r="F15">
        <v>142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142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45969.787371643521</v>
      </c>
      <c r="C16">
        <f t="shared" si="0"/>
        <v>12</v>
      </c>
      <c r="D16" t="s">
        <v>53</v>
      </c>
      <c r="E16">
        <v>1</v>
      </c>
      <c r="F16">
        <v>175</v>
      </c>
      <c r="G16" t="s">
        <v>36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157.5</v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>
        <f t="shared" si="0"/>
        <v>13</v>
      </c>
      <c r="D17" t="s">
        <v>54</v>
      </c>
      <c r="E17">
        <v>2</v>
      </c>
      <c r="F17">
        <v>20</v>
      </c>
      <c r="G17" t="s">
        <v>36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36</v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>
        <f t="shared" si="0"/>
        <v>14</v>
      </c>
      <c r="D18" t="s">
        <v>48</v>
      </c>
      <c r="E18">
        <v>1</v>
      </c>
      <c r="F18">
        <v>57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57</v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>
        <f t="shared" si="0"/>
        <v>15</v>
      </c>
      <c r="D19" t="s">
        <v>55</v>
      </c>
      <c r="E19">
        <v>1</v>
      </c>
      <c r="F19">
        <v>118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118</v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56</v>
      </c>
      <c r="E20">
        <v>1</v>
      </c>
      <c r="F20">
        <v>25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25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57</v>
      </c>
      <c r="E21">
        <v>1</v>
      </c>
      <c r="F21">
        <v>5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5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28</v>
      </c>
      <c r="E22">
        <v>2</v>
      </c>
      <c r="F22">
        <v>3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6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59</v>
      </c>
      <c r="E23">
        <v>2</v>
      </c>
      <c r="F23">
        <v>70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140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60</v>
      </c>
      <c r="E24">
        <v>1</v>
      </c>
      <c r="F24">
        <v>196</v>
      </c>
      <c r="G24" t="s">
        <v>36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176.5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49</v>
      </c>
      <c r="N27" s="15">
        <v>80</v>
      </c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32" sqref="D3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61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SUM(Tabla111[Importa])</f>
        <v>3001.5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27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IF(Tabla111[[#This Row],['#]]&lt;&gt;"", NOW(), "")</f>
        <v>45969.787371643521</v>
      </c>
      <c r="C5">
        <f>IF(ISNUMBER(E5), IF(ISNUMBER(C4), C4+1, 1), "")</f>
        <v>1</v>
      </c>
      <c r="D5" t="s">
        <v>52</v>
      </c>
      <c r="E5">
        <v>2</v>
      </c>
      <c r="F5">
        <v>20</v>
      </c>
      <c r="G5" t="s">
        <v>36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36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45969.787371643521</v>
      </c>
      <c r="C6">
        <f t="shared" ref="C6" si="0">IF(ISNUMBER(E6), IF(ISNUMBER(C5), C5+1, 1), "")</f>
        <v>2</v>
      </c>
      <c r="D6" t="s">
        <v>62</v>
      </c>
      <c r="E6">
        <v>1</v>
      </c>
      <c r="F6">
        <v>75</v>
      </c>
      <c r="G6" t="s">
        <v>36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67.5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45969.787371643521</v>
      </c>
      <c r="C7">
        <f>IF(ISNUMBER(E7), IF(ISNUMBER(C6), C6+1, 1), "")</f>
        <v>3</v>
      </c>
      <c r="D7" t="s">
        <v>63</v>
      </c>
      <c r="E7">
        <v>1</v>
      </c>
      <c r="F7">
        <v>190</v>
      </c>
      <c r="G7" t="s">
        <v>36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171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45969.787371643521</v>
      </c>
      <c r="C8">
        <f t="shared" ref="C8:C68" si="1">IF(ISNUMBER(E8), IF(ISNUMBER(C7), C7+1, 1), "")</f>
        <v>4</v>
      </c>
      <c r="D8" t="s">
        <v>64</v>
      </c>
      <c r="E8">
        <v>1</v>
      </c>
      <c r="F8">
        <v>21</v>
      </c>
      <c r="G8" t="s">
        <v>36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19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45969.787371643521</v>
      </c>
      <c r="C9">
        <f t="shared" si="1"/>
        <v>5</v>
      </c>
      <c r="D9" t="s">
        <v>65</v>
      </c>
      <c r="E9">
        <v>2</v>
      </c>
      <c r="F9">
        <v>10</v>
      </c>
      <c r="G9" t="s">
        <v>36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18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45969.787371643521</v>
      </c>
      <c r="C10">
        <f t="shared" si="1"/>
        <v>6</v>
      </c>
      <c r="D10" t="s">
        <v>66</v>
      </c>
      <c r="E10">
        <v>1</v>
      </c>
      <c r="F10">
        <v>172</v>
      </c>
      <c r="G10" t="s">
        <v>36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155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45969.787371643521</v>
      </c>
      <c r="C11">
        <f t="shared" si="1"/>
        <v>7</v>
      </c>
      <c r="D11" t="s">
        <v>28</v>
      </c>
      <c r="E11">
        <v>5</v>
      </c>
      <c r="F11">
        <v>3</v>
      </c>
      <c r="G11" t="s">
        <v>36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13.5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45969.787371643521</v>
      </c>
      <c r="C12">
        <f t="shared" si="1"/>
        <v>8</v>
      </c>
      <c r="D12" t="s">
        <v>67</v>
      </c>
      <c r="E12">
        <v>2</v>
      </c>
      <c r="F12">
        <v>10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20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45969.787371643521</v>
      </c>
      <c r="C13">
        <f t="shared" si="1"/>
        <v>9</v>
      </c>
      <c r="D13" t="s">
        <v>68</v>
      </c>
      <c r="E13">
        <v>1</v>
      </c>
      <c r="F13">
        <v>15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15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45969.787371643521</v>
      </c>
      <c r="C14">
        <f t="shared" si="1"/>
        <v>10</v>
      </c>
      <c r="D14" t="s">
        <v>69</v>
      </c>
      <c r="E14">
        <v>1</v>
      </c>
      <c r="F14">
        <v>15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15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45969.787371643521</v>
      </c>
      <c r="C15">
        <f t="shared" si="1"/>
        <v>11</v>
      </c>
      <c r="D15" t="s">
        <v>70</v>
      </c>
      <c r="E15">
        <v>1</v>
      </c>
      <c r="F15">
        <v>68</v>
      </c>
      <c r="G15" t="s">
        <v>36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61.5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45969.787371643521</v>
      </c>
      <c r="C16">
        <f t="shared" si="1"/>
        <v>12</v>
      </c>
      <c r="D16" t="s">
        <v>71</v>
      </c>
      <c r="E16">
        <v>1</v>
      </c>
      <c r="F16">
        <v>47</v>
      </c>
      <c r="G16" t="s">
        <v>36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42.5</v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>
        <f t="shared" si="1"/>
        <v>13</v>
      </c>
      <c r="D17" t="s">
        <v>72</v>
      </c>
      <c r="E17">
        <v>1</v>
      </c>
      <c r="F17">
        <v>27</v>
      </c>
      <c r="G17" t="s">
        <v>36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24.5</v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>
        <f t="shared" si="1"/>
        <v>14</v>
      </c>
      <c r="D18" t="s">
        <v>73</v>
      </c>
      <c r="E18">
        <v>1</v>
      </c>
      <c r="F18">
        <v>71</v>
      </c>
      <c r="G18" t="s">
        <v>36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64</v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>
        <f t="shared" si="1"/>
        <v>15</v>
      </c>
      <c r="D19" t="s">
        <v>74</v>
      </c>
      <c r="E19">
        <v>1</v>
      </c>
      <c r="F19">
        <v>480</v>
      </c>
      <c r="G19" t="s">
        <v>36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432</v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>
        <f t="shared" si="1"/>
        <v>16</v>
      </c>
      <c r="D20" t="s">
        <v>75</v>
      </c>
      <c r="E20">
        <v>1</v>
      </c>
      <c r="F20">
        <v>525</v>
      </c>
      <c r="G20" t="s">
        <v>36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472.5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>
        <f t="shared" si="1"/>
        <v>17</v>
      </c>
      <c r="D21" t="s">
        <v>76</v>
      </c>
      <c r="E21">
        <v>1</v>
      </c>
      <c r="F21">
        <v>20</v>
      </c>
      <c r="G21" t="s">
        <v>36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18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1"/>
        <v>18</v>
      </c>
      <c r="D22" t="s">
        <v>77</v>
      </c>
      <c r="E22">
        <v>1</v>
      </c>
      <c r="F22">
        <v>645</v>
      </c>
      <c r="G22" t="s">
        <v>36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580.5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1"/>
        <v>19</v>
      </c>
      <c r="D23" t="s">
        <v>78</v>
      </c>
      <c r="E23">
        <v>1</v>
      </c>
      <c r="F23">
        <v>200</v>
      </c>
      <c r="G23" t="s">
        <v>36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180</v>
      </c>
    </row>
    <row r="24" spans="2:18" ht="15" customHeight="1" x14ac:dyDescent="0.25">
      <c r="B24" s="18" t="str">
        <f ca="1">IF(Tabla1[[#This Row],['#]]&lt;&gt;"", NOW(), "")</f>
        <v/>
      </c>
      <c r="C24">
        <f t="shared" si="1"/>
        <v>20</v>
      </c>
      <c r="D24" t="s">
        <v>79</v>
      </c>
      <c r="E24">
        <v>1</v>
      </c>
      <c r="F24">
        <v>48</v>
      </c>
      <c r="G24" t="s">
        <v>36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43.5</v>
      </c>
      <c r="M24" s="32" t="s">
        <v>19</v>
      </c>
      <c r="N24" s="42"/>
      <c r="O24" s="42"/>
      <c r="P24" s="42"/>
      <c r="Q24" s="42"/>
      <c r="R24" s="42"/>
    </row>
    <row r="25" spans="2:18" x14ac:dyDescent="0.25">
      <c r="B25" s="18" t="str">
        <f ca="1">IF(Tabla1[[#This Row],['#]]&lt;&gt;"", NOW(), "")</f>
        <v/>
      </c>
      <c r="C25">
        <f t="shared" si="1"/>
        <v>21</v>
      </c>
      <c r="D25" t="s">
        <v>80</v>
      </c>
      <c r="E25">
        <v>1</v>
      </c>
      <c r="F25">
        <v>125</v>
      </c>
      <c r="G25" t="s">
        <v>36</v>
      </c>
      <c r="H25" s="5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>112.5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1"/>
        <v>22</v>
      </c>
      <c r="D26" t="s">
        <v>81</v>
      </c>
      <c r="E26">
        <v>1</v>
      </c>
      <c r="F26">
        <v>87</v>
      </c>
      <c r="H26" s="5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>87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x14ac:dyDescent="0.25">
      <c r="B27" s="18" t="str">
        <f ca="1">IF(Tabla1[[#This Row],['#]]&lt;&gt;"", NOW(), "")</f>
        <v/>
      </c>
      <c r="C27">
        <f t="shared" si="1"/>
        <v>23</v>
      </c>
      <c r="D27" t="s">
        <v>82</v>
      </c>
      <c r="E27">
        <v>1</v>
      </c>
      <c r="F27">
        <v>65</v>
      </c>
      <c r="G27" t="s">
        <v>36</v>
      </c>
      <c r="H27" s="5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>58.5</v>
      </c>
      <c r="M27" s="13"/>
      <c r="N27" s="15"/>
      <c r="O27" s="39"/>
      <c r="P27" s="40"/>
      <c r="Q27" s="40"/>
      <c r="R27" s="41"/>
    </row>
    <row r="28" spans="2:18" x14ac:dyDescent="0.25">
      <c r="B28" s="18" t="str">
        <f ca="1">IF(Tabla1[[#This Row],['#]]&lt;&gt;"", NOW(), "")</f>
        <v/>
      </c>
      <c r="C28">
        <f t="shared" si="1"/>
        <v>24</v>
      </c>
      <c r="D28" t="s">
        <v>83</v>
      </c>
      <c r="E28">
        <v>1</v>
      </c>
      <c r="F28">
        <v>90</v>
      </c>
      <c r="H28" s="5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>90</v>
      </c>
      <c r="M28" s="13"/>
      <c r="N28" s="15"/>
      <c r="O28" s="39"/>
      <c r="P28" s="40"/>
      <c r="Q28" s="40"/>
      <c r="R28" s="41"/>
    </row>
    <row r="29" spans="2:18" x14ac:dyDescent="0.25">
      <c r="B29" s="18" t="str">
        <f ca="1">IF(Tabla1[[#This Row],['#]]&lt;&gt;"", NOW(), "")</f>
        <v/>
      </c>
      <c r="C29">
        <f t="shared" si="1"/>
        <v>25</v>
      </c>
      <c r="D29" t="s">
        <v>84</v>
      </c>
      <c r="E29">
        <v>1</v>
      </c>
      <c r="F29">
        <v>88</v>
      </c>
      <c r="G29" t="s">
        <v>36</v>
      </c>
      <c r="H29" s="5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>79.5</v>
      </c>
      <c r="M29" s="13"/>
      <c r="N29" s="15"/>
      <c r="O29" s="39"/>
      <c r="P29" s="40"/>
      <c r="Q29" s="40"/>
      <c r="R29" s="41"/>
    </row>
    <row r="30" spans="2:18" x14ac:dyDescent="0.25">
      <c r="B30" s="18" t="str">
        <f ca="1">IF(Tabla1[[#This Row],['#]]&lt;&gt;"", NOW(), "")</f>
        <v/>
      </c>
      <c r="C30">
        <f t="shared" si="1"/>
        <v>26</v>
      </c>
      <c r="D30" t="s">
        <v>85</v>
      </c>
      <c r="E30">
        <v>1</v>
      </c>
      <c r="F30">
        <v>100</v>
      </c>
      <c r="H30" s="5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>100</v>
      </c>
      <c r="M30" s="13"/>
      <c r="N30" s="15"/>
      <c r="O30" s="39"/>
      <c r="P30" s="40"/>
      <c r="Q30" s="40"/>
      <c r="R30" s="41"/>
    </row>
    <row r="31" spans="2:18" x14ac:dyDescent="0.25">
      <c r="B31" s="18" t="str">
        <f ca="1">IF(Tabla1[[#This Row],['#]]&lt;&gt;"", NOW(), "")</f>
        <v/>
      </c>
      <c r="C31">
        <f t="shared" si="1"/>
        <v>27</v>
      </c>
      <c r="D31" t="s">
        <v>86</v>
      </c>
      <c r="E31">
        <v>1</v>
      </c>
      <c r="F31">
        <v>25</v>
      </c>
      <c r="H31" s="5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>25</v>
      </c>
      <c r="M31" s="13"/>
      <c r="N31" s="15"/>
      <c r="O31" s="39"/>
      <c r="P31" s="40"/>
      <c r="Q31" s="40"/>
      <c r="R31" s="41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18" sqref="D1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87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SUM(Tabla112[Importa])</f>
        <v>1531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13</v>
      </c>
      <c r="M4" s="36"/>
      <c r="N4" s="36"/>
      <c r="O4" s="36"/>
      <c r="P4" s="36"/>
      <c r="Q4" s="36"/>
      <c r="R4" s="36"/>
    </row>
    <row r="5" spans="2:18" x14ac:dyDescent="0.25">
      <c r="B5" s="18">
        <f ca="1">IF(Tabla112[[#This Row],['#]]&lt;&gt;"", NOW(), "")</f>
        <v>45969.787371643521</v>
      </c>
      <c r="C5">
        <f t="shared" ref="C5:C68" si="0">IF(ISNUMBER(E5), IF(ISNUMBER(C4), C4+1, 1), "")</f>
        <v>1</v>
      </c>
      <c r="D5" t="s">
        <v>88</v>
      </c>
      <c r="E5">
        <v>1</v>
      </c>
      <c r="F5">
        <v>550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550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45969.787371643521</v>
      </c>
      <c r="C6">
        <f t="shared" si="0"/>
        <v>2</v>
      </c>
      <c r="D6" t="s">
        <v>89</v>
      </c>
      <c r="E6">
        <v>1</v>
      </c>
      <c r="F6">
        <v>35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35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45969.787371643521</v>
      </c>
      <c r="C7">
        <f t="shared" si="0"/>
        <v>3</v>
      </c>
      <c r="D7" t="s">
        <v>90</v>
      </c>
      <c r="E7">
        <v>1</v>
      </c>
      <c r="F7">
        <v>35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35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45969.787371643521</v>
      </c>
      <c r="C8">
        <f t="shared" si="0"/>
        <v>4</v>
      </c>
      <c r="D8" t="s">
        <v>91</v>
      </c>
      <c r="E8">
        <v>1</v>
      </c>
      <c r="F8">
        <v>35</v>
      </c>
      <c r="G8" t="s">
        <v>36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31.5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45969.787371643521</v>
      </c>
      <c r="C9">
        <f t="shared" si="0"/>
        <v>5</v>
      </c>
      <c r="D9" t="s">
        <v>92</v>
      </c>
      <c r="E9">
        <v>1</v>
      </c>
      <c r="F9">
        <v>20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20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45969.787371643521</v>
      </c>
      <c r="C10">
        <f t="shared" si="0"/>
        <v>6</v>
      </c>
      <c r="D10" t="s">
        <v>93</v>
      </c>
      <c r="E10">
        <v>1</v>
      </c>
      <c r="F10">
        <v>34</v>
      </c>
      <c r="G10" t="s">
        <v>36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31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45969.787371643521</v>
      </c>
      <c r="C11">
        <f t="shared" si="0"/>
        <v>7</v>
      </c>
      <c r="D11" t="s">
        <v>94</v>
      </c>
      <c r="E11">
        <v>1</v>
      </c>
      <c r="F11">
        <v>280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280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45969.787371643521</v>
      </c>
      <c r="C12">
        <f t="shared" si="0"/>
        <v>8</v>
      </c>
      <c r="D12" t="s">
        <v>95</v>
      </c>
      <c r="E12">
        <v>1</v>
      </c>
      <c r="F12">
        <v>95</v>
      </c>
      <c r="G12" t="s">
        <v>36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85.5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45969.787371643521</v>
      </c>
      <c r="C13">
        <f t="shared" si="0"/>
        <v>9</v>
      </c>
      <c r="D13" t="s">
        <v>96</v>
      </c>
      <c r="E13">
        <v>1</v>
      </c>
      <c r="F13">
        <v>150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150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45969.787371643521</v>
      </c>
      <c r="C14">
        <f t="shared" si="0"/>
        <v>10</v>
      </c>
      <c r="D14" t="s">
        <v>97</v>
      </c>
      <c r="E14">
        <v>1</v>
      </c>
      <c r="F14">
        <v>84</v>
      </c>
      <c r="G14" t="s">
        <v>36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76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45969.787371643521</v>
      </c>
      <c r="C15">
        <f t="shared" si="0"/>
        <v>11</v>
      </c>
      <c r="D15" t="s">
        <v>98</v>
      </c>
      <c r="E15">
        <v>8</v>
      </c>
      <c r="F15">
        <v>12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96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45969.787371643521</v>
      </c>
      <c r="C16">
        <f t="shared" si="0"/>
        <v>12</v>
      </c>
      <c r="D16" t="s">
        <v>28</v>
      </c>
      <c r="E16">
        <v>2</v>
      </c>
      <c r="F16">
        <v>3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6</v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>
        <f t="shared" si="0"/>
        <v>13</v>
      </c>
      <c r="D17" t="s">
        <v>96</v>
      </c>
      <c r="E17">
        <v>1</v>
      </c>
      <c r="F17">
        <v>150</v>
      </c>
      <c r="G17" t="s">
        <v>36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135</v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18" sqref="D1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34" t="s">
        <v>99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SUM(Tabla113[Importa])</f>
        <v>2119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13</v>
      </c>
      <c r="M4" s="36" t="s">
        <v>120</v>
      </c>
      <c r="N4" s="36"/>
      <c r="O4" s="36"/>
      <c r="P4" s="36"/>
      <c r="Q4" s="36"/>
      <c r="R4" s="36"/>
    </row>
    <row r="5" spans="2:18" x14ac:dyDescent="0.25">
      <c r="B5" s="18">
        <f ca="1">IF(Tabla113[[#This Row],['#]]&lt;&gt;"", NOW(), "")</f>
        <v>45969.787371643521</v>
      </c>
      <c r="C5">
        <f t="shared" ref="C5:C68" si="0">IF(ISNUMBER(E5), IF(ISNUMBER(C4), C4+1, 1), "")</f>
        <v>1</v>
      </c>
      <c r="D5" t="s">
        <v>110</v>
      </c>
      <c r="E5">
        <v>1</v>
      </c>
      <c r="F5">
        <v>34</v>
      </c>
      <c r="G5" t="s">
        <v>36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31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45969.787371643521</v>
      </c>
      <c r="C6">
        <f t="shared" si="0"/>
        <v>2</v>
      </c>
      <c r="D6" t="s">
        <v>112</v>
      </c>
      <c r="E6">
        <v>1</v>
      </c>
      <c r="F6">
        <v>550</v>
      </c>
      <c r="G6" t="s">
        <v>36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495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45969.787371643521</v>
      </c>
      <c r="C7">
        <f t="shared" si="0"/>
        <v>3</v>
      </c>
      <c r="D7" t="s">
        <v>41</v>
      </c>
      <c r="E7">
        <v>1</v>
      </c>
      <c r="F7">
        <v>142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142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45969.787371643521</v>
      </c>
      <c r="C8">
        <f t="shared" si="0"/>
        <v>4</v>
      </c>
      <c r="D8" t="s">
        <v>113</v>
      </c>
      <c r="E8">
        <v>1</v>
      </c>
      <c r="F8">
        <v>700</v>
      </c>
      <c r="G8" t="s">
        <v>36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630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45969.787371643521</v>
      </c>
      <c r="C9">
        <f t="shared" si="0"/>
        <v>5</v>
      </c>
      <c r="D9" t="s">
        <v>114</v>
      </c>
      <c r="E9">
        <v>1</v>
      </c>
      <c r="F9">
        <v>40</v>
      </c>
      <c r="G9" t="s">
        <v>36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36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45969.787371643521</v>
      </c>
      <c r="C10">
        <f t="shared" si="0"/>
        <v>6</v>
      </c>
      <c r="D10" t="s">
        <v>115</v>
      </c>
      <c r="E10">
        <v>1</v>
      </c>
      <c r="F10">
        <v>302</v>
      </c>
      <c r="G10" t="s">
        <v>36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272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45969.787371643521</v>
      </c>
      <c r="C11">
        <f t="shared" si="0"/>
        <v>7</v>
      </c>
      <c r="D11" t="s">
        <v>116</v>
      </c>
      <c r="E11">
        <v>1</v>
      </c>
      <c r="F11">
        <v>135</v>
      </c>
      <c r="G11" t="s">
        <v>36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121.5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45969.787371643521</v>
      </c>
      <c r="C12">
        <f t="shared" si="0"/>
        <v>8</v>
      </c>
      <c r="D12" t="s">
        <v>117</v>
      </c>
      <c r="E12">
        <v>1</v>
      </c>
      <c r="F12">
        <v>123</v>
      </c>
      <c r="G12" t="s">
        <v>36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117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45969.787371643521</v>
      </c>
      <c r="C13">
        <f t="shared" si="0"/>
        <v>9</v>
      </c>
      <c r="D13" t="s">
        <v>48</v>
      </c>
      <c r="E13">
        <v>1</v>
      </c>
      <c r="F13">
        <v>57</v>
      </c>
      <c r="G13" t="s">
        <v>36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51.5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45969.787371643521</v>
      </c>
      <c r="C14">
        <f t="shared" si="0"/>
        <v>10</v>
      </c>
      <c r="D14" t="s">
        <v>118</v>
      </c>
      <c r="E14">
        <v>1</v>
      </c>
      <c r="F14">
        <v>115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115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45969.787371643521</v>
      </c>
      <c r="C15">
        <f t="shared" si="0"/>
        <v>11</v>
      </c>
      <c r="D15" t="s">
        <v>119</v>
      </c>
      <c r="E15">
        <v>1</v>
      </c>
      <c r="F15">
        <v>78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78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45969.787371643521</v>
      </c>
      <c r="C16">
        <f t="shared" si="0"/>
        <v>12</v>
      </c>
      <c r="D16" t="s">
        <v>57</v>
      </c>
      <c r="E16">
        <v>2</v>
      </c>
      <c r="F16">
        <v>5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10</v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>
        <f t="shared" si="0"/>
        <v>13</v>
      </c>
      <c r="D17" t="s">
        <v>57</v>
      </c>
      <c r="E17">
        <v>4</v>
      </c>
      <c r="F17">
        <v>5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20</v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100</v>
      </c>
      <c r="N27" s="15">
        <v>534</v>
      </c>
      <c r="O27" s="39" t="s">
        <v>101</v>
      </c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102</v>
      </c>
      <c r="N28" s="15">
        <v>13427</v>
      </c>
      <c r="O28" s="39" t="s">
        <v>101</v>
      </c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49</v>
      </c>
      <c r="N29" s="15">
        <v>80</v>
      </c>
      <c r="O29" s="39" t="s">
        <v>103</v>
      </c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111</v>
      </c>
      <c r="N30" s="15">
        <v>1760</v>
      </c>
      <c r="O30" s="39" t="s">
        <v>105</v>
      </c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104</v>
      </c>
      <c r="N31" s="15">
        <v>1130</v>
      </c>
      <c r="O31" s="39" t="s">
        <v>105</v>
      </c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106</v>
      </c>
      <c r="N32" s="15">
        <v>5385</v>
      </c>
      <c r="O32" s="39" t="s">
        <v>105</v>
      </c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 t="s">
        <v>107</v>
      </c>
      <c r="N33" s="15">
        <v>1500</v>
      </c>
      <c r="O33" s="39" t="s">
        <v>105</v>
      </c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 t="s">
        <v>108</v>
      </c>
      <c r="N34" s="15">
        <v>23816</v>
      </c>
      <c r="O34" s="39" t="s">
        <v>109</v>
      </c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26" sqref="D2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34" t="s">
        <v>121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SUM(Tabla114[Importa])</f>
        <v>2272.5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22</v>
      </c>
      <c r="M4" s="36" t="s">
        <v>139</v>
      </c>
      <c r="N4" s="36"/>
      <c r="O4" s="36"/>
      <c r="P4" s="36"/>
      <c r="Q4" s="36"/>
      <c r="R4" s="36"/>
    </row>
    <row r="5" spans="2:18" x14ac:dyDescent="0.25">
      <c r="B5" s="18">
        <f ca="1">IF(Tabla114[[#This Row],['#]]&lt;&gt;"", NOW(), "")</f>
        <v>45969.787371643521</v>
      </c>
      <c r="C5">
        <f t="shared" ref="C5:C68" si="0">IF(ISNUMBER(E5), IF(ISNUMBER(C4), C4+1, 1), "")</f>
        <v>1</v>
      </c>
      <c r="D5" t="s">
        <v>122</v>
      </c>
      <c r="E5">
        <v>1</v>
      </c>
      <c r="F5">
        <v>27</v>
      </c>
      <c r="G5" t="s">
        <v>36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24.5</v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45969.787371643521</v>
      </c>
      <c r="C6">
        <f t="shared" si="0"/>
        <v>2</v>
      </c>
      <c r="D6" t="s">
        <v>41</v>
      </c>
      <c r="E6">
        <v>1</v>
      </c>
      <c r="F6">
        <v>142</v>
      </c>
      <c r="G6" t="s">
        <v>36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135</v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45969.787371643521</v>
      </c>
      <c r="C7">
        <f t="shared" si="0"/>
        <v>3</v>
      </c>
      <c r="D7" t="s">
        <v>123</v>
      </c>
      <c r="E7">
        <v>1</v>
      </c>
      <c r="F7">
        <v>48</v>
      </c>
      <c r="G7" t="s">
        <v>36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43.5</v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45969.787371643521</v>
      </c>
      <c r="C8">
        <f t="shared" si="0"/>
        <v>4</v>
      </c>
      <c r="D8" t="s">
        <v>51</v>
      </c>
      <c r="E8">
        <v>2</v>
      </c>
      <c r="F8">
        <v>57</v>
      </c>
      <c r="G8" t="s">
        <v>36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103</v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45969.787371643521</v>
      </c>
      <c r="C9">
        <f t="shared" si="0"/>
        <v>5</v>
      </c>
      <c r="D9" t="s">
        <v>48</v>
      </c>
      <c r="E9">
        <v>2</v>
      </c>
      <c r="F9">
        <v>57</v>
      </c>
      <c r="G9" t="s">
        <v>36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103</v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45969.787371643521</v>
      </c>
      <c r="C10">
        <f t="shared" si="0"/>
        <v>6</v>
      </c>
      <c r="D10" t="s">
        <v>124</v>
      </c>
      <c r="E10">
        <v>5</v>
      </c>
      <c r="F10">
        <v>15</v>
      </c>
      <c r="G10" t="s">
        <v>36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67.5</v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45969.787371643521</v>
      </c>
      <c r="C11">
        <f t="shared" si="0"/>
        <v>7</v>
      </c>
      <c r="D11" t="s">
        <v>125</v>
      </c>
      <c r="E11">
        <v>1</v>
      </c>
      <c r="F11">
        <v>50</v>
      </c>
      <c r="G11" t="s">
        <v>36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45</v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45969.787371643521</v>
      </c>
      <c r="C12">
        <f t="shared" si="0"/>
        <v>8</v>
      </c>
      <c r="D12" t="s">
        <v>73</v>
      </c>
      <c r="E12">
        <v>1</v>
      </c>
      <c r="F12">
        <v>71</v>
      </c>
      <c r="G12" t="s">
        <v>36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64</v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45969.787371643521</v>
      </c>
      <c r="C13">
        <f t="shared" si="0"/>
        <v>9</v>
      </c>
      <c r="D13" t="s">
        <v>127</v>
      </c>
      <c r="E13">
        <v>1</v>
      </c>
      <c r="F13">
        <v>75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75</v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45969.787371643521</v>
      </c>
      <c r="C14">
        <f t="shared" si="0"/>
        <v>10</v>
      </c>
      <c r="D14" t="s">
        <v>128</v>
      </c>
      <c r="E14">
        <v>1</v>
      </c>
      <c r="F14">
        <v>150</v>
      </c>
      <c r="G14" t="s">
        <v>36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135</v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45969.787371643521</v>
      </c>
      <c r="C15">
        <f t="shared" si="0"/>
        <v>11</v>
      </c>
      <c r="D15" t="s">
        <v>129</v>
      </c>
      <c r="E15">
        <v>2</v>
      </c>
      <c r="F15">
        <v>40</v>
      </c>
      <c r="G15" t="s">
        <v>36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72</v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45969.787371643521</v>
      </c>
      <c r="C16">
        <f t="shared" si="0"/>
        <v>12</v>
      </c>
      <c r="D16" t="s">
        <v>130</v>
      </c>
      <c r="E16">
        <v>1</v>
      </c>
      <c r="F16">
        <v>45</v>
      </c>
      <c r="G16" t="s">
        <v>36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40.5</v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>
        <f t="shared" si="0"/>
        <v>13</v>
      </c>
      <c r="D17" t="s">
        <v>127</v>
      </c>
      <c r="E17">
        <v>1</v>
      </c>
      <c r="F17">
        <v>75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75</v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>
        <f t="shared" si="0"/>
        <v>14</v>
      </c>
      <c r="D18" t="s">
        <v>131</v>
      </c>
      <c r="E18">
        <v>1</v>
      </c>
      <c r="F18">
        <v>88</v>
      </c>
      <c r="G18" t="s">
        <v>36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79.5</v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>
        <f t="shared" si="0"/>
        <v>15</v>
      </c>
      <c r="D19" t="s">
        <v>132</v>
      </c>
      <c r="E19">
        <v>1</v>
      </c>
      <c r="F19">
        <v>90</v>
      </c>
      <c r="G19" t="s">
        <v>36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81</v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133</v>
      </c>
      <c r="E20">
        <v>1</v>
      </c>
      <c r="F20">
        <v>25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25</v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41</v>
      </c>
      <c r="E21">
        <v>1</v>
      </c>
      <c r="F21">
        <v>142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142</v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134</v>
      </c>
      <c r="E22">
        <v>1</v>
      </c>
      <c r="F22">
        <v>150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150</v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135</v>
      </c>
      <c r="E23">
        <v>2</v>
      </c>
      <c r="F23">
        <v>57</v>
      </c>
      <c r="G23" t="s">
        <v>36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103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136</v>
      </c>
      <c r="E24">
        <v>1</v>
      </c>
      <c r="F24">
        <v>99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99</v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137</v>
      </c>
      <c r="E25">
        <v>1</v>
      </c>
      <c r="F25">
        <v>360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360</v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138</v>
      </c>
      <c r="E26">
        <v>1</v>
      </c>
      <c r="F26">
        <v>250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250</v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 t="s">
        <v>126</v>
      </c>
      <c r="N27" s="15">
        <v>2827</v>
      </c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34" t="s">
        <v>14</v>
      </c>
      <c r="D2" s="34"/>
      <c r="E2" s="35"/>
      <c r="F2" s="35"/>
      <c r="G2" s="35"/>
      <c r="H2" s="35"/>
      <c r="L2" s="8"/>
      <c r="M2" s="34" t="s">
        <v>5</v>
      </c>
      <c r="N2" s="35"/>
      <c r="O2" s="35"/>
      <c r="P2" s="35"/>
      <c r="Q2" s="35"/>
      <c r="R2" s="35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37" t="s">
        <v>6</v>
      </c>
      <c r="N3" s="37"/>
      <c r="O3" s="37"/>
      <c r="P3" s="37"/>
      <c r="Q3" s="37"/>
      <c r="R3" s="37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36"/>
      <c r="N4" s="36"/>
      <c r="O4" s="36"/>
      <c r="P4" s="36"/>
      <c r="Q4" s="36"/>
      <c r="R4" s="36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38" t="s">
        <v>11</v>
      </c>
      <c r="K5" s="38"/>
      <c r="M5" s="36"/>
      <c r="N5" s="36"/>
      <c r="O5" s="36"/>
      <c r="P5" s="36"/>
      <c r="Q5" s="36"/>
      <c r="R5" s="36"/>
    </row>
    <row r="6" spans="2:18" ht="15" customHeight="1" x14ac:dyDescent="0.25">
      <c r="B6" s="18">
        <f ca="1">IF(Tabla1[[#This Row],['#]]&lt;&gt;"", NOW(), "")</f>
        <v>45969.787371643521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38"/>
      <c r="K6" s="38"/>
      <c r="M6" s="36"/>
      <c r="N6" s="36"/>
      <c r="O6" s="36"/>
      <c r="P6" s="36"/>
      <c r="Q6" s="36"/>
      <c r="R6" s="36"/>
    </row>
    <row r="7" spans="2:18" x14ac:dyDescent="0.25">
      <c r="B7" s="18">
        <f ca="1">IF(Tabla1[[#This Row],['#]]&lt;&gt;"", NOW(), "")</f>
        <v>45969.787371643521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38"/>
      <c r="K7" s="38"/>
      <c r="M7" s="36"/>
      <c r="N7" s="36"/>
      <c r="O7" s="36"/>
      <c r="P7" s="36"/>
      <c r="Q7" s="36"/>
      <c r="R7" s="36"/>
    </row>
    <row r="8" spans="2:18" x14ac:dyDescent="0.25">
      <c r="B8" s="18">
        <f ca="1">IF(Tabla1[[#This Row],['#]]&lt;&gt;"", NOW(), "")</f>
        <v>45969.787371643521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38"/>
      <c r="K8" s="38"/>
      <c r="M8" s="36"/>
      <c r="N8" s="36"/>
      <c r="O8" s="36"/>
      <c r="P8" s="36"/>
      <c r="Q8" s="36"/>
      <c r="R8" s="36"/>
    </row>
    <row r="9" spans="2:18" x14ac:dyDescent="0.25">
      <c r="B9" s="18">
        <f ca="1">IF(Tabla1[[#This Row],['#]]&lt;&gt;"", NOW(), "")</f>
        <v>45969.787371643521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38"/>
      <c r="K9" s="38"/>
      <c r="M9" s="36"/>
      <c r="N9" s="36"/>
      <c r="O9" s="36"/>
      <c r="P9" s="36"/>
      <c r="Q9" s="36"/>
      <c r="R9" s="36"/>
    </row>
    <row r="10" spans="2:18" x14ac:dyDescent="0.25">
      <c r="B10" s="18">
        <f ca="1">IF(Tabla1[[#This Row],['#]]&lt;&gt;"", NOW(), "")</f>
        <v>45969.787371643521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38"/>
      <c r="K10" s="38"/>
      <c r="M10" s="36"/>
      <c r="N10" s="36"/>
      <c r="O10" s="36"/>
      <c r="P10" s="36"/>
      <c r="Q10" s="36"/>
      <c r="R10" s="36"/>
    </row>
    <row r="11" spans="2:18" x14ac:dyDescent="0.25">
      <c r="B11" s="18">
        <f ca="1">IF(Tabla1[[#This Row],['#]]&lt;&gt;"", NOW(), "")</f>
        <v>45969.787371643521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38"/>
      <c r="K11" s="38"/>
      <c r="M11" s="36"/>
      <c r="N11" s="36"/>
      <c r="O11" s="36"/>
      <c r="P11" s="36"/>
      <c r="Q11" s="36"/>
      <c r="R11" s="36"/>
    </row>
    <row r="12" spans="2:18" x14ac:dyDescent="0.25">
      <c r="B12" s="18">
        <f ca="1">IF(Tabla1[[#This Row],['#]]&lt;&gt;"", NOW(), "")</f>
        <v>45969.787371643521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38"/>
      <c r="K12" s="38"/>
      <c r="M12" s="36"/>
      <c r="N12" s="36"/>
      <c r="O12" s="36"/>
      <c r="P12" s="36"/>
      <c r="Q12" s="36"/>
      <c r="R12" s="36"/>
    </row>
    <row r="13" spans="2:18" x14ac:dyDescent="0.25">
      <c r="B13" s="18">
        <f ca="1">IF(Tabla1[[#This Row],['#]]&lt;&gt;"", NOW(), "")</f>
        <v>45969.787371643521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38"/>
      <c r="K13" s="38"/>
      <c r="M13" s="36"/>
      <c r="N13" s="36"/>
      <c r="O13" s="36"/>
      <c r="P13" s="36"/>
      <c r="Q13" s="36"/>
      <c r="R13" s="36"/>
    </row>
    <row r="14" spans="2:18" x14ac:dyDescent="0.25">
      <c r="B14" s="18">
        <f ca="1">IF(Tabla1[[#This Row],['#]]&lt;&gt;"", NOW(), "")</f>
        <v>45969.787371643521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38"/>
      <c r="K14" s="38"/>
      <c r="M14" s="36"/>
      <c r="N14" s="36"/>
      <c r="O14" s="36"/>
      <c r="P14" s="36"/>
      <c r="Q14" s="36"/>
      <c r="R14" s="36"/>
    </row>
    <row r="15" spans="2:18" x14ac:dyDescent="0.25">
      <c r="B15" s="18">
        <f ca="1">IF(Tabla1[[#This Row],['#]]&lt;&gt;"", NOW(), "")</f>
        <v>45969.787371643521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36"/>
      <c r="N15" s="36"/>
      <c r="O15" s="36"/>
      <c r="P15" s="36"/>
      <c r="Q15" s="36"/>
      <c r="R15" s="36"/>
    </row>
    <row r="16" spans="2:18" x14ac:dyDescent="0.25">
      <c r="B16" s="18">
        <f ca="1">IF(Tabla1[[#This Row],['#]]&lt;&gt;"", NOW(), "")</f>
        <v>45969.787371643521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36"/>
      <c r="N16" s="36"/>
      <c r="O16" s="36"/>
      <c r="P16" s="36"/>
      <c r="Q16" s="36"/>
      <c r="R16" s="36"/>
    </row>
    <row r="17" spans="2:18" x14ac:dyDescent="0.25">
      <c r="B17" s="18" t="str">
        <f ca="1">IF(Tabla1[[#This Row],['#]]&lt;&gt;"", NOW(), "")</f>
        <v/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36"/>
      <c r="N17" s="36"/>
      <c r="O17" s="36"/>
      <c r="P17" s="36"/>
      <c r="Q17" s="36"/>
      <c r="R17" s="36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36"/>
      <c r="N18" s="36"/>
      <c r="O18" s="36"/>
      <c r="P18" s="36"/>
      <c r="Q18" s="36"/>
      <c r="R18" s="36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36"/>
      <c r="N19" s="36"/>
      <c r="O19" s="36"/>
      <c r="P19" s="36"/>
      <c r="Q19" s="36"/>
      <c r="R19" s="36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36"/>
      <c r="N20" s="36"/>
      <c r="O20" s="36"/>
      <c r="P20" s="36"/>
      <c r="Q20" s="36"/>
      <c r="R20" s="36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36"/>
      <c r="N21" s="36"/>
      <c r="O21" s="36"/>
      <c r="P21" s="36"/>
      <c r="Q21" s="36"/>
      <c r="R21" s="36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36"/>
      <c r="N22" s="36"/>
      <c r="O22" s="36"/>
      <c r="P22" s="36"/>
      <c r="Q22" s="36"/>
      <c r="R22" s="36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32" t="s">
        <v>19</v>
      </c>
      <c r="N24" s="42"/>
      <c r="O24" s="42"/>
      <c r="P24" s="42"/>
      <c r="Q24" s="42"/>
      <c r="R24" s="42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37"/>
      <c r="N25" s="37"/>
      <c r="O25" s="37"/>
      <c r="P25" s="37"/>
      <c r="Q25" s="37"/>
      <c r="R25" s="37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1" t="s">
        <v>22</v>
      </c>
      <c r="P26" s="31"/>
      <c r="Q26" s="31"/>
      <c r="R26" s="31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39"/>
      <c r="P27" s="40"/>
      <c r="Q27" s="40"/>
      <c r="R27" s="41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39"/>
      <c r="P28" s="40"/>
      <c r="Q28" s="40"/>
      <c r="R28" s="41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39"/>
      <c r="P29" s="40"/>
      <c r="Q29" s="40"/>
      <c r="R29" s="41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39"/>
      <c r="P30" s="40"/>
      <c r="Q30" s="40"/>
      <c r="R30" s="41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39"/>
      <c r="P31" s="40"/>
      <c r="Q31" s="40"/>
      <c r="R31" s="41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39"/>
      <c r="P32" s="40"/>
      <c r="Q32" s="40"/>
      <c r="R32" s="41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39"/>
      <c r="P33" s="40"/>
      <c r="Q33" s="40"/>
      <c r="R33" s="41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39"/>
      <c r="P34" s="40"/>
      <c r="Q34" s="40"/>
      <c r="R34" s="41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39"/>
      <c r="P35" s="40"/>
      <c r="Q35" s="40"/>
      <c r="R35" s="41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39"/>
      <c r="P36" s="40"/>
      <c r="Q36" s="40"/>
      <c r="R36" s="41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39"/>
      <c r="P37" s="40"/>
      <c r="Q37" s="40"/>
      <c r="R37" s="41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39"/>
      <c r="P38" s="40"/>
      <c r="Q38" s="40"/>
      <c r="R38" s="41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39"/>
      <c r="P39" s="40"/>
      <c r="Q39" s="40"/>
      <c r="R39" s="41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39"/>
      <c r="P40" s="40"/>
      <c r="Q40" s="40"/>
      <c r="R40" s="41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39"/>
      <c r="P41" s="40"/>
      <c r="Q41" s="40"/>
      <c r="R41" s="41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39"/>
      <c r="P42" s="40"/>
      <c r="Q42" s="40"/>
      <c r="R42" s="41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39"/>
      <c r="P43" s="40"/>
      <c r="Q43" s="40"/>
      <c r="R43" s="41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39"/>
      <c r="P44" s="40"/>
      <c r="Q44" s="40"/>
      <c r="R44" s="41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C2:H2"/>
    <mergeCell ref="M2:R2"/>
    <mergeCell ref="M3:R3"/>
    <mergeCell ref="M4:R22"/>
    <mergeCell ref="J5:K14"/>
    <mergeCell ref="M24:R24"/>
    <mergeCell ref="M25:R25"/>
    <mergeCell ref="O26:R26"/>
    <mergeCell ref="O27:R27"/>
    <mergeCell ref="O28:R28"/>
    <mergeCell ref="O29:R29"/>
    <mergeCell ref="O30:R30"/>
    <mergeCell ref="O31:R31"/>
    <mergeCell ref="O32:R32"/>
    <mergeCell ref="O33:R33"/>
    <mergeCell ref="O34:R34"/>
    <mergeCell ref="O35:R35"/>
    <mergeCell ref="O36:R36"/>
    <mergeCell ref="O37:R37"/>
    <mergeCell ref="O38:R38"/>
    <mergeCell ref="O44:R44"/>
    <mergeCell ref="O39:R39"/>
    <mergeCell ref="O40:R40"/>
    <mergeCell ref="O41:R41"/>
    <mergeCell ref="O42:R42"/>
    <mergeCell ref="O43:R43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03-11-25</vt:lpstr>
      <vt:lpstr>Martes 04-11-25</vt:lpstr>
      <vt:lpstr>Miercoles 05-11-25</vt:lpstr>
      <vt:lpstr>Jueves 06-11-25</vt:lpstr>
      <vt:lpstr>viernes 07-11-25</vt:lpstr>
      <vt:lpstr>Sabado 08-11-25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2025-11-09T00:55:00Z</dcterms:modified>
</cp:coreProperties>
</file>