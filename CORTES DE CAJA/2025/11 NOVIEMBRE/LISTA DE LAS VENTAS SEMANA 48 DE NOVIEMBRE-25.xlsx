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2CF122EB-25F3-4BEF-89E1-8290F9386AFB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4-11-25" sheetId="1" r:id="rId1"/>
    <sheet name="Martes 25-11-25" sheetId="2" r:id="rId2"/>
    <sheet name="Miercoles" sheetId="3" r:id="rId3"/>
    <sheet name="Jueves 27-11-25" sheetId="4" r:id="rId4"/>
    <sheet name="Viernes 28-11-25" sheetId="5" r:id="rId5"/>
    <sheet name="Sabado 29-11-25" sheetId="6" r:id="rId6"/>
    <sheet name="Domingo" sheetId="8" r:id="rId7"/>
    <sheet name="Cambios" sheetId="7" r:id="rId8"/>
  </sheets>
  <definedNames>
    <definedName name="_xlnm._FilterDatabase" localSheetId="0" hidden="1">'Lunes 24-11-25'!$B$4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6" l="1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<sst xmlns="http://schemas.openxmlformats.org/spreadsheetml/2006/main" count="332" uniqueCount="149">
  <si>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</si>
  <si>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</si>
  <si>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</si>
  <si>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</si>
  <si>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</si>
  <si>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</si>
  <si>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</si>
  <si>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</si>
  <si>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</si>
  <si>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</si>
  <si>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</si>
  <si>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</si>
  <si>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</si>
  <si>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</si>
  <si>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</si>
  <si>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</si>
  <si>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</si>
  <si>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</si>
  <si>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</si>
  <si>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</si>
  <si>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</si>
  <si>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</si>
  <si>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</si>
  <si>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</si>
  <si>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</si>
  <si>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24 DE NOVIEMBRE-25</t>
  </si>
  <si>
    <t>ACEITE YAMALUBE</t>
  </si>
  <si>
    <t>X</t>
  </si>
  <si>
    <t>PASTAS DE MOTOCARRO</t>
  </si>
  <si>
    <t>CAMAEA 3.00.18</t>
  </si>
  <si>
    <t>LETRAS PEDIDO</t>
  </si>
  <si>
    <t>ACEITE AKRON</t>
  </si>
  <si>
    <t>BALATA DE DISCO DM250</t>
  </si>
  <si>
    <t>TORNILLOS M5</t>
  </si>
  <si>
    <t>DIRECCIONALES UNIVERSALES</t>
  </si>
  <si>
    <t>BUJIAS C7</t>
  </si>
  <si>
    <t>FOCO LED DE STOP</t>
  </si>
  <si>
    <t>BALATA DE DISCO ATV</t>
  </si>
  <si>
    <t>JUNTA DEL ESCAPE DS150</t>
  </si>
  <si>
    <t>FILTRO DE AIRE D150</t>
  </si>
  <si>
    <t>STIKER</t>
  </si>
  <si>
    <t>SEGURO DE PIÑON</t>
  </si>
  <si>
    <t>PEDIDO OSCAR</t>
  </si>
  <si>
    <t>ACOMPLETAR PEDIDO  MERCADO</t>
  </si>
  <si>
    <t>ESPEJOS DE 170Z</t>
  </si>
  <si>
    <t>BUJIA C9</t>
  </si>
  <si>
    <t>FOCO LED H4</t>
  </si>
  <si>
    <t xml:space="preserve">CUENTA DE LA SEMANA PASADA $ 18478 MENOS $ 100 PESOS PARA ACOMPLETAR LA NOTA 5 DE COSAS DE MERCADO QUEDA $18378 MENOS PEDIDO DE OSCAR QUEDA$ 16078 </t>
  </si>
  <si>
    <t>Martes 25 DE NOVIEMBRE-25</t>
  </si>
  <si>
    <t>BIRLOS DE MASA DE FT150</t>
  </si>
  <si>
    <t>BUJES DE RUEDA FT150</t>
  </si>
  <si>
    <t>ESPEJOS COFEE RANCING</t>
  </si>
  <si>
    <t>BALERO 6302</t>
  </si>
  <si>
    <t>CLUTH DE 250Z</t>
  </si>
  <si>
    <t>BALATA DE 125 Z</t>
  </si>
  <si>
    <t>BALATA DE DS150 NASAKI</t>
  </si>
  <si>
    <t>FILTRO DE ACEI YR15</t>
  </si>
  <si>
    <t>ACEITE MOTUL 7100 20W-50</t>
  </si>
  <si>
    <t>CAMARA 130-90-10</t>
  </si>
  <si>
    <t xml:space="preserve">BALATA DE DICO PULKSAR </t>
  </si>
  <si>
    <t>BALATA DE YAMAHA DISCO</t>
  </si>
  <si>
    <t>BALAYA DE FZ16 DISCO</t>
  </si>
  <si>
    <t>RRETEN SUSPENSIÓN 37-50-11</t>
  </si>
  <si>
    <t>GOMAS DEL TANQUE</t>
  </si>
  <si>
    <t>PILA 12N7 BS QLINK</t>
  </si>
  <si>
    <t>FUSIBLE</t>
  </si>
  <si>
    <t>SALPICADERA WS150</t>
  </si>
  <si>
    <t>CHICOTE DE VELOCIMETRO WS150</t>
  </si>
  <si>
    <t>BIJIA C9</t>
  </si>
  <si>
    <t>FILTRO DE AIRE DM200</t>
  </si>
  <si>
    <t>REGULADOR DE DS150</t>
  </si>
  <si>
    <t>CHICOTE DE ACELRADOR DM200</t>
  </si>
  <si>
    <t>COSA QUE LLEVO DANIEL</t>
  </si>
  <si>
    <t xml:space="preserve">CUENTA DE CAJA DE LA SEMANA PASADA $ 16078 MENOS $ 580 QUEDA $ 15498 </t>
  </si>
  <si>
    <t>Miercoles 26 DE NOVIEMBRE-25</t>
  </si>
  <si>
    <t>ESPEJOS COFE RANCING</t>
  </si>
  <si>
    <t>BALERO 6004</t>
  </si>
  <si>
    <t>GOMA DEL CALIPER</t>
  </si>
  <si>
    <t>BALATA DE VENTO RETILIU</t>
  </si>
  <si>
    <t>CAMARA 3.00.18</t>
  </si>
  <si>
    <t>BUJIA C7</t>
  </si>
  <si>
    <t xml:space="preserve">ALARMA </t>
  </si>
  <si>
    <t>CINTA DE ASPESTO</t>
  </si>
  <si>
    <t xml:space="preserve">RESORTE DE LA PATA </t>
  </si>
  <si>
    <t>TAPON DE IMPECCION FT150</t>
  </si>
  <si>
    <t>CDI DE EX 200 YOG</t>
  </si>
  <si>
    <t>FILTRO DE AIRE XR150</t>
  </si>
  <si>
    <t>CAMARA 2.75.17</t>
  </si>
  <si>
    <t>BUJIA D8</t>
  </si>
  <si>
    <t>ROLLO</t>
  </si>
  <si>
    <t xml:space="preserve">BALATA DE DISOC HONA </t>
  </si>
  <si>
    <t>BALATA DE TAMBOR 75</t>
  </si>
  <si>
    <t>DEPOSITO DE LIQUIDO UNIVERSAL</t>
  </si>
  <si>
    <t>Jueves 27 DE NOVIEMBRE-25</t>
  </si>
  <si>
    <t xml:space="preserve">CADEN A 428 ITALIKA </t>
  </si>
  <si>
    <t>CHICOTE DE CLUTH DM200</t>
  </si>
  <si>
    <t>PEDAL DE ARRNAQUE FT150</t>
  </si>
  <si>
    <t>MAGUERA DE FRENO ATV 150</t>
  </si>
  <si>
    <t>JUNTA DEL ESTATOR FT150</t>
  </si>
  <si>
    <t>CHICOTE DE CGL DE FRENO DELANTERO</t>
  </si>
  <si>
    <t>PILA YTX12N7</t>
  </si>
  <si>
    <t>ACEITE LUBER</t>
  </si>
  <si>
    <t>PORTA SPROKET DE 150Z</t>
  </si>
  <si>
    <t>POSAPIES TRASEROS 125Z IZQUIRDO DERECHO</t>
  </si>
  <si>
    <t>Viernes 28 DE NOVIEMBRE-25</t>
  </si>
  <si>
    <t>PEDIDO</t>
  </si>
  <si>
    <t>LUNES 24 DE NOVIEMBRE-25</t>
  </si>
  <si>
    <t>P.OSCAR</t>
  </si>
  <si>
    <t>CO.DANI</t>
  </si>
  <si>
    <t>MARTES 25 DE NOVIEMBRE-25</t>
  </si>
  <si>
    <t>MIERCOLES 26 DE NOVIEMBRE-25</t>
  </si>
  <si>
    <t>P.NASAKI</t>
  </si>
  <si>
    <t>VIERNES 28 DE NOVIEMBRE-25</t>
  </si>
  <si>
    <t>PAGOYAS</t>
  </si>
  <si>
    <t>TOTAL</t>
  </si>
  <si>
    <t>TOTAL DE EGRESOS</t>
  </si>
  <si>
    <t>CUENTA DE AYER $ 15498 MENOS 71 DE ROLLO Y FABULOSO QUEDA $ 15427</t>
  </si>
  <si>
    <t>CUBRE PUÑOS AMARILLO1</t>
  </si>
  <si>
    <t xml:space="preserve">VINIERON A RECOGUER LA LLNATA </t>
  </si>
  <si>
    <t xml:space="preserve">TIRAS LED </t>
  </si>
  <si>
    <t>LLANTA 3.00.18 GAJO</t>
  </si>
  <si>
    <t>FILTRO DE AIRE 200Z</t>
  </si>
  <si>
    <t xml:space="preserve">MARCHA PARA MOTONETA </t>
  </si>
  <si>
    <t>KID DE CILINDRO FT150</t>
  </si>
  <si>
    <t>GOMA DE CALIPER</t>
  </si>
  <si>
    <t>SEGURO DE PIÑON CONTORNILO</t>
  </si>
  <si>
    <t>CADENA 520 ITALIKA</t>
  </si>
  <si>
    <t>SELLOS DE ESCAPE FT150</t>
  </si>
  <si>
    <r>
      <rPr>
        <b/>
        <sz val="14"/>
        <color theme="1"/>
        <rFont val="Calibri"/>
        <family val="2"/>
        <scheme val="minor"/>
      </rPr>
      <t>CORTES DE LA SEMANA      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24 DE NOVIEMBRE-25                  $18478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$ 1882.5                  MENOS$12207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25 DE NOVIEMBRE-25             $ 6271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$ 4223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26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$ 1934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27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$ 1546.5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28 DE NOVIEMBRE-25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$ 3021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TOTAL$ 12607
TOTAL DE EGRESOS $ 18878</t>
    </r>
  </si>
  <si>
    <t>Sabado 29 DE NOVIEMBRE-25</t>
  </si>
  <si>
    <t>KID DE PISTON DE PULSAR</t>
  </si>
  <si>
    <t>BIRLOS DE FT125</t>
  </si>
  <si>
    <t>PUÑOS VERDES</t>
  </si>
  <si>
    <t>JUNTAS DE MOTOR FT125</t>
  </si>
  <si>
    <t>CANADA 428</t>
  </si>
  <si>
    <t>PILA QLINK 6.5</t>
  </si>
  <si>
    <t>REGULADOR DE DS150 ITALIKA</t>
  </si>
  <si>
    <t>LUBRICANTE DE CADENA AXPRO</t>
  </si>
  <si>
    <t>CONTREAPESO AZUL</t>
  </si>
  <si>
    <t xml:space="preserve">CADENA 428 REFORZADA CON ORING </t>
  </si>
  <si>
    <t>FILTRO DE AIRE WS175</t>
  </si>
  <si>
    <t>BANDA POWER LINK 835-20-30</t>
  </si>
  <si>
    <t xml:space="preserve">VALVULA PARA LLANTA </t>
  </si>
  <si>
    <t>CHICOTE DE ACELERADOR WS150</t>
  </si>
  <si>
    <t>CAMARA 110-90-17</t>
  </si>
  <si>
    <t>FILTRO DERC200</t>
  </si>
  <si>
    <t>CDIFT150 ITALIKA</t>
  </si>
  <si>
    <t>CONTRAPESO AZUL</t>
  </si>
  <si>
    <t>CUENTA DE HOY SABADO $ 3106.5 MENOS $ 300 DE PAGO DE YAS QUEDA $ 2806.5 MAS LO DE AYER TOTAL $ 18878
TOTAL EN CAJA $ 21684.5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</si>
</sst>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1882.5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19</v>
      </c>
      <c r="M4" s="36" t="s">
        <v>47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45992.660406597221</v>
      </c>
      <c r="C5">
        <f>IF(ISNUMBER(E5), IF(ISNUMBER(C4), C4+1, 1), "")</f>
        <v>1</v>
      </c>
      <c r="D5" t="s">
        <v>26</v>
      </c>
      <c r="E5">
        <v>1</v>
      </c>
      <c r="F5">
        <v>150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142.5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180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162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 t="shared" si="0"/>
        <v>3</v>
      </c>
      <c r="D7" t="s">
        <v>29</v>
      </c>
      <c r="E7">
        <v>2</v>
      </c>
      <c r="F7">
        <v>65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130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si="0"/>
        <v>4</v>
      </c>
      <c r="D8" t="s">
        <v>30</v>
      </c>
      <c r="E8">
        <v>1</v>
      </c>
      <c r="F8">
        <v>300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300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31</v>
      </c>
      <c r="E9">
        <v>1</v>
      </c>
      <c r="F9">
        <v>123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123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31</v>
      </c>
      <c r="E10">
        <v>1</v>
      </c>
      <c r="F10">
        <v>123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123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32</v>
      </c>
      <c r="E11">
        <v>1</v>
      </c>
      <c r="F11">
        <v>36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36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33</v>
      </c>
      <c r="E12">
        <v>2</v>
      </c>
      <c r="F12">
        <v>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34</v>
      </c>
      <c r="E13">
        <v>1</v>
      </c>
      <c r="F13">
        <v>175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157.5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35</v>
      </c>
      <c r="E14">
        <v>2</v>
      </c>
      <c r="F14">
        <v>57</v>
      </c>
      <c r="G14" t="s">
        <v>27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103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36</v>
      </c>
      <c r="E15">
        <v>1</v>
      </c>
      <c r="F15">
        <v>90</v>
      </c>
      <c r="G15" t="s">
        <v>27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81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>
        <f t="shared" si="0"/>
        <v>12</v>
      </c>
      <c r="D16" t="s">
        <v>37</v>
      </c>
      <c r="E16">
        <v>1</v>
      </c>
      <c r="F16">
        <v>42</v>
      </c>
      <c r="G16" t="s">
        <v>27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>
        <f t="shared" si="0"/>
        <v>13</v>
      </c>
      <c r="D17" t="s">
        <v>38</v>
      </c>
      <c r="E17">
        <v>1</v>
      </c>
      <c r="F17">
        <v>10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>
        <f t="shared" si="0"/>
        <v>14</v>
      </c>
      <c r="D18" t="s">
        <v>39</v>
      </c>
      <c r="E18">
        <v>1</v>
      </c>
      <c r="F18">
        <v>60</v>
      </c>
      <c r="G18" t="s">
        <v>27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54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>
        <f t="shared" si="0"/>
        <v>15</v>
      </c>
      <c r="D19" t="s">
        <v>40</v>
      </c>
      <c r="E19">
        <v>6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>
        <f t="shared" si="0"/>
        <v>16</v>
      </c>
      <c r="D20" t="s">
        <v>41</v>
      </c>
      <c r="E20">
        <v>2</v>
      </c>
      <c r="F20">
        <v>15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30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>
        <f t="shared" si="0"/>
        <v>17</v>
      </c>
      <c r="D21" t="s">
        <v>44</v>
      </c>
      <c r="E21">
        <v>1</v>
      </c>
      <c r="F21">
        <v>166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166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>
        <f t="shared" si="0"/>
        <v>18</v>
      </c>
      <c r="D22" t="s">
        <v>45</v>
      </c>
      <c r="E22">
        <v>1</v>
      </c>
      <c r="F22">
        <v>57</v>
      </c>
      <c r="G22" t="s">
        <v>27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51.5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>
        <f t="shared" si="0"/>
        <v>19</v>
      </c>
      <c r="D23" t="s">
        <v>46</v>
      </c>
      <c r="E23">
        <v>1</v>
      </c>
      <c r="F23">
        <v>135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135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43</v>
      </c>
      <c r="N27" s="20"/>
      <c r="O27" s="23">
        <v>100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42</v>
      </c>
      <c r="N29" s="20"/>
      <c r="O29" s="23">
        <v>2300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4223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29</v>
      </c>
      <c r="M4" s="36" t="s">
        <v>73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45992.660406597221</v>
      </c>
      <c r="C5">
        <f t="shared" ref="C5:C68" si="0">IF(ISNUMBER(E5), IF(ISNUMBER(C4), C4+1, 1), "")</f>
        <v>1</v>
      </c>
      <c r="D5" t="s">
        <v>64</v>
      </c>
      <c r="E5">
        <v>1</v>
      </c>
      <c r="F5">
        <v>690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 t="shared" si="0"/>
        <v>2</v>
      </c>
      <c r="D6" t="s">
        <v>49</v>
      </c>
      <c r="E6">
        <v>1</v>
      </c>
      <c r="F6">
        <v>25</v>
      </c>
      <c r="G6" t="s">
        <v>27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22.5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 t="shared" si="0"/>
        <v>3</v>
      </c>
      <c r="D7" t="s">
        <v>50</v>
      </c>
      <c r="E7">
        <v>1</v>
      </c>
      <c r="F7">
        <v>42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38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si="0"/>
        <v>4</v>
      </c>
      <c r="D8" t="s">
        <v>51</v>
      </c>
      <c r="E8">
        <v>1</v>
      </c>
      <c r="F8">
        <v>220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220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51</v>
      </c>
      <c r="E9">
        <v>1</v>
      </c>
      <c r="F9">
        <v>220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52</v>
      </c>
      <c r="E10">
        <v>1</v>
      </c>
      <c r="F10">
        <v>30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53</v>
      </c>
      <c r="E11">
        <v>1</v>
      </c>
      <c r="F11">
        <v>276</v>
      </c>
      <c r="G11" t="s">
        <v>27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248.5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54</v>
      </c>
      <c r="E12">
        <v>1</v>
      </c>
      <c r="F12">
        <v>48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43.5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55</v>
      </c>
      <c r="E13">
        <v>1</v>
      </c>
      <c r="F13">
        <v>36</v>
      </c>
      <c r="G13" t="s">
        <v>27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56</v>
      </c>
      <c r="E14">
        <v>1</v>
      </c>
      <c r="F14">
        <v>80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80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57</v>
      </c>
      <c r="E15">
        <v>1</v>
      </c>
      <c r="F15">
        <v>320</v>
      </c>
      <c r="G15" t="s">
        <v>27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304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>
        <f t="shared" si="0"/>
        <v>12</v>
      </c>
      <c r="D16" t="s">
        <v>58</v>
      </c>
      <c r="E16">
        <v>1</v>
      </c>
      <c r="F16">
        <v>110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110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>
        <f t="shared" si="0"/>
        <v>13</v>
      </c>
      <c r="D17" t="s">
        <v>59</v>
      </c>
      <c r="E17">
        <v>1</v>
      </c>
      <c r="F17">
        <v>36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36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>
        <f t="shared" si="0"/>
        <v>14</v>
      </c>
      <c r="D18" t="s">
        <v>60</v>
      </c>
      <c r="E18">
        <v>1</v>
      </c>
      <c r="F18">
        <v>150</v>
      </c>
      <c r="G18" t="s">
        <v>27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>
        <f t="shared" si="0"/>
        <v>15</v>
      </c>
      <c r="D19" t="s">
        <v>61</v>
      </c>
      <c r="E19">
        <v>1</v>
      </c>
      <c r="F19">
        <v>90</v>
      </c>
      <c r="G19" t="s">
        <v>27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81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>
        <f t="shared" si="0"/>
        <v>16</v>
      </c>
      <c r="D20" t="s">
        <v>62</v>
      </c>
      <c r="E20">
        <v>1</v>
      </c>
      <c r="F20">
        <v>40</v>
      </c>
      <c r="G20" t="s">
        <v>27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36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>
        <f t="shared" si="0"/>
        <v>17</v>
      </c>
      <c r="D21" t="s">
        <v>63</v>
      </c>
      <c r="E21">
        <v>2</v>
      </c>
      <c r="F21">
        <v>15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30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>
        <f t="shared" si="0"/>
        <v>18</v>
      </c>
      <c r="D22" t="s">
        <v>64</v>
      </c>
      <c r="E22">
        <v>1</v>
      </c>
      <c r="F22">
        <v>690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690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>
        <f t="shared" si="0"/>
        <v>19</v>
      </c>
      <c r="D23" t="s">
        <v>65</v>
      </c>
      <c r="E23">
        <v>1</v>
      </c>
      <c r="F23">
        <v>3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66</v>
      </c>
      <c r="E24">
        <v>1</v>
      </c>
      <c r="F24">
        <v>327</v>
      </c>
      <c r="G24" t="s">
        <v>27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294.5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67</v>
      </c>
      <c r="E25">
        <v>1</v>
      </c>
      <c r="F25">
        <v>40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40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38</v>
      </c>
      <c r="E26">
        <v>2</v>
      </c>
      <c r="F26">
        <v>10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20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60" x14ac:dyDescent="0.25">
      <c r="B27" s="18" t="str">
        <f ca="1">IF(Tabla1[[#This Row],['#]]&lt;&gt;"", NOW(), "")</f>
        <v/>
      </c>
      <c r="C27">
        <f t="shared" si="0"/>
        <v>23</v>
      </c>
      <c r="D27" t="s">
        <v>31</v>
      </c>
      <c r="E27">
        <v>1</v>
      </c>
      <c r="F27">
        <v>123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123</v>
      </c>
      <c r="M27" s="13" t="s">
        <v>72</v>
      </c>
      <c r="N27" s="15">
        <v>580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>
        <f t="shared" si="0"/>
        <v>24</v>
      </c>
      <c r="D28" t="s">
        <v>31</v>
      </c>
      <c r="E28">
        <v>1</v>
      </c>
      <c r="F28">
        <v>123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123</v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>
        <f t="shared" si="0"/>
        <v>25</v>
      </c>
      <c r="D29" t="s">
        <v>57</v>
      </c>
      <c r="E29">
        <v>1</v>
      </c>
      <c r="F29">
        <v>320</v>
      </c>
      <c r="G29" t="s">
        <v>27</v>
      </c>
      <c r="H29" s="5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>304</v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>
        <f t="shared" si="0"/>
        <v>26</v>
      </c>
      <c r="D30" t="s">
        <v>68</v>
      </c>
      <c r="E30">
        <v>1</v>
      </c>
      <c r="F30">
        <v>57</v>
      </c>
      <c r="G30" t="s">
        <v>27</v>
      </c>
      <c r="H30" s="5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>51.5</v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>
        <f t="shared" si="0"/>
        <v>27</v>
      </c>
      <c r="D31" t="s">
        <v>69</v>
      </c>
      <c r="E31">
        <v>1</v>
      </c>
      <c r="F31">
        <v>71</v>
      </c>
      <c r="G31" t="s">
        <v>27</v>
      </c>
      <c r="H31" s="5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>64</v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>
        <f t="shared" si="0"/>
        <v>28</v>
      </c>
      <c r="D32" t="s">
        <v>70</v>
      </c>
      <c r="E32">
        <v>1</v>
      </c>
      <c r="F32">
        <v>113</v>
      </c>
      <c r="G32" t="s">
        <v>27</v>
      </c>
      <c r="H32" s="5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>102</v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>
        <f t="shared" si="0"/>
        <v>29</v>
      </c>
      <c r="D33" t="s">
        <v>71</v>
      </c>
      <c r="E33">
        <v>1</v>
      </c>
      <c r="F33">
        <v>60</v>
      </c>
      <c r="G33" t="s">
        <v>27</v>
      </c>
      <c r="H33" s="5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>54</v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1934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36" t="s">
        <v>116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45992.660406597221</v>
      </c>
      <c r="C5">
        <f>IF(ISNUMBER(E5), IF(ISNUMBER(C4), C4+1, 1), "")</f>
        <v>1</v>
      </c>
      <c r="D5" t="s">
        <v>31</v>
      </c>
      <c r="E5">
        <v>1</v>
      </c>
      <c r="F5">
        <v>123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123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>IF(ISNUMBER(E6), IF(ISNUMBER(C5), C5+1, 1), "")</f>
        <v>2</v>
      </c>
      <c r="D6" t="s">
        <v>75</v>
      </c>
      <c r="E6">
        <v>1</v>
      </c>
      <c r="F6">
        <v>220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>IF(ISNUMBER(E7), IF(ISNUMBER(C6), C6+1, 1), "")</f>
        <v>3</v>
      </c>
      <c r="D7" t="s">
        <v>76</v>
      </c>
      <c r="E7">
        <v>1</v>
      </c>
      <c r="F7">
        <v>30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27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ref="C8:C68" si="0">IF(ISNUMBER(E8), IF(ISNUMBER(C7), C7+1, 1), "")</f>
        <v>4</v>
      </c>
      <c r="D8" t="s">
        <v>40</v>
      </c>
      <c r="E8">
        <v>2</v>
      </c>
      <c r="F8">
        <v>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41</v>
      </c>
      <c r="E9">
        <v>1</v>
      </c>
      <c r="F9">
        <v>15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77</v>
      </c>
      <c r="E10">
        <v>1</v>
      </c>
      <c r="F10">
        <v>20</v>
      </c>
      <c r="G10" t="s">
        <v>27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78</v>
      </c>
      <c r="E11">
        <v>1</v>
      </c>
      <c r="F11">
        <v>150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135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79</v>
      </c>
      <c r="E12">
        <v>1</v>
      </c>
      <c r="F12">
        <v>60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60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80</v>
      </c>
      <c r="E13">
        <v>1</v>
      </c>
      <c r="F13">
        <v>57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81</v>
      </c>
      <c r="E14">
        <v>1</v>
      </c>
      <c r="F14">
        <v>230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207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82</v>
      </c>
      <c r="E15">
        <v>1</v>
      </c>
      <c r="F15">
        <v>120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108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>
        <f t="shared" si="0"/>
        <v>12</v>
      </c>
      <c r="D16" t="s">
        <v>83</v>
      </c>
      <c r="E16">
        <v>1</v>
      </c>
      <c r="F16">
        <v>20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>
        <f t="shared" si="0"/>
        <v>13</v>
      </c>
      <c r="D17" t="s">
        <v>84</v>
      </c>
      <c r="E17">
        <v>1</v>
      </c>
      <c r="F17">
        <v>35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31.5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>
        <f t="shared" si="0"/>
        <v>14</v>
      </c>
      <c r="D18" t="s">
        <v>85</v>
      </c>
      <c r="E18">
        <v>1</v>
      </c>
      <c r="F18">
        <v>220</v>
      </c>
      <c r="G18" t="s">
        <v>27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198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>
        <f t="shared" si="0"/>
        <v>15</v>
      </c>
      <c r="D19" t="s">
        <v>26</v>
      </c>
      <c r="E19">
        <v>1</v>
      </c>
      <c r="F19">
        <v>150</v>
      </c>
      <c r="G19" t="s">
        <v>27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142.5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>
        <f t="shared" si="0"/>
        <v>16</v>
      </c>
      <c r="D20" t="s">
        <v>45</v>
      </c>
      <c r="E20">
        <v>1</v>
      </c>
      <c r="F20">
        <v>57</v>
      </c>
      <c r="G20" t="s">
        <v>27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51.5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>
        <f t="shared" si="0"/>
        <v>17</v>
      </c>
      <c r="D21" t="s">
        <v>86</v>
      </c>
      <c r="E21">
        <v>1</v>
      </c>
      <c r="F21">
        <v>88</v>
      </c>
      <c r="G21" t="s">
        <v>27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79.5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>
        <f t="shared" si="0"/>
        <v>18</v>
      </c>
      <c r="D22" t="s">
        <v>87</v>
      </c>
      <c r="E22">
        <v>1</v>
      </c>
      <c r="F22">
        <v>67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67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>
        <f t="shared" si="0"/>
        <v>19</v>
      </c>
      <c r="D23" t="s">
        <v>88</v>
      </c>
      <c r="E23">
        <v>1</v>
      </c>
      <c r="F23">
        <v>57</v>
      </c>
      <c r="G23" t="s">
        <v>27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51.5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90</v>
      </c>
      <c r="E24">
        <v>1</v>
      </c>
      <c r="F24">
        <v>150</v>
      </c>
      <c r="G24" t="s">
        <v>27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135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91</v>
      </c>
      <c r="E25">
        <v>1</v>
      </c>
      <c r="F25">
        <v>75</v>
      </c>
      <c r="G25" t="s">
        <v>27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67.5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92</v>
      </c>
      <c r="E26">
        <v>1</v>
      </c>
      <c r="F26">
        <v>130</v>
      </c>
      <c r="G26" t="s">
        <v>27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117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89</v>
      </c>
      <c r="N27" s="15">
        <v>71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1546.5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45992.660406597221</v>
      </c>
      <c r="C5">
        <f t="shared" ref="C5:C68" si="0">IF(ISNUMBER(E5), IF(ISNUMBER(C4), C4+1, 1), "")</f>
        <v>1</v>
      </c>
      <c r="D5" t="s">
        <v>94</v>
      </c>
      <c r="E5">
        <v>1</v>
      </c>
      <c r="F5">
        <v>189</v>
      </c>
      <c r="G5" t="s">
        <v>27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170.5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 t="shared" si="0"/>
        <v>2</v>
      </c>
      <c r="D6" t="s">
        <v>95</v>
      </c>
      <c r="E6">
        <v>3</v>
      </c>
      <c r="F6">
        <v>45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121.5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 t="shared" si="0"/>
        <v>3</v>
      </c>
      <c r="D7" t="s">
        <v>96</v>
      </c>
      <c r="E7">
        <v>1</v>
      </c>
      <c r="F7">
        <v>135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121.5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si="0"/>
        <v>4</v>
      </c>
      <c r="D8" t="s">
        <v>95</v>
      </c>
      <c r="E8">
        <v>1</v>
      </c>
      <c r="F8">
        <v>45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97</v>
      </c>
      <c r="E9">
        <v>1</v>
      </c>
      <c r="F9">
        <v>120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108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98</v>
      </c>
      <c r="E10">
        <v>2</v>
      </c>
      <c r="F10">
        <v>15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99</v>
      </c>
      <c r="E11">
        <v>1</v>
      </c>
      <c r="F11">
        <v>52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100</v>
      </c>
      <c r="E12">
        <v>1</v>
      </c>
      <c r="F12">
        <v>550</v>
      </c>
      <c r="G12" t="s">
        <v>27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495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101</v>
      </c>
      <c r="E13">
        <v>1</v>
      </c>
      <c r="F13">
        <v>90</v>
      </c>
      <c r="G13" t="s">
        <v>27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85.5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102</v>
      </c>
      <c r="E14">
        <v>1</v>
      </c>
      <c r="F14">
        <v>170</v>
      </c>
      <c r="G14" t="s">
        <v>27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153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103</v>
      </c>
      <c r="E15">
        <v>1</v>
      </c>
      <c r="F15">
        <v>186</v>
      </c>
      <c r="G15" t="s">
        <v>27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167.5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3021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36" t="s">
        <v>128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45992.660406597221</v>
      </c>
      <c r="C5">
        <f t="shared" ref="C5:C68" si="0">IF(ISNUMBER(E5), IF(ISNUMBER(C4), C4+1, 1), "")</f>
        <v>1</v>
      </c>
      <c r="D5" t="s">
        <v>117</v>
      </c>
      <c r="E5">
        <v>1</v>
      </c>
      <c r="F5">
        <v>90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 t="shared" si="0"/>
        <v>2</v>
      </c>
      <c r="D6" t="s">
        <v>118</v>
      </c>
      <c r="E6">
        <v>1</v>
      </c>
      <c r="F6">
        <v>560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560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 t="shared" si="0"/>
        <v>3</v>
      </c>
      <c r="D7" t="s">
        <v>119</v>
      </c>
      <c r="E7">
        <v>2</v>
      </c>
      <c r="F7">
        <v>15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si="0"/>
        <v>4</v>
      </c>
      <c r="D8" t="s">
        <v>120</v>
      </c>
      <c r="E8">
        <v>1</v>
      </c>
      <c r="F8">
        <v>423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423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26</v>
      </c>
      <c r="E9">
        <v>1</v>
      </c>
      <c r="F9">
        <v>150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142.5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88</v>
      </c>
      <c r="E10">
        <v>1</v>
      </c>
      <c r="F10">
        <v>57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121</v>
      </c>
      <c r="E11">
        <v>1</v>
      </c>
      <c r="F11">
        <v>72</v>
      </c>
      <c r="G11" t="s">
        <v>27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65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122</v>
      </c>
      <c r="E12">
        <v>1</v>
      </c>
      <c r="F12">
        <v>430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430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123</v>
      </c>
      <c r="E13">
        <v>1</v>
      </c>
      <c r="F13">
        <v>732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659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124</v>
      </c>
      <c r="E14">
        <v>1</v>
      </c>
      <c r="F14">
        <v>20</v>
      </c>
      <c r="G14" t="s">
        <v>27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125</v>
      </c>
      <c r="E15">
        <v>2</v>
      </c>
      <c r="F15">
        <v>15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>
        <f t="shared" si="0"/>
        <v>12</v>
      </c>
      <c r="D16" t="s">
        <v>126</v>
      </c>
      <c r="E16">
        <v>1</v>
      </c>
      <c r="F16">
        <v>290</v>
      </c>
      <c r="G16" t="s">
        <v>27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261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>
        <f t="shared" si="0"/>
        <v>13</v>
      </c>
      <c r="D17" t="s">
        <v>127</v>
      </c>
      <c r="E17">
        <v>2</v>
      </c>
      <c r="F17">
        <v>10</v>
      </c>
      <c r="G17" t="s">
        <v>27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18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>
        <f t="shared" si="0"/>
        <v>14</v>
      </c>
      <c r="D18" t="s">
        <v>46</v>
      </c>
      <c r="E18">
        <v>2</v>
      </c>
      <c r="F18">
        <v>135</v>
      </c>
      <c r="G18" t="s">
        <v>27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243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105</v>
      </c>
      <c r="N27" s="15">
        <v>100</v>
      </c>
      <c r="O27" s="39" t="s">
        <v>106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107</v>
      </c>
      <c r="N28" s="15">
        <v>2300</v>
      </c>
      <c r="O28" s="39" t="s">
        <v>106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108</v>
      </c>
      <c r="N29" s="15">
        <v>580</v>
      </c>
      <c r="O29" s="39" t="s">
        <v>109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89</v>
      </c>
      <c r="N30" s="15">
        <v>71</v>
      </c>
      <c r="O30" s="39" t="s">
        <v>110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111</v>
      </c>
      <c r="N31" s="15">
        <v>7656</v>
      </c>
      <c r="O31" s="39" t="s">
        <v>112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113</v>
      </c>
      <c r="N32" s="15">
        <v>1500</v>
      </c>
      <c r="O32" s="39" t="s">
        <v>112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114</v>
      </c>
      <c r="N33" s="15">
        <v>12207</v>
      </c>
      <c r="O33" s="39" t="s">
        <v>115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129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3106.5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 t="s">
        <v>148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45992.660406597221</v>
      </c>
      <c r="C5">
        <f t="shared" ref="C5:C68" si="0">IF(ISNUMBER(E5), IF(ISNUMBER(C4), C4+1, 1), "")</f>
        <v>1</v>
      </c>
      <c r="D5" t="s">
        <v>130</v>
      </c>
      <c r="E5">
        <v>1</v>
      </c>
      <c r="F5">
        <v>350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>
        <f t="shared" si="0"/>
        <v>2</v>
      </c>
      <c r="D6" t="s">
        <v>131</v>
      </c>
      <c r="E6">
        <v>1</v>
      </c>
      <c r="F6">
        <v>25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>
        <f t="shared" si="0"/>
        <v>3</v>
      </c>
      <c r="D7" t="s">
        <v>132</v>
      </c>
      <c r="E7">
        <v>1</v>
      </c>
      <c r="F7">
        <v>85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85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>
        <f t="shared" si="0"/>
        <v>4</v>
      </c>
      <c r="D8" t="s">
        <v>133</v>
      </c>
      <c r="E8">
        <v>1</v>
      </c>
      <c r="F8">
        <v>75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75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>
        <f t="shared" si="0"/>
        <v>5</v>
      </c>
      <c r="D9" t="s">
        <v>134</v>
      </c>
      <c r="E9">
        <v>1</v>
      </c>
      <c r="F9">
        <v>28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25.5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>
        <f t="shared" si="0"/>
        <v>6</v>
      </c>
      <c r="D10" t="s">
        <v>135</v>
      </c>
      <c r="E10">
        <v>1</v>
      </c>
      <c r="F10">
        <v>645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580.5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>
        <f t="shared" si="0"/>
        <v>7</v>
      </c>
      <c r="D11" t="s">
        <v>136</v>
      </c>
      <c r="E11">
        <v>1</v>
      </c>
      <c r="F11">
        <v>172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155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>
        <f t="shared" si="0"/>
        <v>8</v>
      </c>
      <c r="D12" t="s">
        <v>137</v>
      </c>
      <c r="E12">
        <v>1</v>
      </c>
      <c r="F12">
        <v>90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90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>
        <f t="shared" si="0"/>
        <v>9</v>
      </c>
      <c r="D13" t="s">
        <v>138</v>
      </c>
      <c r="E13">
        <v>1</v>
      </c>
      <c r="F13">
        <v>115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>
        <f t="shared" si="0"/>
        <v>10</v>
      </c>
      <c r="D14" t="s">
        <v>139</v>
      </c>
      <c r="E14">
        <v>1</v>
      </c>
      <c r="F14">
        <v>480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480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>
        <f t="shared" si="0"/>
        <v>11</v>
      </c>
      <c r="D15" t="s">
        <v>52</v>
      </c>
      <c r="E15">
        <v>2</v>
      </c>
      <c r="F15">
        <v>30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60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>
        <f t="shared" si="0"/>
        <v>12</v>
      </c>
      <c r="D16" t="s">
        <v>140</v>
      </c>
      <c r="E16">
        <v>1</v>
      </c>
      <c r="F16">
        <v>50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>
        <f t="shared" si="0"/>
        <v>13</v>
      </c>
      <c r="D17" t="s">
        <v>141</v>
      </c>
      <c r="E17">
        <v>1</v>
      </c>
      <c r="F17">
        <v>375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375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>
        <f t="shared" si="0"/>
        <v>14</v>
      </c>
      <c r="D18" t="s">
        <v>142</v>
      </c>
      <c r="E18">
        <v>2</v>
      </c>
      <c r="F18">
        <v>28</v>
      </c>
      <c r="G18" t="s">
        <v>27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50.5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>
        <f t="shared" si="0"/>
        <v>15</v>
      </c>
      <c r="D19" t="s">
        <v>143</v>
      </c>
      <c r="E19">
        <v>1</v>
      </c>
      <c r="F19">
        <v>51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51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>
        <f t="shared" si="0"/>
        <v>16</v>
      </c>
      <c r="D20" t="s">
        <v>144</v>
      </c>
      <c r="E20">
        <v>1</v>
      </c>
      <c r="F20">
        <v>99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99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>
        <f t="shared" si="0"/>
        <v>17</v>
      </c>
      <c r="D21" t="s">
        <v>31</v>
      </c>
      <c r="E21">
        <v>1</v>
      </c>
      <c r="F21">
        <v>123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123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>
        <f t="shared" si="0"/>
        <v>18</v>
      </c>
      <c r="D22" t="s">
        <v>145</v>
      </c>
      <c r="E22">
        <v>1</v>
      </c>
      <c r="F22">
        <v>52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>
        <f t="shared" si="0"/>
        <v>19</v>
      </c>
      <c r="D23" t="s">
        <v>146</v>
      </c>
      <c r="E23">
        <v>1</v>
      </c>
      <c r="F23">
        <v>150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150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147</v>
      </c>
      <c r="E24">
        <v>1</v>
      </c>
      <c r="F24">
        <v>115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115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45992.660406597221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45992.660406597221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45992.660406597221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45992.660406597221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45992.660406597221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45992.660406597221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45992.660406597221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45992.660406597221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45992.660406597221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45992.660406597221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45992.660406597221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45992.660406597221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45992.660406597221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45992.660406597221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45992.660406597221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45992.660406597221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45992.660406597221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45992.660406597221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24-11-25</vt:lpstr>
      <vt:lpstr>Martes 25-11-25</vt:lpstr>
      <vt:lpstr>Miercoles</vt:lpstr>
      <vt:lpstr>Jueves 27-11-25</vt:lpstr>
      <vt:lpstr>Viernes 28-11-25</vt:lpstr>
      <vt:lpstr>Sabado 29-11-25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2025-12-01T21:51:18Z</dcterms:modified>
</cp:coreProperties>
</file>