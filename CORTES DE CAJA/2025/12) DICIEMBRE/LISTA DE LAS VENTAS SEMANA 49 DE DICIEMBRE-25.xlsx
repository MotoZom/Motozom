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filterPrivacy="1"/>
  <xr:revisionPtr revIDLastSave="0" documentId="13_ncr:1_{C5EABE6F-C760-43A2-86C2-083AE1613B06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 01-12-25" sheetId="1" r:id="rId1"/>
    <sheet name="Martes 02-12-25" sheetId="2" r:id="rId2"/>
    <sheet name="Miercoles 03-12-25" sheetId="3" r:id="rId3"/>
    <sheet name="Jueves 04-12-25" sheetId="4" r:id="rId4"/>
    <sheet name="Viernes 05-12-25" sheetId="5" r:id="rId5"/>
    <sheet name="Sabado 06-12-25" sheetId="6" r:id="rId6"/>
    <sheet name="Domingo" sheetId="8" r:id="rId7"/>
    <sheet name="Cambios" sheetId="7" r:id="rId8"/>
  </sheets>
  <definedNames>
    <definedName name="_xlnm._FilterDatabase" localSheetId="0" hidden="1">'Lunes 01-12-25'!$B$4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7" i="5"/>
  <c r="C8" i="5" s="1"/>
  <c r="C9" i="5" s="1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C6" i="2" l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K4" i="8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6" i="5"/>
  <c r="B16" i="6"/>
  <c r="B16" i="4"/>
  <c r="B16" i="8"/>
  <c r="B16" i="3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9" i="5" l="1"/>
  <c r="B9" i="6"/>
  <c r="B9" i="8"/>
  <c r="B9" i="3"/>
  <c r="B9" i="4"/>
  <c r="C10" i="1"/>
  <c r="B10" i="2" s="1"/>
  <c r="B9" i="1"/>
  <c r="K3" i="1"/>
  <c r="B10" i="1" l="1"/>
  <c r="B10" i="6"/>
  <c r="B10" i="8"/>
  <c r="B10" i="5"/>
  <c r="B10" i="3"/>
  <c r="B10" i="4"/>
  <c r="K4" i="1"/>
</calcChain>
</file>

<file path=xl/sharedStrings.xml><?xml version="1.0" encoding="utf-8"?>
<sst xmlns="http://schemas.openxmlformats.org/spreadsheetml/2006/main" count="323" uniqueCount="150">
  <si>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</si>
  <si>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</si>
  <si>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</si>
  <si>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</si>
  <si>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</si>
  <si>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</si>
  <si>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</si>
  <si>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</si>
  <si>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</si>
  <si>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</si>
  <si>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</si>
  <si>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</si>
  <si>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</si>
  <si>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</si>
  <si>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</si>
  <si>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</si>
  <si>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</si>
  <si>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</si>
  <si>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</si>
  <si>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</si>
  <si>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</si>
  <si>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</si>
  <si>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</si>
  <si>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</si>
  <si>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</si>
  <si>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01 DE DICIEMBRE-2025</t>
  </si>
  <si>
    <t>ROTULAS SUPERIOR ATV</t>
  </si>
  <si>
    <t>X</t>
  </si>
  <si>
    <t>LUZ</t>
  </si>
  <si>
    <t xml:space="preserve">MAGNECTO </t>
  </si>
  <si>
    <t>RED DE ACIENTO</t>
  </si>
  <si>
    <t>TORNILLO</t>
  </si>
  <si>
    <t xml:space="preserve">TUERCA </t>
  </si>
  <si>
    <t>LIGA</t>
  </si>
  <si>
    <t>CAJA DE TRASMISION FT150</t>
  </si>
  <si>
    <t>CAJA DE TRASMISION DT125</t>
  </si>
  <si>
    <t>ARENS 6 CABLES YOG</t>
  </si>
  <si>
    <t xml:space="preserve">TAPON DE IMPECION </t>
  </si>
  <si>
    <t>CHICOTE DE ACELERADOR FT150</t>
  </si>
  <si>
    <t>BALATA REASERA DE DISCO CROXMAX 250</t>
  </si>
  <si>
    <t>FOCO DE STOP</t>
  </si>
  <si>
    <t>ACEITE MOTUL 7100 10-W-40</t>
  </si>
  <si>
    <t xml:space="preserve">CUENTA DE LA SEMANA PASADA $ 21684.5 MENOS $ 417 DE LA LUZM QUEDA $ 21267.6 MENOS $ 250 DE LA PIEDA QUE LLEVO DANIEL QUEDA $ 21017.5 </t>
  </si>
  <si>
    <t>ACEITE MOTUL 3000</t>
  </si>
  <si>
    <t>TAZAS DE DIRECCION DM150</t>
  </si>
  <si>
    <t>TAZAS DE DIRECCION DM200</t>
  </si>
  <si>
    <t>CHICOTE DE ACLERADOR UNIVERSAL</t>
  </si>
  <si>
    <t xml:space="preserve">AORCADOR UNIVERSAL </t>
  </si>
  <si>
    <t>ACEITE LUBER</t>
  </si>
  <si>
    <t>BALERO 6300</t>
  </si>
  <si>
    <t>PUÑOS FT150 YOG</t>
  </si>
  <si>
    <t>Martes 02 DE DICIEMBRE-25</t>
  </si>
  <si>
    <t xml:space="preserve">CHICOTE DE CLUTH PULSAR 200NS </t>
  </si>
  <si>
    <t>CHICOTE DE CLUTH FT125</t>
  </si>
  <si>
    <t xml:space="preserve">BALATA TRASERA DE CROXMAX </t>
  </si>
  <si>
    <t>FILTRO DE AIRE WS175 ITALIKA</t>
  </si>
  <si>
    <t>RAYOS DELANTEROS SUELTOS DM200</t>
  </si>
  <si>
    <t>CLAXON DS150</t>
  </si>
  <si>
    <t>BOTON DE CLAXON</t>
  </si>
  <si>
    <t xml:space="preserve">PORTAFUSIBLES </t>
  </si>
  <si>
    <t>POSAPIES TRASEROS 250Z</t>
  </si>
  <si>
    <t>SEGURO DE PIÑON</t>
  </si>
  <si>
    <t>PEDIDO WURT</t>
  </si>
  <si>
    <t>CAMARA 2.50.17</t>
  </si>
  <si>
    <t xml:space="preserve">CUENTA DE SEMANA PASADA $ 21017.5 MENOS PEDIDO DE WURTH $ 3464 QUEDA $ 17553.5 </t>
  </si>
  <si>
    <t>CAMARA 90-90-18</t>
  </si>
  <si>
    <t>BALATA DE RT200</t>
  </si>
  <si>
    <t>RETEN DE MOTOR FT150</t>
  </si>
  <si>
    <t xml:space="preserve">ACEITE AKRON </t>
  </si>
  <si>
    <t xml:space="preserve">ARNES DE 6 CABLES </t>
  </si>
  <si>
    <t xml:space="preserve">ARNES DE 2 CABLES </t>
  </si>
  <si>
    <t>Miercoles 03 DE DICIMEBRE-25</t>
  </si>
  <si>
    <t>BALATA TRASERA DS150</t>
  </si>
  <si>
    <t>ARNES DE CDI FT150</t>
  </si>
  <si>
    <t xml:space="preserve">MANGUERA DE GASOLINA </t>
  </si>
  <si>
    <t>CABLE SUELTO NEGRO</t>
  </si>
  <si>
    <t>CABLE SUELTO ROJO</t>
  </si>
  <si>
    <t xml:space="preserve">SEGURO DE PIÑON </t>
  </si>
  <si>
    <t>MARCHA PARA DS150</t>
  </si>
  <si>
    <t xml:space="preserve">FOCO DE BUHOS </t>
  </si>
  <si>
    <t>CADENA 428 SENCILLA X136</t>
  </si>
  <si>
    <t>FOCO H4 LED</t>
  </si>
  <si>
    <t>ARNES H4</t>
  </si>
  <si>
    <t>LLANTA 110-90-17</t>
  </si>
  <si>
    <t>CAPUCHON DE BUJIA FT150</t>
  </si>
  <si>
    <t>CAPUCHON DE BUJIA DS150</t>
  </si>
  <si>
    <t>ACEITE AKRON</t>
  </si>
  <si>
    <t>PUÑOS UNIVERSALES AMARILLOS</t>
  </si>
  <si>
    <t>STIKER</t>
  </si>
  <si>
    <t>POSAPIES TRASERO DT150 YOG</t>
  </si>
  <si>
    <t>PUÑOS AMARILLOS INIVERSALES</t>
  </si>
  <si>
    <t>Jueves 04 DE DICIEMBRE-25</t>
  </si>
  <si>
    <t>BOLSA ,FABULOSO Y CLARAXOL</t>
  </si>
  <si>
    <t xml:space="preserve">AGUAS DE BACTERIA </t>
  </si>
  <si>
    <t>BANDA POWER LINK 743-20-30</t>
  </si>
  <si>
    <t>BOBINA DE INNICION DS150</t>
  </si>
  <si>
    <t>CAMARA 3.00.17</t>
  </si>
  <si>
    <t>ESTRELLA FT150</t>
  </si>
  <si>
    <t>BIRLOS DE FT150</t>
  </si>
  <si>
    <t>BUJES DE SPROKET FT150</t>
  </si>
  <si>
    <t>BALATA DE FT150</t>
  </si>
  <si>
    <t>ACEITE MOTUL 5100</t>
  </si>
  <si>
    <t>ESPONJA DE FT150</t>
  </si>
  <si>
    <t>BUJIA C9</t>
  </si>
  <si>
    <t>LUBER</t>
  </si>
  <si>
    <t>BUJIA D8</t>
  </si>
  <si>
    <t xml:space="preserve">TOTAL </t>
  </si>
  <si>
    <t xml:space="preserve">TOTAL DE EGRESOS </t>
  </si>
  <si>
    <t>Viernes 05 DE DICIEMBRE-25</t>
  </si>
  <si>
    <t>ACEITE MOTUL 7100-10-W-40</t>
  </si>
  <si>
    <t>PASTAS DE CLUTH FT150</t>
  </si>
  <si>
    <t xml:space="preserve">MANIJA HONDA CARGO </t>
  </si>
  <si>
    <t xml:space="preserve">FILTRO DE ACEI YAMAHA </t>
  </si>
  <si>
    <t xml:space="preserve">LUZ </t>
  </si>
  <si>
    <t>LUNES 01 DE DICIEMBRE-25</t>
  </si>
  <si>
    <t xml:space="preserve">MAGNETO </t>
  </si>
  <si>
    <t>P.WURT</t>
  </si>
  <si>
    <t>MARTES 02 DE DICIEMBRE-25</t>
  </si>
  <si>
    <t>B.A.LUBE</t>
  </si>
  <si>
    <t>JUEVES 04 DE DICIEMBRE-25</t>
  </si>
  <si>
    <t>VIERNES 05 DE DICIEMBRE-25</t>
  </si>
  <si>
    <t>PAGOYAS</t>
  </si>
  <si>
    <t>CUENTA DE LAS SEMNA PASADA $ 17553.5 MENOS $ 1797 QUEDA $ 15756.5</t>
  </si>
  <si>
    <t>JUNTA DEL CLUTH FT150</t>
  </si>
  <si>
    <t xml:space="preserve">DICOS DE CLUTH </t>
  </si>
  <si>
    <t xml:space="preserve">PILA QLINK YTX 5 </t>
  </si>
  <si>
    <t xml:space="preserve">MANIJA IZQUIERDA DM200 COMPLETA </t>
  </si>
  <si>
    <t>ESPONJA DE FT125</t>
  </si>
  <si>
    <t xml:space="preserve">BALATA TAMBOR CHICO </t>
  </si>
  <si>
    <t>ARAÑA DE VELOCIMETRO 125Z</t>
  </si>
  <si>
    <t>BALATA DE DISCO DS150</t>
  </si>
  <si>
    <t>CHICOTE DE WS150 VELOCIMETRO</t>
  </si>
  <si>
    <t>GOMA BARRA POSAPIE FT150</t>
  </si>
  <si>
    <t>ESPEJOS COFEE RANCIN NASAKI</t>
  </si>
  <si>
    <t xml:space="preserve">AUXILIARES BUHOS </t>
  </si>
  <si>
    <r>
      <rPr>
        <b/>
        <sz val="14"/>
        <color theme="1"/>
        <rFont val="Calibri"/>
        <family val="2"/>
        <scheme val="minor"/>
      </rPr>
      <t>CORTES DE LA SEMANA             SEMANA PASADA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LUNES 01 DE DICIEMBRE-25                   $21684.5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$ 2650                     MENOS$ 7428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MARTES 02 DE DICIEMBRE-25               $ 14256.5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$ 1343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03 DE DICIEMBRE-25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$ 2405.5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JUEVES 04 DE DIECIMEBRE-25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$ 1658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VIERNES 05 DE DICIEMBRE-25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$2158</t>
    </r>
    <r>
      <rPr>
        <sz val="11"/>
        <color theme="1"/>
        <rFont val="Calibri"/>
        <family val="2"/>
        <scheme val="minor"/>
      </rPr>
      <t xml:space="preserve">
</t>
    </r>
    <r>
      <rPr>
        <b/>
        <sz val="20"/>
        <color theme="1"/>
        <rFont val="Calibri"/>
        <family val="2"/>
        <scheme val="minor"/>
      </rPr>
      <t xml:space="preserve">TOTAL $ 10214.5
TOTAL EN CAJA  $ 24471 </t>
    </r>
  </si>
  <si>
    <t>Sabado 06 DE DICIEMBRE-25</t>
  </si>
  <si>
    <t>FOCO H6 LED</t>
  </si>
  <si>
    <t xml:space="preserve">TITAS LED </t>
  </si>
  <si>
    <t>MANGUERA GASOLINA METRO</t>
  </si>
  <si>
    <t xml:space="preserve">GOMA DE TANQUE </t>
  </si>
  <si>
    <t>ACEITE MOTUL 7100-20W-50</t>
  </si>
  <si>
    <t>BANDA POWER LINK 835-20-30</t>
  </si>
  <si>
    <t>BALVULAS DE MOTOR DS150</t>
  </si>
  <si>
    <t>LIQUIDO DE FRENO</t>
  </si>
  <si>
    <t xml:space="preserve">DEPOSITO DE LIQUIDO </t>
  </si>
  <si>
    <t>BALATA DE DIACO VENTO CROXMAX TRASERA</t>
  </si>
  <si>
    <t>PILA QLINK YTX 5</t>
  </si>
  <si>
    <t>BALATA DE DISCO DE FT150</t>
  </si>
  <si>
    <r>
      <t xml:space="preserve">CUENTA DE HOY $ 2303 MENOS $ 300 PAGO DE YAS QUEDA $ 2003 MAS LO AYER EN CAJA TOTAL$ 24471 
</t>
    </r>
    <r>
      <rPr>
        <b/>
        <sz val="20"/>
        <color theme="1"/>
        <rFont val="Calibri"/>
        <family val="2"/>
        <scheme val="minor"/>
      </rPr>
      <t>TOTAL EN CAJA $ 26474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</si>
</sst>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3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  <xf numFmtId="0" fontId="9" fillId="0" borderId="0" xfId="0" applyFont="1" applyAlignment="1">
      <alignment horizontal="center" vertical="center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3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2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19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18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15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14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1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0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3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2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D27" sqref="D27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34" t="s">
        <v>25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2" t="s">
        <v>17</v>
      </c>
      <c r="K3" s="6">
        <f>SUM(Tabla1[Importa])</f>
        <v>2650</v>
      </c>
      <c r="M3" s="37" t="s">
        <v>6</v>
      </c>
      <c r="N3" s="37"/>
      <c r="O3" s="37"/>
      <c r="P3" s="37"/>
      <c r="Q3" s="37"/>
      <c r="R3" s="37"/>
    </row>
    <row r="4" spans="2:18" ht="31.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18</v>
      </c>
      <c r="K4" s="10">
        <f>COUNTIF(C5:C103,"&gt;0")</f>
        <v>22</v>
      </c>
      <c r="M4" s="36" t="s">
        <v>42</v>
      </c>
      <c r="N4" s="36"/>
      <c r="O4" s="36"/>
      <c r="P4" s="36"/>
      <c r="Q4" s="36"/>
      <c r="R4" s="36"/>
    </row>
    <row r="5" spans="2:18" x14ac:dyDescent="0.25">
      <c r="B5" s="18">
        <f ca="1">IF(Tabla1[[#This Row],['#]]&lt;&gt;"", NOW(), "")</f>
        <v>45997.800870601852</v>
      </c>
      <c r="C5">
        <f>IF(ISNUMBER(E5), IF(ISNUMBER(C4), C4+1, 1), "")</f>
        <v>1</v>
      </c>
      <c r="D5" t="s">
        <v>26</v>
      </c>
      <c r="E5">
        <v>1</v>
      </c>
      <c r="F5">
        <v>376</v>
      </c>
      <c r="G5" t="s">
        <v>27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338.5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45997.800870601852</v>
      </c>
      <c r="C6">
        <f t="shared" ref="C6:C36" si="0">IF(ISNUMBER(E6), IF(ISNUMBER(C5), C5+1, 1), "")</f>
        <v>2</v>
      </c>
      <c r="D6" t="s">
        <v>26</v>
      </c>
      <c r="E6">
        <v>1</v>
      </c>
      <c r="F6">
        <v>376</v>
      </c>
      <c r="G6" t="s">
        <v>27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338.5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45997.800870601852</v>
      </c>
      <c r="C7">
        <f t="shared" si="0"/>
        <v>3</v>
      </c>
      <c r="D7" t="s">
        <v>30</v>
      </c>
      <c r="E7">
        <v>1</v>
      </c>
      <c r="F7">
        <v>115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115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45997.800870601852</v>
      </c>
      <c r="C8">
        <f t="shared" si="0"/>
        <v>4</v>
      </c>
      <c r="D8" t="s">
        <v>31</v>
      </c>
      <c r="E8">
        <v>4</v>
      </c>
      <c r="F8">
        <v>3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12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45997.800870601852</v>
      </c>
      <c r="C9">
        <f t="shared" si="0"/>
        <v>5</v>
      </c>
      <c r="D9" t="s">
        <v>32</v>
      </c>
      <c r="E9">
        <v>2</v>
      </c>
      <c r="F9">
        <v>2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4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45997.800870601852</v>
      </c>
      <c r="C10">
        <f t="shared" si="0"/>
        <v>6</v>
      </c>
      <c r="D10" t="s">
        <v>33</v>
      </c>
      <c r="E10">
        <v>1</v>
      </c>
      <c r="F10">
        <v>25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25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45997.800870601852</v>
      </c>
      <c r="C11">
        <f t="shared" si="0"/>
        <v>7</v>
      </c>
      <c r="D11" t="s">
        <v>34</v>
      </c>
      <c r="E11">
        <v>1</v>
      </c>
      <c r="F11">
        <v>560</v>
      </c>
      <c r="G11" t="s">
        <v>27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504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45997.800870601852</v>
      </c>
      <c r="C12">
        <f t="shared" si="0"/>
        <v>8</v>
      </c>
      <c r="D12" t="s">
        <v>35</v>
      </c>
      <c r="E12">
        <v>1</v>
      </c>
      <c r="F12">
        <v>360</v>
      </c>
      <c r="G12" t="s">
        <v>27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324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45997.800870601852</v>
      </c>
      <c r="C13">
        <f t="shared" si="0"/>
        <v>9</v>
      </c>
      <c r="D13" t="s">
        <v>36</v>
      </c>
      <c r="E13">
        <v>1</v>
      </c>
      <c r="F13">
        <v>45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45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45997.800870601852</v>
      </c>
      <c r="C14">
        <f t="shared" si="0"/>
        <v>10</v>
      </c>
      <c r="D14" t="s">
        <v>37</v>
      </c>
      <c r="E14">
        <v>1</v>
      </c>
      <c r="F14">
        <v>35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35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45997.800870601852</v>
      </c>
      <c r="C15">
        <f t="shared" si="0"/>
        <v>11</v>
      </c>
      <c r="D15" t="s">
        <v>38</v>
      </c>
      <c r="E15">
        <v>1</v>
      </c>
      <c r="F15">
        <v>35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35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45997.800870601852</v>
      </c>
      <c r="C16">
        <f t="shared" si="0"/>
        <v>12</v>
      </c>
      <c r="D16" t="s">
        <v>39</v>
      </c>
      <c r="E16">
        <v>1</v>
      </c>
      <c r="F16">
        <v>27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27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45997.800870601852</v>
      </c>
      <c r="C17">
        <f t="shared" si="0"/>
        <v>13</v>
      </c>
      <c r="D17" t="s">
        <v>40</v>
      </c>
      <c r="E17">
        <v>1</v>
      </c>
      <c r="F17">
        <v>20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20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45997.800870601852</v>
      </c>
      <c r="C18">
        <f t="shared" si="0"/>
        <v>14</v>
      </c>
      <c r="D18" t="s">
        <v>41</v>
      </c>
      <c r="E18">
        <v>1</v>
      </c>
      <c r="F18">
        <v>280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280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45997.800870601852</v>
      </c>
      <c r="C19">
        <f t="shared" si="0"/>
        <v>15</v>
      </c>
      <c r="D19" t="s">
        <v>43</v>
      </c>
      <c r="E19">
        <v>1</v>
      </c>
      <c r="F19">
        <v>200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200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45997.800870601852</v>
      </c>
      <c r="C20">
        <f t="shared" si="0"/>
        <v>16</v>
      </c>
      <c r="D20" t="s">
        <v>44</v>
      </c>
      <c r="E20">
        <v>1</v>
      </c>
      <c r="F20">
        <v>83</v>
      </c>
      <c r="G20" t="s">
        <v>27</v>
      </c>
      <c r="H20" s="5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>75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45997.800870601852</v>
      </c>
      <c r="C21">
        <f t="shared" si="0"/>
        <v>17</v>
      </c>
      <c r="D21" t="s">
        <v>45</v>
      </c>
      <c r="E21">
        <v>1</v>
      </c>
      <c r="F21">
        <v>84</v>
      </c>
      <c r="G21" t="s">
        <v>27</v>
      </c>
      <c r="H21" s="5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>76</v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45997.800870601852</v>
      </c>
      <c r="C22">
        <f t="shared" si="0"/>
        <v>18</v>
      </c>
      <c r="D22" t="s">
        <v>46</v>
      </c>
      <c r="E22">
        <v>1</v>
      </c>
      <c r="F22">
        <v>12</v>
      </c>
      <c r="G22" t="s">
        <v>27</v>
      </c>
      <c r="H22" s="5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>11</v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45997.800870601852</v>
      </c>
      <c r="C23">
        <f t="shared" si="0"/>
        <v>19</v>
      </c>
      <c r="D23" t="s">
        <v>47</v>
      </c>
      <c r="E23">
        <v>1</v>
      </c>
      <c r="F23">
        <v>3</v>
      </c>
      <c r="H23" s="5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>3</v>
      </c>
    </row>
    <row r="24" spans="2:18" ht="15" customHeight="1" x14ac:dyDescent="0.25">
      <c r="B24" s="18">
        <f ca="1">IF(Tabla1[[#This Row],['#]]&lt;&gt;"", NOW(), "")</f>
        <v>45997.800870601852</v>
      </c>
      <c r="C24">
        <f t="shared" si="0"/>
        <v>20</v>
      </c>
      <c r="D24" t="s">
        <v>48</v>
      </c>
      <c r="E24">
        <v>1</v>
      </c>
      <c r="F24">
        <v>90</v>
      </c>
      <c r="H24" s="5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>90</v>
      </c>
      <c r="M24" s="32" t="s">
        <v>19</v>
      </c>
      <c r="N24" s="32"/>
      <c r="O24" s="32"/>
      <c r="P24" s="32"/>
      <c r="Q24" s="32"/>
      <c r="R24" s="32"/>
    </row>
    <row r="25" spans="2:18" x14ac:dyDescent="0.25">
      <c r="B25" s="18">
        <f ca="1">IF(Tabla1[[#This Row],['#]]&lt;&gt;"", NOW(), "")</f>
        <v>45997.800870601852</v>
      </c>
      <c r="C25">
        <f t="shared" si="0"/>
        <v>21</v>
      </c>
      <c r="D25" t="s">
        <v>49</v>
      </c>
      <c r="E25">
        <v>1</v>
      </c>
      <c r="F25">
        <v>30</v>
      </c>
      <c r="G25" t="s">
        <v>27</v>
      </c>
      <c r="H25" s="5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>27</v>
      </c>
      <c r="M25" s="33"/>
      <c r="N25" s="33"/>
      <c r="O25" s="33"/>
      <c r="P25" s="33"/>
      <c r="Q25" s="33"/>
      <c r="R25" s="33"/>
    </row>
    <row r="26" spans="2:18" ht="15" customHeight="1" x14ac:dyDescent="0.25">
      <c r="B26" s="18">
        <f ca="1">IF(Tabla1[[#This Row],['#]]&lt;&gt;"", NOW(), "")</f>
        <v>45997.800870601852</v>
      </c>
      <c r="C26">
        <f t="shared" si="0"/>
        <v>22</v>
      </c>
      <c r="D26" t="s">
        <v>50</v>
      </c>
      <c r="E26">
        <v>1</v>
      </c>
      <c r="F26">
        <v>65</v>
      </c>
      <c r="H26" s="5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>65</v>
      </c>
      <c r="M26" s="31" t="s">
        <v>20</v>
      </c>
      <c r="N26" s="31"/>
      <c r="O26" s="14" t="s">
        <v>21</v>
      </c>
      <c r="P26" s="31" t="s">
        <v>22</v>
      </c>
      <c r="Q26" s="31"/>
      <c r="R26" s="31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/>
      </c>
      <c r="M27" s="19" t="s">
        <v>28</v>
      </c>
      <c r="N27" s="20"/>
      <c r="O27" s="23">
        <v>417</v>
      </c>
      <c r="P27" s="25"/>
      <c r="Q27" s="26"/>
      <c r="R27" s="27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/>
      </c>
      <c r="M28" s="21"/>
      <c r="N28" s="22"/>
      <c r="O28" s="24"/>
      <c r="P28" s="28"/>
      <c r="Q28" s="29"/>
      <c r="R28" s="30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/>
      </c>
      <c r="M29" s="19" t="s">
        <v>29</v>
      </c>
      <c r="N29" s="20"/>
      <c r="O29" s="23">
        <v>250</v>
      </c>
      <c r="P29" s="25"/>
      <c r="Q29" s="26"/>
      <c r="R29" s="27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/>
      </c>
      <c r="M30" s="21"/>
      <c r="N30" s="22"/>
      <c r="O30" s="24"/>
      <c r="P30" s="28"/>
      <c r="Q30" s="29"/>
      <c r="R30" s="30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/>
      </c>
      <c r="M31" s="19"/>
      <c r="N31" s="20"/>
      <c r="O31" s="23"/>
      <c r="P31" s="25"/>
      <c r="Q31" s="26"/>
      <c r="R31" s="27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1"/>
      <c r="N32" s="22"/>
      <c r="O32" s="24"/>
      <c r="P32" s="28"/>
      <c r="Q32" s="29"/>
      <c r="R32" s="30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19"/>
      <c r="N33" s="20"/>
      <c r="O33" s="23"/>
      <c r="P33" s="25"/>
      <c r="Q33" s="26"/>
      <c r="R33" s="27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1"/>
      <c r="N34" s="22"/>
      <c r="O34" s="24"/>
      <c r="P34" s="28"/>
      <c r="Q34" s="29"/>
      <c r="R34" s="30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19"/>
      <c r="N35" s="20"/>
      <c r="O35" s="23"/>
      <c r="P35" s="25"/>
      <c r="Q35" s="26"/>
      <c r="R35" s="27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1"/>
      <c r="N36" s="22"/>
      <c r="O36" s="24"/>
      <c r="P36" s="28"/>
      <c r="Q36" s="29"/>
      <c r="R36" s="30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19"/>
      <c r="N37" s="20"/>
      <c r="O37" s="23"/>
      <c r="P37" s="25"/>
      <c r="Q37" s="26"/>
      <c r="R37" s="27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1"/>
      <c r="N38" s="22"/>
      <c r="O38" s="24"/>
      <c r="P38" s="28"/>
      <c r="Q38" s="29"/>
      <c r="R38" s="30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19"/>
      <c r="N39" s="20"/>
      <c r="O39" s="23"/>
      <c r="P39" s="25"/>
      <c r="Q39" s="26"/>
      <c r="R39" s="27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1"/>
      <c r="N40" s="22"/>
      <c r="O40" s="24"/>
      <c r="P40" s="28"/>
      <c r="Q40" s="29"/>
      <c r="R40" s="30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19"/>
      <c r="N41" s="20"/>
      <c r="O41" s="23"/>
      <c r="P41" s="25"/>
      <c r="Q41" s="26"/>
      <c r="R41" s="27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1"/>
      <c r="N42" s="22"/>
      <c r="O42" s="24"/>
      <c r="P42" s="28"/>
      <c r="Q42" s="29"/>
      <c r="R42" s="30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19"/>
      <c r="N43" s="20"/>
      <c r="O43" s="23"/>
      <c r="P43" s="25"/>
      <c r="Q43" s="26"/>
      <c r="R43" s="27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1"/>
      <c r="N44" s="22"/>
      <c r="O44" s="24"/>
      <c r="P44" s="28"/>
      <c r="Q44" s="29"/>
      <c r="R44" s="30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19"/>
      <c r="N45" s="20"/>
      <c r="O45" s="23"/>
      <c r="P45" s="25"/>
      <c r="Q45" s="26"/>
      <c r="R45" s="27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1"/>
      <c r="N46" s="22"/>
      <c r="O46" s="24"/>
      <c r="P46" s="28"/>
      <c r="Q46" s="29"/>
      <c r="R46" s="30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19"/>
      <c r="N47" s="20"/>
      <c r="O47" s="23"/>
      <c r="P47" s="25"/>
      <c r="Q47" s="26"/>
      <c r="R47" s="27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1"/>
      <c r="N48" s="22"/>
      <c r="O48" s="24"/>
      <c r="P48" s="28"/>
      <c r="Q48" s="29"/>
      <c r="R48" s="30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19"/>
      <c r="N49" s="20"/>
      <c r="O49" s="23"/>
      <c r="P49" s="25"/>
      <c r="Q49" s="26"/>
      <c r="R49" s="27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1"/>
      <c r="N50" s="22"/>
      <c r="O50" s="24"/>
      <c r="P50" s="28"/>
      <c r="Q50" s="29"/>
      <c r="R50" s="30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19"/>
      <c r="N51" s="20"/>
      <c r="O51" s="23"/>
      <c r="P51" s="25"/>
      <c r="Q51" s="26"/>
      <c r="R51" s="27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1"/>
      <c r="N52" s="22"/>
      <c r="O52" s="24"/>
      <c r="P52" s="28"/>
      <c r="Q52" s="29"/>
      <c r="R52" s="30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24:R24"/>
    <mergeCell ref="M25:R25"/>
    <mergeCell ref="C2:H2"/>
    <mergeCell ref="M4:R22"/>
    <mergeCell ref="M2:R2"/>
    <mergeCell ref="M3:R3"/>
    <mergeCell ref="J5:K14"/>
    <mergeCell ref="M41:N42"/>
    <mergeCell ref="M43:N44"/>
    <mergeCell ref="O41:O42"/>
    <mergeCell ref="O43:O44"/>
    <mergeCell ref="P41:R42"/>
    <mergeCell ref="P43:R44"/>
    <mergeCell ref="P26:R26"/>
    <mergeCell ref="M26:N26"/>
    <mergeCell ref="M27:N28"/>
    <mergeCell ref="M29:N30"/>
    <mergeCell ref="O27:O28"/>
    <mergeCell ref="O29:O30"/>
    <mergeCell ref="P27:R28"/>
    <mergeCell ref="P29:R30"/>
    <mergeCell ref="M31:N32"/>
    <mergeCell ref="M33:N34"/>
    <mergeCell ref="M35:N36"/>
    <mergeCell ref="M37:N38"/>
    <mergeCell ref="M39:N40"/>
    <mergeCell ref="O31:O32"/>
    <mergeCell ref="O33:O34"/>
    <mergeCell ref="O35:O36"/>
    <mergeCell ref="O37:O38"/>
    <mergeCell ref="O39:O40"/>
    <mergeCell ref="P31:R32"/>
    <mergeCell ref="P33:R34"/>
    <mergeCell ref="P35:R36"/>
    <mergeCell ref="P37:R38"/>
    <mergeCell ref="P39:R40"/>
    <mergeCell ref="M45:N46"/>
    <mergeCell ref="O45:O46"/>
    <mergeCell ref="P45:R46"/>
    <mergeCell ref="M47:N48"/>
    <mergeCell ref="O47:O48"/>
    <mergeCell ref="P47:R48"/>
    <mergeCell ref="M49:N50"/>
    <mergeCell ref="O49:O50"/>
    <mergeCell ref="P49:R50"/>
    <mergeCell ref="M51:N52"/>
    <mergeCell ref="O51:O52"/>
    <mergeCell ref="P51:R52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D25" sqref="D25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34" t="s">
        <v>51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SUM(Tabla110[Importa])</f>
        <v>1343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20</v>
      </c>
      <c r="M4" s="36" t="s">
        <v>64</v>
      </c>
      <c r="N4" s="36"/>
      <c r="O4" s="36"/>
      <c r="P4" s="36"/>
      <c r="Q4" s="36"/>
      <c r="R4" s="36"/>
    </row>
    <row r="5" spans="2:18" x14ac:dyDescent="0.25">
      <c r="B5" s="18">
        <f ca="1">IF(Tabla110[[#This Row],['#]]&lt;&gt;"", NOW(), "")</f>
        <v>45997.800870601852</v>
      </c>
      <c r="C5">
        <f t="shared" ref="C5:C68" si="0">IF(ISNUMBER(E5), IF(ISNUMBER(C4), C4+1, 1), "")</f>
        <v>1</v>
      </c>
      <c r="D5" t="s">
        <v>52</v>
      </c>
      <c r="E5">
        <v>1</v>
      </c>
      <c r="F5">
        <v>54</v>
      </c>
      <c r="G5" t="s">
        <v>27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49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45997.800870601852</v>
      </c>
      <c r="C6">
        <f t="shared" si="0"/>
        <v>2</v>
      </c>
      <c r="D6" t="s">
        <v>53</v>
      </c>
      <c r="E6">
        <v>1</v>
      </c>
      <c r="F6">
        <v>35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35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45997.800870601852</v>
      </c>
      <c r="C7">
        <f t="shared" si="0"/>
        <v>3</v>
      </c>
      <c r="D7" t="s">
        <v>54</v>
      </c>
      <c r="E7">
        <v>1</v>
      </c>
      <c r="F7">
        <v>27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27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45997.800870601852</v>
      </c>
      <c r="C8">
        <f t="shared" si="0"/>
        <v>4</v>
      </c>
      <c r="D8" t="s">
        <v>55</v>
      </c>
      <c r="E8">
        <v>1</v>
      </c>
      <c r="F8">
        <v>70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70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45997.800870601852</v>
      </c>
      <c r="C9">
        <f t="shared" si="0"/>
        <v>5</v>
      </c>
      <c r="D9" t="s">
        <v>56</v>
      </c>
      <c r="E9">
        <v>20</v>
      </c>
      <c r="F9">
        <v>7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140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45997.800870601852</v>
      </c>
      <c r="C10">
        <f t="shared" si="0"/>
        <v>6</v>
      </c>
      <c r="D10" t="s">
        <v>57</v>
      </c>
      <c r="E10">
        <v>1</v>
      </c>
      <c r="F10">
        <v>50</v>
      </c>
      <c r="G10" t="s">
        <v>27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45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45997.800870601852</v>
      </c>
      <c r="C11">
        <f t="shared" si="0"/>
        <v>7</v>
      </c>
      <c r="D11" t="s">
        <v>58</v>
      </c>
      <c r="E11">
        <v>1</v>
      </c>
      <c r="F11">
        <v>15</v>
      </c>
      <c r="G11" t="s">
        <v>27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13.5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45997.800870601852</v>
      </c>
      <c r="C12">
        <f t="shared" si="0"/>
        <v>8</v>
      </c>
      <c r="D12" t="s">
        <v>59</v>
      </c>
      <c r="E12">
        <v>1</v>
      </c>
      <c r="F12">
        <v>15</v>
      </c>
      <c r="G12" t="s">
        <v>27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13.5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45997.800870601852</v>
      </c>
      <c r="C13">
        <f t="shared" si="0"/>
        <v>9</v>
      </c>
      <c r="D13" t="s">
        <v>60</v>
      </c>
      <c r="E13">
        <v>1</v>
      </c>
      <c r="F13">
        <v>170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170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45997.800870601852</v>
      </c>
      <c r="C14">
        <f t="shared" si="0"/>
        <v>10</v>
      </c>
      <c r="D14" t="s">
        <v>61</v>
      </c>
      <c r="E14">
        <v>1</v>
      </c>
      <c r="F14">
        <v>15</v>
      </c>
      <c r="G14" t="s">
        <v>27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13.5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45997.800870601852</v>
      </c>
      <c r="C15">
        <f t="shared" si="0"/>
        <v>11</v>
      </c>
      <c r="D15" t="s">
        <v>63</v>
      </c>
      <c r="E15">
        <v>1</v>
      </c>
      <c r="F15">
        <v>67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67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45997.800870601852</v>
      </c>
      <c r="C16">
        <f t="shared" si="0"/>
        <v>12</v>
      </c>
      <c r="D16" t="s">
        <v>65</v>
      </c>
      <c r="E16">
        <v>1</v>
      </c>
      <c r="F16">
        <v>92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92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45997.800870601852</v>
      </c>
      <c r="C17">
        <f t="shared" si="0"/>
        <v>13</v>
      </c>
      <c r="D17" t="s">
        <v>66</v>
      </c>
      <c r="E17">
        <v>1</v>
      </c>
      <c r="F17">
        <v>56</v>
      </c>
      <c r="G17" t="s">
        <v>27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50.5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45997.800870601852</v>
      </c>
      <c r="C18">
        <f t="shared" si="0"/>
        <v>14</v>
      </c>
      <c r="D18" t="s">
        <v>60</v>
      </c>
      <c r="E18">
        <v>1</v>
      </c>
      <c r="F18">
        <v>170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170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45997.800870601852</v>
      </c>
      <c r="C19">
        <f t="shared" si="0"/>
        <v>15</v>
      </c>
      <c r="D19" t="s">
        <v>57</v>
      </c>
      <c r="E19">
        <v>1</v>
      </c>
      <c r="F19">
        <v>50</v>
      </c>
      <c r="G19" t="s">
        <v>27</v>
      </c>
      <c r="H19" s="5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>45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45997.800870601852</v>
      </c>
      <c r="C20">
        <f t="shared" si="0"/>
        <v>16</v>
      </c>
      <c r="D20" t="s">
        <v>67</v>
      </c>
      <c r="E20">
        <v>1</v>
      </c>
      <c r="F20">
        <v>50</v>
      </c>
      <c r="G20" t="s">
        <v>27</v>
      </c>
      <c r="H20" s="5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>45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45997.800870601852</v>
      </c>
      <c r="C21">
        <f t="shared" si="0"/>
        <v>17</v>
      </c>
      <c r="D21" t="s">
        <v>68</v>
      </c>
      <c r="E21">
        <v>1</v>
      </c>
      <c r="F21">
        <v>123</v>
      </c>
      <c r="H21" s="5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>123</v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45997.800870601852</v>
      </c>
      <c r="C22">
        <f t="shared" si="0"/>
        <v>18</v>
      </c>
      <c r="D22" t="s">
        <v>68</v>
      </c>
      <c r="E22">
        <v>1</v>
      </c>
      <c r="F22">
        <v>123</v>
      </c>
      <c r="G22" t="s">
        <v>27</v>
      </c>
      <c r="H22" s="5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>117</v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45997.800870601852</v>
      </c>
      <c r="C23">
        <f t="shared" si="0"/>
        <v>19</v>
      </c>
      <c r="D23" t="s">
        <v>69</v>
      </c>
      <c r="E23">
        <v>1</v>
      </c>
      <c r="F23">
        <v>45</v>
      </c>
      <c r="G23" t="s">
        <v>27</v>
      </c>
      <c r="H23" s="5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>40.5</v>
      </c>
    </row>
    <row r="24" spans="2:18" ht="15" customHeight="1" x14ac:dyDescent="0.25">
      <c r="B24" s="18">
        <f ca="1">IF(Tabla1[[#This Row],['#]]&lt;&gt;"", NOW(), "")</f>
        <v>45997.800870601852</v>
      </c>
      <c r="C24">
        <f t="shared" si="0"/>
        <v>20</v>
      </c>
      <c r="D24" t="s">
        <v>70</v>
      </c>
      <c r="E24">
        <v>1</v>
      </c>
      <c r="F24">
        <v>18</v>
      </c>
      <c r="G24" t="s">
        <v>27</v>
      </c>
      <c r="H24" s="5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>16.5</v>
      </c>
      <c r="M24" s="32" t="s">
        <v>19</v>
      </c>
      <c r="N24" s="42"/>
      <c r="O24" s="42"/>
      <c r="P24" s="42"/>
      <c r="Q24" s="42"/>
      <c r="R24" s="42"/>
    </row>
    <row r="25" spans="2:18" x14ac:dyDescent="0.25">
      <c r="B25" s="18">
        <f ca="1">IF(Tabla1[[#This Row],['#]]&lt;&gt;"", NOW(), "")</f>
        <v>45997.800870601852</v>
      </c>
      <c r="C25" t="str">
        <f t="shared" si="0"/>
        <v/>
      </c>
      <c r="H25" s="5" t="str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x14ac:dyDescent="0.25">
      <c r="B26" s="18">
        <f ca="1">IF(Tabla1[[#This Row],['#]]&lt;&gt;"", NOW(), "")</f>
        <v>45997.800870601852</v>
      </c>
      <c r="C26" t="str">
        <f t="shared" si="0"/>
        <v/>
      </c>
      <c r="H26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30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 t="s">
        <v>62</v>
      </c>
      <c r="N27" s="15">
        <v>3464</v>
      </c>
      <c r="O27" s="39"/>
      <c r="P27" s="40"/>
      <c r="Q27" s="40"/>
      <c r="R27" s="41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25" priority="1">
      <formula>C5&gt;0&amp;ISBLANK(B5)</formula>
    </cfRule>
  </conditionalFormatting>
  <conditionalFormatting sqref="D5:D6">
    <cfRule type="expression" dxfId="2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workbookViewId="0">
      <selection activeCell="D24" sqref="D2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71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SUM(Tabla111[Importa])</f>
        <v>2405.5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19</v>
      </c>
      <c r="M4" s="36"/>
      <c r="N4" s="36"/>
      <c r="O4" s="36"/>
      <c r="P4" s="36"/>
      <c r="Q4" s="36"/>
      <c r="R4" s="36"/>
    </row>
    <row r="5" spans="2:18" x14ac:dyDescent="0.25">
      <c r="B5" s="18">
        <f ca="1">IF(Tabla111[[#This Row],['#]]&lt;&gt;"", NOW(), "")</f>
        <v>45997.800870601852</v>
      </c>
      <c r="C5">
        <f>IF(ISNUMBER(E5), IF(ISNUMBER(C4), C4+1, 1), "")</f>
        <v>1</v>
      </c>
      <c r="D5" t="s">
        <v>72</v>
      </c>
      <c r="E5">
        <v>1</v>
      </c>
      <c r="F5">
        <v>42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42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45997.800870601852</v>
      </c>
      <c r="C6">
        <f t="shared" ref="C6" si="0">IF(ISNUMBER(E6), IF(ISNUMBER(C5), C5+1, 1), "")</f>
        <v>2</v>
      </c>
      <c r="D6" t="s">
        <v>73</v>
      </c>
      <c r="E6">
        <v>1</v>
      </c>
      <c r="F6">
        <v>24</v>
      </c>
      <c r="G6" t="s">
        <v>27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22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45997.800870601852</v>
      </c>
      <c r="C7">
        <f>IF(ISNUMBER(E7), IF(ISNUMBER(C6), C6+1, 1), "")</f>
        <v>3</v>
      </c>
      <c r="D7" t="s">
        <v>74</v>
      </c>
      <c r="E7">
        <v>2</v>
      </c>
      <c r="F7">
        <v>30</v>
      </c>
      <c r="G7" t="s">
        <v>27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54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45997.800870601852</v>
      </c>
      <c r="C8">
        <f t="shared" ref="C8:C68" si="1">IF(ISNUMBER(E8), IF(ISNUMBER(C7), C7+1, 1), "")</f>
        <v>4</v>
      </c>
      <c r="D8" t="s">
        <v>75</v>
      </c>
      <c r="E8">
        <v>2</v>
      </c>
      <c r="F8">
        <v>8</v>
      </c>
      <c r="G8" t="s">
        <v>27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14.5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45997.800870601852</v>
      </c>
      <c r="C9">
        <f t="shared" si="1"/>
        <v>5</v>
      </c>
      <c r="D9" t="s">
        <v>76</v>
      </c>
      <c r="E9">
        <v>2</v>
      </c>
      <c r="F9">
        <v>8</v>
      </c>
      <c r="G9" t="s">
        <v>27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14.5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45997.800870601852</v>
      </c>
      <c r="C10">
        <f t="shared" si="1"/>
        <v>6</v>
      </c>
      <c r="D10" t="s">
        <v>77</v>
      </c>
      <c r="E10">
        <v>1</v>
      </c>
      <c r="F10">
        <v>15</v>
      </c>
      <c r="G10" t="s">
        <v>27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13.5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45997.800870601852</v>
      </c>
      <c r="C11">
        <f t="shared" si="1"/>
        <v>7</v>
      </c>
      <c r="D11" t="s">
        <v>78</v>
      </c>
      <c r="E11">
        <v>1</v>
      </c>
      <c r="F11">
        <v>430</v>
      </c>
      <c r="G11" t="s">
        <v>27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387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45997.800870601852</v>
      </c>
      <c r="C12">
        <f t="shared" si="1"/>
        <v>8</v>
      </c>
      <c r="D12" t="s">
        <v>79</v>
      </c>
      <c r="E12">
        <v>1</v>
      </c>
      <c r="F12">
        <v>180</v>
      </c>
      <c r="G12" t="s">
        <v>27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162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45997.800870601852</v>
      </c>
      <c r="C13">
        <f t="shared" si="1"/>
        <v>9</v>
      </c>
      <c r="D13" t="s">
        <v>80</v>
      </c>
      <c r="E13">
        <v>1</v>
      </c>
      <c r="F13">
        <v>220</v>
      </c>
      <c r="G13" t="s">
        <v>27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198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45997.800870601852</v>
      </c>
      <c r="C14">
        <f t="shared" si="1"/>
        <v>10</v>
      </c>
      <c r="D14" t="s">
        <v>81</v>
      </c>
      <c r="E14">
        <v>1</v>
      </c>
      <c r="F14">
        <v>135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135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45997.800870601852</v>
      </c>
      <c r="C15">
        <f t="shared" si="1"/>
        <v>11</v>
      </c>
      <c r="D15" t="s">
        <v>82</v>
      </c>
      <c r="E15">
        <v>1</v>
      </c>
      <c r="F15">
        <v>28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28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45997.800870601852</v>
      </c>
      <c r="C16">
        <f t="shared" si="1"/>
        <v>12</v>
      </c>
      <c r="D16" t="s">
        <v>83</v>
      </c>
      <c r="E16">
        <v>1</v>
      </c>
      <c r="F16">
        <v>970</v>
      </c>
      <c r="G16" t="s">
        <v>27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873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45997.800870601852</v>
      </c>
      <c r="C17">
        <f t="shared" si="1"/>
        <v>13</v>
      </c>
      <c r="D17" t="s">
        <v>84</v>
      </c>
      <c r="E17">
        <v>2</v>
      </c>
      <c r="F17">
        <v>20</v>
      </c>
      <c r="G17" t="s">
        <v>27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36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45997.800870601852</v>
      </c>
      <c r="C18">
        <f t="shared" si="1"/>
        <v>14</v>
      </c>
      <c r="D18" t="s">
        <v>85</v>
      </c>
      <c r="E18">
        <v>2</v>
      </c>
      <c r="F18">
        <v>20</v>
      </c>
      <c r="G18" t="s">
        <v>27</v>
      </c>
      <c r="H18" s="5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>36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45997.800870601852</v>
      </c>
      <c r="C19">
        <f t="shared" si="1"/>
        <v>15</v>
      </c>
      <c r="D19" t="s">
        <v>86</v>
      </c>
      <c r="E19">
        <v>1</v>
      </c>
      <c r="F19">
        <v>123</v>
      </c>
      <c r="H19" s="5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>123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45997.800870601852</v>
      </c>
      <c r="C20">
        <f t="shared" si="1"/>
        <v>16</v>
      </c>
      <c r="D20" t="s">
        <v>87</v>
      </c>
      <c r="E20">
        <v>1</v>
      </c>
      <c r="F20">
        <v>85</v>
      </c>
      <c r="H20" s="5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>85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45997.800870601852</v>
      </c>
      <c r="C21">
        <f t="shared" si="1"/>
        <v>17</v>
      </c>
      <c r="D21" t="s">
        <v>88</v>
      </c>
      <c r="E21">
        <v>3</v>
      </c>
      <c r="F21">
        <v>5</v>
      </c>
      <c r="H21" s="5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>15</v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45997.800870601852</v>
      </c>
      <c r="C22">
        <f t="shared" si="1"/>
        <v>18</v>
      </c>
      <c r="D22" t="s">
        <v>89</v>
      </c>
      <c r="E22">
        <v>1</v>
      </c>
      <c r="F22">
        <v>82</v>
      </c>
      <c r="H22" s="5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>82</v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45997.800870601852</v>
      </c>
      <c r="C23">
        <f t="shared" si="1"/>
        <v>19</v>
      </c>
      <c r="D23" t="s">
        <v>90</v>
      </c>
      <c r="E23">
        <v>1</v>
      </c>
      <c r="F23">
        <v>85</v>
      </c>
      <c r="H23" s="5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>85</v>
      </c>
    </row>
    <row r="24" spans="2:18" ht="15" customHeight="1" x14ac:dyDescent="0.25">
      <c r="B24" s="18">
        <f ca="1">IF(Tabla1[[#This Row],['#]]&lt;&gt;"", NOW(), "")</f>
        <v>45997.800870601852</v>
      </c>
      <c r="C24" t="str">
        <f t="shared" si="1"/>
        <v/>
      </c>
      <c r="H24" s="5" t="str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x14ac:dyDescent="0.25">
      <c r="B25" s="18">
        <f ca="1">IF(Tabla1[[#This Row],['#]]&lt;&gt;"", NOW(), "")</f>
        <v>45997.800870601852</v>
      </c>
      <c r="C25" t="str">
        <f t="shared" si="1"/>
        <v/>
      </c>
      <c r="H25" s="5" t="str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45997.800870601852</v>
      </c>
      <c r="C26" t="str">
        <f t="shared" si="1"/>
        <v/>
      </c>
      <c r="H26" s="5" t="str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x14ac:dyDescent="0.25">
      <c r="B27" s="18" t="str">
        <f ca="1">IF(Tabla1[[#This Row],['#]]&lt;&gt;"", NOW(), "")</f>
        <v/>
      </c>
      <c r="C27" t="str">
        <f t="shared" si="1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x14ac:dyDescent="0.25">
      <c r="B28" s="18" t="str">
        <f ca="1">IF(Tabla1[[#This Row],['#]]&lt;&gt;"", NOW(), "")</f>
        <v/>
      </c>
      <c r="C28" t="str">
        <f t="shared" si="1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x14ac:dyDescent="0.25">
      <c r="B29" s="18" t="str">
        <f ca="1">IF(Tabla1[[#This Row],['#]]&lt;&gt;"", NOW(), "")</f>
        <v/>
      </c>
      <c r="C29" t="str">
        <f t="shared" si="1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x14ac:dyDescent="0.25">
      <c r="B30" s="18" t="str">
        <f ca="1">IF(Tabla1[[#This Row],['#]]&lt;&gt;"", NOW(), "")</f>
        <v/>
      </c>
      <c r="C30" t="str">
        <f t="shared" si="1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x14ac:dyDescent="0.25">
      <c r="B31" s="18" t="str">
        <f ca="1">IF(Tabla1[[#This Row],['#]]&lt;&gt;"", NOW(), "")</f>
        <v/>
      </c>
      <c r="C31" t="str">
        <f t="shared" si="1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x14ac:dyDescent="0.25">
      <c r="B32" s="18" t="str">
        <f ca="1">IF(Tabla1[[#This Row],['#]]&lt;&gt;"", NOW(), "")</f>
        <v/>
      </c>
      <c r="C32" t="str">
        <f t="shared" si="1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x14ac:dyDescent="0.25">
      <c r="B33" s="18" t="str">
        <f ca="1">IF(Tabla1[[#This Row],['#]]&lt;&gt;"", NOW(), "")</f>
        <v/>
      </c>
      <c r="C33" t="str">
        <f t="shared" si="1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x14ac:dyDescent="0.25">
      <c r="B34" s="18" t="str">
        <f ca="1">IF(Tabla1[[#This Row],['#]]&lt;&gt;"", NOW(), "")</f>
        <v/>
      </c>
      <c r="C34" t="str">
        <f t="shared" si="1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x14ac:dyDescent="0.25">
      <c r="B35" s="18" t="str">
        <f ca="1">IF(Tabla1[[#This Row],['#]]&lt;&gt;"", NOW(), "")</f>
        <v/>
      </c>
      <c r="C35" t="str">
        <f t="shared" si="1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x14ac:dyDescent="0.25">
      <c r="B36" s="18" t="str">
        <f ca="1">IF(Tabla1[[#This Row],['#]]&lt;&gt;"", NOW(), "")</f>
        <v/>
      </c>
      <c r="C36" t="str">
        <f t="shared" si="1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x14ac:dyDescent="0.25">
      <c r="B37" s="18" t="str">
        <f ca="1">IF(Tabla1[[#This Row],['#]]&lt;&gt;"", NOW(), "")</f>
        <v/>
      </c>
      <c r="C37" t="str">
        <f t="shared" si="1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21" priority="1">
      <formula>C5&gt;0&amp;ISBLANK(B5)</formula>
    </cfRule>
  </conditionalFormatting>
  <conditionalFormatting sqref="D5:D6">
    <cfRule type="expression" dxfId="2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M4" sqref="M4:R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34" t="s">
        <v>91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SUM(Tabla112[Importa])</f>
        <v>1658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15</v>
      </c>
      <c r="M4" s="36" t="s">
        <v>122</v>
      </c>
      <c r="N4" s="36"/>
      <c r="O4" s="36"/>
      <c r="P4" s="36"/>
      <c r="Q4" s="36"/>
      <c r="R4" s="36"/>
    </row>
    <row r="5" spans="2:18" x14ac:dyDescent="0.25">
      <c r="B5" s="18">
        <f ca="1">IF(Tabla112[[#This Row],['#]]&lt;&gt;"", NOW(), "")</f>
        <v>45997.800870601852</v>
      </c>
      <c r="C5">
        <f t="shared" ref="C5:C68" si="0">IF(ISNUMBER(E5), IF(ISNUMBER(C4), C4+1, 1), "")</f>
        <v>1</v>
      </c>
      <c r="D5" t="s">
        <v>86</v>
      </c>
      <c r="E5">
        <v>1</v>
      </c>
      <c r="F5">
        <v>123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123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45997.800870601852</v>
      </c>
      <c r="C6">
        <f t="shared" si="0"/>
        <v>2</v>
      </c>
      <c r="D6" t="s">
        <v>94</v>
      </c>
      <c r="E6">
        <v>1</v>
      </c>
      <c r="F6">
        <v>350</v>
      </c>
      <c r="G6" t="s">
        <v>27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315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45997.800870601852</v>
      </c>
      <c r="C7">
        <f t="shared" si="0"/>
        <v>3</v>
      </c>
      <c r="D7" t="s">
        <v>95</v>
      </c>
      <c r="E7">
        <v>1</v>
      </c>
      <c r="F7">
        <v>134</v>
      </c>
      <c r="G7" t="s">
        <v>27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121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45997.800870601852</v>
      </c>
      <c r="C8">
        <f t="shared" si="0"/>
        <v>4</v>
      </c>
      <c r="D8" t="s">
        <v>96</v>
      </c>
      <c r="E8">
        <v>1</v>
      </c>
      <c r="F8">
        <v>60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60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45997.800870601852</v>
      </c>
      <c r="C9">
        <f t="shared" si="0"/>
        <v>5</v>
      </c>
      <c r="D9" t="s">
        <v>97</v>
      </c>
      <c r="E9">
        <v>1</v>
      </c>
      <c r="F9">
        <v>161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161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45997.800870601852</v>
      </c>
      <c r="C10">
        <f t="shared" si="0"/>
        <v>6</v>
      </c>
      <c r="D10" t="s">
        <v>98</v>
      </c>
      <c r="E10">
        <v>1</v>
      </c>
      <c r="F10">
        <v>25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25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45997.800870601852</v>
      </c>
      <c r="C11">
        <f t="shared" si="0"/>
        <v>7</v>
      </c>
      <c r="D11" t="s">
        <v>99</v>
      </c>
      <c r="E11">
        <v>1</v>
      </c>
      <c r="F11">
        <v>42</v>
      </c>
      <c r="H11" s="5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>42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45997.800870601852</v>
      </c>
      <c r="C12">
        <f t="shared" si="0"/>
        <v>8</v>
      </c>
      <c r="D12" t="s">
        <v>100</v>
      </c>
      <c r="E12">
        <v>1</v>
      </c>
      <c r="F12">
        <v>88</v>
      </c>
      <c r="G12" t="s">
        <v>27</v>
      </c>
      <c r="H12" s="5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>79.5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45997.800870601852</v>
      </c>
      <c r="C13">
        <f t="shared" si="0"/>
        <v>9</v>
      </c>
      <c r="D13" t="s">
        <v>98</v>
      </c>
      <c r="E13">
        <v>1</v>
      </c>
      <c r="F13">
        <v>25</v>
      </c>
      <c r="H13" s="5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>25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45997.800870601852</v>
      </c>
      <c r="C14">
        <f t="shared" si="0"/>
        <v>10</v>
      </c>
      <c r="D14" t="s">
        <v>101</v>
      </c>
      <c r="E14">
        <v>1</v>
      </c>
      <c r="F14">
        <v>250</v>
      </c>
      <c r="H14" s="5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>250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45997.800870601852</v>
      </c>
      <c r="C15">
        <f t="shared" si="0"/>
        <v>11</v>
      </c>
      <c r="D15" t="s">
        <v>102</v>
      </c>
      <c r="E15">
        <v>1</v>
      </c>
      <c r="F15">
        <v>25</v>
      </c>
      <c r="H15" s="5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>25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45997.800870601852</v>
      </c>
      <c r="C16">
        <f t="shared" si="0"/>
        <v>12</v>
      </c>
      <c r="D16" t="s">
        <v>103</v>
      </c>
      <c r="E16">
        <v>1</v>
      </c>
      <c r="F16">
        <v>57</v>
      </c>
      <c r="H16" s="5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>57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45997.800870601852</v>
      </c>
      <c r="C17">
        <f t="shared" si="0"/>
        <v>13</v>
      </c>
      <c r="D17" t="s">
        <v>41</v>
      </c>
      <c r="E17">
        <v>1</v>
      </c>
      <c r="F17">
        <v>280</v>
      </c>
      <c r="G17" t="s">
        <v>27</v>
      </c>
      <c r="H17" s="5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>266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45997.800870601852</v>
      </c>
      <c r="C18">
        <f t="shared" si="0"/>
        <v>14</v>
      </c>
      <c r="D18" t="s">
        <v>105</v>
      </c>
      <c r="E18">
        <v>1</v>
      </c>
      <c r="F18">
        <v>57</v>
      </c>
      <c r="H18" s="5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>57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45997.800870601852</v>
      </c>
      <c r="C19">
        <f t="shared" si="0"/>
        <v>15</v>
      </c>
      <c r="D19" t="s">
        <v>103</v>
      </c>
      <c r="E19">
        <v>1</v>
      </c>
      <c r="F19">
        <v>57</v>
      </c>
      <c r="G19" t="s">
        <v>27</v>
      </c>
      <c r="H19" s="5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>51.5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45997.800870601852</v>
      </c>
      <c r="C20" t="str">
        <f t="shared" si="0"/>
        <v/>
      </c>
      <c r="H20" s="5" t="str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45997.800870601852</v>
      </c>
      <c r="C21" t="str">
        <f t="shared" si="0"/>
        <v/>
      </c>
      <c r="H21" s="5" t="str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45997.800870601852</v>
      </c>
      <c r="C22" t="str">
        <f t="shared" si="0"/>
        <v/>
      </c>
      <c r="H22" s="5" t="str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45997.800870601852</v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45997.800870601852</v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45997.800870601852</v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45997.800870601852</v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 t="s">
        <v>92</v>
      </c>
      <c r="N27" s="15">
        <v>66</v>
      </c>
      <c r="O27" s="39"/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 t="s">
        <v>93</v>
      </c>
      <c r="N28" s="15">
        <v>190</v>
      </c>
      <c r="O28" s="39"/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 t="s">
        <v>104</v>
      </c>
      <c r="N29" s="15">
        <v>1541</v>
      </c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 t="s">
        <v>106</v>
      </c>
      <c r="N30" s="15">
        <v>1797</v>
      </c>
      <c r="O30" s="39" t="s">
        <v>107</v>
      </c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7" priority="1">
      <formula>C5&gt;0&amp;ISBLANK(B5)</formula>
    </cfRule>
  </conditionalFormatting>
  <conditionalFormatting sqref="D5:D6">
    <cfRule type="expression" dxfId="1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M4" sqref="M4:R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34" t="s">
        <v>108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SUM(Tabla113[Importa])</f>
        <v>2158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20</v>
      </c>
      <c r="M4" s="36" t="s">
        <v>135</v>
      </c>
      <c r="N4" s="36"/>
      <c r="O4" s="36"/>
      <c r="P4" s="36"/>
      <c r="Q4" s="36"/>
      <c r="R4" s="36"/>
    </row>
    <row r="5" spans="2:18" x14ac:dyDescent="0.25">
      <c r="B5" s="18">
        <f ca="1">IF(Tabla113[[#This Row],['#]]&lt;&gt;"", NOW(), "")</f>
        <v>45997.800870601852</v>
      </c>
      <c r="C5">
        <f t="shared" ref="C5:C68" si="0">IF(ISNUMBER(E5), IF(ISNUMBER(C4), C4+1, 1), "")</f>
        <v>1</v>
      </c>
      <c r="D5" t="s">
        <v>86</v>
      </c>
      <c r="E5">
        <v>1</v>
      </c>
      <c r="F5">
        <v>123</v>
      </c>
      <c r="G5" t="s">
        <v>27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117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45997.800870601852</v>
      </c>
      <c r="C6">
        <f t="shared" si="0"/>
        <v>2</v>
      </c>
      <c r="D6" t="s">
        <v>111</v>
      </c>
      <c r="E6">
        <v>1</v>
      </c>
      <c r="F6">
        <v>29</v>
      </c>
      <c r="G6" t="s">
        <v>27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26.5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45997.800870601852</v>
      </c>
      <c r="C7">
        <f t="shared" si="0"/>
        <v>3</v>
      </c>
      <c r="D7" t="s">
        <v>109</v>
      </c>
      <c r="E7">
        <v>1</v>
      </c>
      <c r="F7">
        <v>280</v>
      </c>
      <c r="G7" t="s">
        <v>27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266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45997.800870601852</v>
      </c>
      <c r="C8">
        <f t="shared" si="0"/>
        <v>4</v>
      </c>
      <c r="D8" t="s">
        <v>110</v>
      </c>
      <c r="E8">
        <v>1</v>
      </c>
      <c r="F8">
        <v>70</v>
      </c>
      <c r="G8" t="s">
        <v>27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63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45997.800870601852</v>
      </c>
      <c r="C9">
        <f t="shared" si="0"/>
        <v>5</v>
      </c>
      <c r="D9" t="s">
        <v>112</v>
      </c>
      <c r="E9">
        <v>1</v>
      </c>
      <c r="F9">
        <v>90</v>
      </c>
      <c r="G9" t="s">
        <v>27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81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45997.800870601852</v>
      </c>
      <c r="C10">
        <f t="shared" si="0"/>
        <v>6</v>
      </c>
      <c r="D10" t="s">
        <v>123</v>
      </c>
      <c r="E10">
        <v>1</v>
      </c>
      <c r="F10">
        <v>32</v>
      </c>
      <c r="G10" t="s">
        <v>27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29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45997.800870601852</v>
      </c>
      <c r="C11">
        <f t="shared" si="0"/>
        <v>7</v>
      </c>
      <c r="D11" t="s">
        <v>88</v>
      </c>
      <c r="E11">
        <v>1</v>
      </c>
      <c r="F11">
        <v>5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5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45997.800870601852</v>
      </c>
      <c r="C12">
        <f t="shared" si="0"/>
        <v>8</v>
      </c>
      <c r="D12" t="s">
        <v>124</v>
      </c>
      <c r="E12">
        <v>1</v>
      </c>
      <c r="F12">
        <v>90</v>
      </c>
      <c r="G12" t="s">
        <v>27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81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45997.800870601852</v>
      </c>
      <c r="C13">
        <f t="shared" si="0"/>
        <v>9</v>
      </c>
      <c r="D13" t="s">
        <v>125</v>
      </c>
      <c r="E13">
        <v>1</v>
      </c>
      <c r="F13">
        <v>590</v>
      </c>
      <c r="G13" t="s">
        <v>27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531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45997.800870601852</v>
      </c>
      <c r="C14">
        <f t="shared" si="0"/>
        <v>10</v>
      </c>
      <c r="D14" t="s">
        <v>126</v>
      </c>
      <c r="E14">
        <v>1</v>
      </c>
      <c r="F14">
        <v>120</v>
      </c>
      <c r="G14" t="s">
        <v>27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108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45997.800870601852</v>
      </c>
      <c r="C15">
        <f t="shared" si="0"/>
        <v>11</v>
      </c>
      <c r="D15" t="s">
        <v>86</v>
      </c>
      <c r="E15">
        <v>1</v>
      </c>
      <c r="F15">
        <v>123</v>
      </c>
      <c r="G15" t="s">
        <v>27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117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45997.800870601852</v>
      </c>
      <c r="C16">
        <f t="shared" si="0"/>
        <v>12</v>
      </c>
      <c r="D16" t="s">
        <v>127</v>
      </c>
      <c r="E16">
        <v>1</v>
      </c>
      <c r="F16">
        <v>28</v>
      </c>
      <c r="G16" t="s">
        <v>27</v>
      </c>
      <c r="H16" s="5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>25.5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45997.800870601852</v>
      </c>
      <c r="C17">
        <f t="shared" si="0"/>
        <v>13</v>
      </c>
      <c r="D17" t="s">
        <v>128</v>
      </c>
      <c r="E17">
        <v>1</v>
      </c>
      <c r="F17">
        <v>78</v>
      </c>
      <c r="G17" t="s">
        <v>27</v>
      </c>
      <c r="H17" s="5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>70.5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45997.800870601852</v>
      </c>
      <c r="C18">
        <f t="shared" si="0"/>
        <v>14</v>
      </c>
      <c r="D18" t="s">
        <v>129</v>
      </c>
      <c r="E18">
        <v>1</v>
      </c>
      <c r="F18">
        <v>62</v>
      </c>
      <c r="G18" t="s">
        <v>27</v>
      </c>
      <c r="H18" s="5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>56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45997.800870601852</v>
      </c>
      <c r="C19">
        <f t="shared" si="0"/>
        <v>15</v>
      </c>
      <c r="D19" t="s">
        <v>130</v>
      </c>
      <c r="E19">
        <v>3</v>
      </c>
      <c r="F19">
        <v>42</v>
      </c>
      <c r="G19" t="s">
        <v>27</v>
      </c>
      <c r="H19" s="5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>113.5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45997.800870601852</v>
      </c>
      <c r="C20">
        <f t="shared" si="0"/>
        <v>16</v>
      </c>
      <c r="D20" t="s">
        <v>131</v>
      </c>
      <c r="E20">
        <v>1</v>
      </c>
      <c r="F20">
        <v>40</v>
      </c>
      <c r="G20" t="s">
        <v>27</v>
      </c>
      <c r="H20" s="5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>36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45997.800870601852</v>
      </c>
      <c r="C21">
        <f t="shared" si="0"/>
        <v>17</v>
      </c>
      <c r="D21" t="s">
        <v>88</v>
      </c>
      <c r="E21">
        <v>2</v>
      </c>
      <c r="F21">
        <v>5</v>
      </c>
      <c r="H21" s="5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>10</v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45997.800870601852</v>
      </c>
      <c r="C22">
        <f t="shared" si="0"/>
        <v>18</v>
      </c>
      <c r="D22" t="s">
        <v>132</v>
      </c>
      <c r="E22">
        <v>1</v>
      </c>
      <c r="F22">
        <v>30</v>
      </c>
      <c r="G22" t="s">
        <v>27</v>
      </c>
      <c r="H22" s="5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>27</v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45997.800870601852</v>
      </c>
      <c r="C23">
        <f t="shared" si="0"/>
        <v>19</v>
      </c>
      <c r="D23" t="s">
        <v>133</v>
      </c>
      <c r="E23">
        <v>1</v>
      </c>
      <c r="F23">
        <v>155</v>
      </c>
      <c r="H23" s="5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>155</v>
      </c>
    </row>
    <row r="24" spans="2:18" ht="15" customHeight="1" x14ac:dyDescent="0.25">
      <c r="B24" s="18">
        <f ca="1">IF(Tabla1[[#This Row],['#]]&lt;&gt;"", NOW(), "")</f>
        <v>45997.800870601852</v>
      </c>
      <c r="C24">
        <f t="shared" si="0"/>
        <v>20</v>
      </c>
      <c r="D24" t="s">
        <v>134</v>
      </c>
      <c r="E24">
        <v>1</v>
      </c>
      <c r="F24">
        <v>240</v>
      </c>
      <c r="H24" s="5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>240</v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45997.800870601852</v>
      </c>
      <c r="C25" t="str">
        <f t="shared" si="0"/>
        <v/>
      </c>
      <c r="H25" s="5" t="str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45997.800870601852</v>
      </c>
      <c r="C26" t="str">
        <f t="shared" si="0"/>
        <v/>
      </c>
      <c r="H26" s="5" t="str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/>
      </c>
      <c r="M27" s="13" t="s">
        <v>113</v>
      </c>
      <c r="N27" s="15">
        <v>417</v>
      </c>
      <c r="O27" s="39" t="s">
        <v>114</v>
      </c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/>
      </c>
      <c r="M28" s="13" t="s">
        <v>115</v>
      </c>
      <c r="N28" s="15">
        <v>250</v>
      </c>
      <c r="O28" s="39" t="s">
        <v>114</v>
      </c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/>
      </c>
      <c r="M29" s="13" t="s">
        <v>116</v>
      </c>
      <c r="N29" s="15">
        <v>3464</v>
      </c>
      <c r="O29" s="39" t="s">
        <v>117</v>
      </c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 t="s">
        <v>118</v>
      </c>
      <c r="N30" s="15">
        <v>1797</v>
      </c>
      <c r="O30" s="39" t="s">
        <v>119</v>
      </c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 t="s">
        <v>121</v>
      </c>
      <c r="N31" s="15">
        <v>1500</v>
      </c>
      <c r="O31" s="39" t="s">
        <v>120</v>
      </c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 t="s">
        <v>106</v>
      </c>
      <c r="N32" s="15">
        <v>7428</v>
      </c>
      <c r="O32" s="39" t="s">
        <v>107</v>
      </c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D19" sqref="D19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136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SUM(Tabla114[Importa])</f>
        <v>2303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14</v>
      </c>
      <c r="M4" s="36" t="s">
        <v>149</v>
      </c>
      <c r="N4" s="36"/>
      <c r="O4" s="36"/>
      <c r="P4" s="36"/>
      <c r="Q4" s="36"/>
      <c r="R4" s="36"/>
    </row>
    <row r="5" spans="2:18" x14ac:dyDescent="0.25">
      <c r="B5" s="18">
        <f ca="1">IF(Tabla114[[#This Row],['#]]&lt;&gt;"", NOW(), "")</f>
        <v>45997.800870601852</v>
      </c>
      <c r="C5">
        <f t="shared" ref="C5:C68" si="0">IF(ISNUMBER(E5), IF(ISNUMBER(C4), C4+1, 1), "")</f>
        <v>1</v>
      </c>
      <c r="D5" t="s">
        <v>57</v>
      </c>
      <c r="E5">
        <v>1</v>
      </c>
      <c r="F5">
        <v>50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50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45997.800870601852</v>
      </c>
      <c r="C6">
        <f t="shared" si="0"/>
        <v>2</v>
      </c>
      <c r="D6" t="s">
        <v>137</v>
      </c>
      <c r="E6">
        <v>1</v>
      </c>
      <c r="F6">
        <v>135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135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45997.800870601852</v>
      </c>
      <c r="C7">
        <f t="shared" si="0"/>
        <v>3</v>
      </c>
      <c r="D7" t="s">
        <v>138</v>
      </c>
      <c r="E7">
        <v>6</v>
      </c>
      <c r="F7">
        <v>15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90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45997.800870601852</v>
      </c>
      <c r="C8">
        <f t="shared" si="0"/>
        <v>4</v>
      </c>
      <c r="D8" t="s">
        <v>88</v>
      </c>
      <c r="E8">
        <v>5</v>
      </c>
      <c r="F8">
        <v>5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25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45997.800870601852</v>
      </c>
      <c r="C9">
        <f t="shared" si="0"/>
        <v>5</v>
      </c>
      <c r="D9" t="s">
        <v>139</v>
      </c>
      <c r="E9">
        <v>1</v>
      </c>
      <c r="F9">
        <v>30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30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45997.800870601852</v>
      </c>
      <c r="C10">
        <f t="shared" si="0"/>
        <v>6</v>
      </c>
      <c r="D10" t="s">
        <v>140</v>
      </c>
      <c r="E10">
        <v>2</v>
      </c>
      <c r="F10">
        <v>15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30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45997.800870601852</v>
      </c>
      <c r="C11">
        <f t="shared" si="0"/>
        <v>7</v>
      </c>
      <c r="D11" t="s">
        <v>141</v>
      </c>
      <c r="E11">
        <v>2</v>
      </c>
      <c r="F11">
        <v>320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640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45997.800870601852</v>
      </c>
      <c r="C12">
        <f t="shared" si="0"/>
        <v>8</v>
      </c>
      <c r="D12" t="s">
        <v>142</v>
      </c>
      <c r="E12">
        <v>1</v>
      </c>
      <c r="F12">
        <v>350</v>
      </c>
      <c r="G12" t="s">
        <v>27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315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45997.800870601852</v>
      </c>
      <c r="C13">
        <f t="shared" si="0"/>
        <v>9</v>
      </c>
      <c r="D13" t="s">
        <v>143</v>
      </c>
      <c r="E13">
        <v>1</v>
      </c>
      <c r="F13">
        <v>96</v>
      </c>
      <c r="G13" t="s">
        <v>27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86.5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45997.800870601852</v>
      </c>
      <c r="C14">
        <f t="shared" si="0"/>
        <v>10</v>
      </c>
      <c r="D14" t="s">
        <v>144</v>
      </c>
      <c r="E14">
        <v>1</v>
      </c>
      <c r="F14">
        <v>55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55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45997.800870601852</v>
      </c>
      <c r="C15">
        <f t="shared" si="0"/>
        <v>11</v>
      </c>
      <c r="D15" t="s">
        <v>145</v>
      </c>
      <c r="E15">
        <v>1</v>
      </c>
      <c r="F15">
        <v>130</v>
      </c>
      <c r="G15" t="s">
        <v>27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117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45997.800870601852</v>
      </c>
      <c r="C16">
        <f t="shared" si="0"/>
        <v>12</v>
      </c>
      <c r="D16" t="s">
        <v>146</v>
      </c>
      <c r="E16">
        <v>4</v>
      </c>
      <c r="F16">
        <v>27</v>
      </c>
      <c r="G16" t="s">
        <v>27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97.5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45997.800870601852</v>
      </c>
      <c r="C17">
        <f t="shared" si="0"/>
        <v>13</v>
      </c>
      <c r="D17" t="s">
        <v>147</v>
      </c>
      <c r="E17">
        <v>1</v>
      </c>
      <c r="F17">
        <v>590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590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45997.800870601852</v>
      </c>
      <c r="C18">
        <f t="shared" si="0"/>
        <v>14</v>
      </c>
      <c r="D18" t="s">
        <v>148</v>
      </c>
      <c r="E18">
        <v>1</v>
      </c>
      <c r="F18">
        <v>42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42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45997.800870601852</v>
      </c>
      <c r="C19" t="str">
        <f t="shared" si="0"/>
        <v/>
      </c>
      <c r="H19" s="5" t="str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45997.800870601852</v>
      </c>
      <c r="C20" t="str">
        <f t="shared" si="0"/>
        <v/>
      </c>
      <c r="H20" s="5" t="str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45997.800870601852</v>
      </c>
      <c r="C21" t="str">
        <f t="shared" si="0"/>
        <v/>
      </c>
      <c r="H21" s="5" t="str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45997.800870601852</v>
      </c>
      <c r="C22" t="str">
        <f t="shared" si="0"/>
        <v/>
      </c>
      <c r="H22" s="5" t="str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45997.800870601852</v>
      </c>
      <c r="C23" t="str">
        <f t="shared" si="0"/>
        <v/>
      </c>
      <c r="H23" s="5" t="str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45997.800870601852</v>
      </c>
      <c r="C24" t="str">
        <f t="shared" si="0"/>
        <v/>
      </c>
      <c r="H24" s="5" t="str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45997.800870601852</v>
      </c>
      <c r="C25" t="str">
        <f t="shared" si="0"/>
        <v/>
      </c>
      <c r="H25" s="5" t="str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45997.800870601852</v>
      </c>
      <c r="C26" t="str">
        <f t="shared" si="0"/>
        <v/>
      </c>
      <c r="H26" s="5" t="str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14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SUM(Tabla115[Importa])</f>
        <v>0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0</v>
      </c>
      <c r="M4" s="36"/>
      <c r="N4" s="36"/>
      <c r="O4" s="36"/>
      <c r="P4" s="36"/>
      <c r="Q4" s="36"/>
      <c r="R4" s="36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45997.800870601852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45997.800870601852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45997.800870601852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45997.800870601852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45997.800870601852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45997.800870601852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45997.800870601852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45997.800870601852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45997.800870601852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45997.800870601852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45997.800870601852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45997.800870601852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45997.800870601852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45997.800870601852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45997.800870601852</v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45997.800870601852</v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>
        <f ca="1">IF(Tabla1[[#This Row],['#]]&lt;&gt;"", NOW(), "")</f>
        <v>45997.800870601852</v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>
        <f ca="1">IF(Tabla1[[#This Row],['#]]&lt;&gt;"", NOW(), "")</f>
        <v>45997.800870601852</v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45997.800870601852</v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>
        <f ca="1">IF(Tabla1[[#This Row],['#]]&lt;&gt;"", NOW(), "")</f>
        <v>45997.800870601852</v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>
        <f ca="1">IF(Tabla1[[#This Row],['#]]&lt;&gt;"", NOW(), "")</f>
        <v>45997.800870601852</v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8</v>
      </c>
      <c r="C3" t="s">
        <v>9</v>
      </c>
      <c r="D3" t="s">
        <v>10</v>
      </c>
    </row>
    <row r="4" spans="2:5" ht="30" x14ac:dyDescent="0.25">
      <c r="B4" s="4" t="s">
        <v>12</v>
      </c>
      <c r="C4" s="2">
        <v>45576</v>
      </c>
      <c r="D4" s="3">
        <v>1.1000000000000001</v>
      </c>
      <c r="E4" s="3"/>
    </row>
    <row r="5" spans="2:5" ht="45" x14ac:dyDescent="0.25">
      <c r="B5" s="7" t="s">
        <v>16</v>
      </c>
      <c r="C5" s="3" t="s">
        <v>13</v>
      </c>
      <c r="D5" s="3">
        <v>1.2</v>
      </c>
      <c r="E5" s="3"/>
    </row>
    <row r="6" spans="2:5" ht="30" x14ac:dyDescent="0.25">
      <c r="B6" s="7" t="s">
        <v>24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01-12-25</vt:lpstr>
      <vt:lpstr>Martes 02-12-25</vt:lpstr>
      <vt:lpstr>Miercoles 03-12-25</vt:lpstr>
      <vt:lpstr>Jueves 04-12-25</vt:lpstr>
      <vt:lpstr>Viernes 05-12-25</vt:lpstr>
      <vt:lpstr>Sabado 06-12-25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2025-12-07T01:14:09Z</dcterms:modified>
</cp:coreProperties>
</file>