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04BEB426-5143-4554-859D-7FB4F803770F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" sheetId="1" r:id="rId1"/>
    <sheet name="Martes 16-12-25" sheetId="2" r:id="rId2"/>
    <sheet name="Miercoles 17-12-25" sheetId="3" r:id="rId3"/>
    <sheet name="Jueves 18-12-25" sheetId="4" r:id="rId4"/>
    <sheet name="Viernes 19-12-25" sheetId="5" r:id="rId5"/>
    <sheet name="Sabado 20-12-25" sheetId="6" r:id="rId6"/>
    <sheet name="Domingo" sheetId="8" r:id="rId7"/>
    <sheet name="Cambios" sheetId="7" r:id="rId8"/>
  </sheets>
  <definedNames>
    <definedName name="_xlnm._FilterDatabase" localSheetId="0" hidden="1">Lunes!$B$4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C24" i="1" l="1"/>
  <c r="K4" i="8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24" i="2" l="1"/>
  <c r="C25" i="1"/>
  <c r="B9" i="5"/>
  <c r="B9" i="6"/>
  <c r="B9" i="8"/>
  <c r="B9" i="3"/>
  <c r="B9" i="4"/>
  <c r="C10" i="1"/>
  <c r="B10" i="2" s="1"/>
  <c r="B9" i="1"/>
  <c r="K3" i="1"/>
  <c r="B25" i="2" l="1"/>
  <c r="C26" i="1"/>
  <c r="B25" i="5"/>
  <c r="B25" i="4"/>
  <c r="B25" i="6"/>
  <c r="B25" i="8"/>
  <c r="B25" i="1"/>
  <c r="B25" i="3"/>
  <c r="B10" i="1"/>
  <c r="B10" i="6"/>
  <c r="B10" i="8"/>
  <c r="B10" i="5"/>
  <c r="B10" i="3"/>
  <c r="B10" i="4"/>
  <c r="B26" i="2" l="1"/>
  <c r="C27" i="1"/>
  <c r="B26" i="1"/>
  <c r="B26" i="3"/>
  <c r="B26" i="6"/>
  <c r="B26" i="4"/>
  <c r="B26" i="8"/>
  <c r="B26" i="5"/>
  <c r="B27" i="2" l="1"/>
  <c r="C28" i="1"/>
  <c r="B27" i="5"/>
  <c r="B27" i="3"/>
  <c r="B27" i="1"/>
  <c r="B27" i="6"/>
  <c r="B27" i="8"/>
  <c r="B27" i="4"/>
  <c r="B28" i="2" l="1"/>
  <c r="C29" i="1"/>
  <c r="B28" i="5"/>
  <c r="B28" i="3"/>
  <c r="B28" i="8"/>
  <c r="B28" i="1"/>
  <c r="B28" i="4"/>
  <c r="B28" i="6"/>
  <c r="B29" i="2" l="1"/>
  <c r="B29" i="8"/>
  <c r="B29" i="1"/>
  <c r="B29" i="3"/>
  <c r="B29" i="5"/>
  <c r="B29" i="4"/>
  <c r="B29" i="6"/>
  <c r="K4" i="1"/>
</calcChain>
</file>

<file path=xl/sharedStrings.xml><?xml version="1.0" encoding="utf-8"?>
<sst xmlns="http://schemas.openxmlformats.org/spreadsheetml/2006/main" count="328" uniqueCount="145">
  <si>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</si>
  <si>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</si>
  <si>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</si>
  <si>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</si>
  <si>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</si>
  <si>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</si>
  <si>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</si>
  <si>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</si>
  <si>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</si>
  <si>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</si>
  <si>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</si>
  <si>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</si>
  <si>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</si>
  <si>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</si>
  <si>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</si>
  <si>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</si>
  <si>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</si>
  <si>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</si>
  <si>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</si>
  <si>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</si>
  <si>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</si>
  <si>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</si>
  <si>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</si>
  <si>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</si>
  <si>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</si>
  <si>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15 DE DICIEMBRE-25</t>
  </si>
  <si>
    <t xml:space="preserve">CLAXON </t>
  </si>
  <si>
    <t xml:space="preserve">FOCO DE STOP </t>
  </si>
  <si>
    <t>CALIPER MERCADO LIBRE</t>
  </si>
  <si>
    <t xml:space="preserve">AGINALDO DE YAS </t>
  </si>
  <si>
    <t xml:space="preserve">CUENTA SEMANA PASADA $ 29606 MENOS $ 1060 DE CALIPER QUEDA $ 28546 MENOS $ 3000 DE AGINALDO DE YAS QUEDA $ 25546 
Y DE LA NOTA 7 SE TOMARON 600 PARA ACOMPLETAR EL AGINALDO DE YAS </t>
  </si>
  <si>
    <t xml:space="preserve"> JUNTA DEL CLUTH DS150</t>
  </si>
  <si>
    <t>X</t>
  </si>
  <si>
    <t>GUIA TENSORA CADENA DS150</t>
  </si>
  <si>
    <t>BOMBA DE ACEI DS150</t>
  </si>
  <si>
    <t>CADENA DE DISTRIBUCCIN DS150</t>
  </si>
  <si>
    <t>ARBOL DE LEVAS DS150</t>
  </si>
  <si>
    <t>KIND DE PISTON WS150</t>
  </si>
  <si>
    <t>BALANCIN SUPERIOS DS150</t>
  </si>
  <si>
    <t>CHICOTE DE ACELERADO WS150 SPORT</t>
  </si>
  <si>
    <t>CHICOTE DE ACELERADOR DS150</t>
  </si>
  <si>
    <t>BALERO 6004</t>
  </si>
  <si>
    <t>CHICOT DE FRENO TRASERO WS150</t>
  </si>
  <si>
    <t>STIKER</t>
  </si>
  <si>
    <t>CAMARA 3.00.18</t>
  </si>
  <si>
    <t>CHICOTE DE ACELERADOR FT150</t>
  </si>
  <si>
    <t>MANIJA DE DERECHA YBR125</t>
  </si>
  <si>
    <t>CABLE SUELTO</t>
  </si>
  <si>
    <t xml:space="preserve">BALATA DE DISCO DS150 </t>
  </si>
  <si>
    <t>MANUBRIO UNIVERSAL</t>
  </si>
  <si>
    <t>BASE DE MANUBRIO</t>
  </si>
  <si>
    <t>BALATA DE DM250</t>
  </si>
  <si>
    <t>FUNDA PARA MOTO</t>
  </si>
  <si>
    <t>Martes 16 DE DICIEMBRE-25</t>
  </si>
  <si>
    <t xml:space="preserve">PEDIDO OSCAR </t>
  </si>
  <si>
    <t>CUENTA SEMANA PASADA $ 25546 MENOS $ 4006 PEDIDO DE OSCAR QUEDA $ 21540</t>
  </si>
  <si>
    <t>MANIJA IZQUIERDA FT150</t>
  </si>
  <si>
    <t>BALATA DE DISCO ATV 150</t>
  </si>
  <si>
    <t>FOCO DE STOP</t>
  </si>
  <si>
    <t>MANIJAS DE LUJO PLATEADAS</t>
  </si>
  <si>
    <t xml:space="preserve">LIQUIDO DE FRENO </t>
  </si>
  <si>
    <t>CHICOTE DE CLUTH PULSAR 200MS</t>
  </si>
  <si>
    <t>CHICOTE DE CLUTH UNIVERSAL</t>
  </si>
  <si>
    <t>AORCADOR UNIVERSAL CLUTH</t>
  </si>
  <si>
    <t>FILTO DE GASOLINA VIDRIO</t>
  </si>
  <si>
    <t xml:space="preserve">DIRECCINALES </t>
  </si>
  <si>
    <t>BALERO 6202</t>
  </si>
  <si>
    <t>BALERO 6302</t>
  </si>
  <si>
    <t>BALATA DE DISCO DS150 NASAKI</t>
  </si>
  <si>
    <t>SEGURO DE PIÑON</t>
  </si>
  <si>
    <t>Miercoles 17 DE DICIEMBRE-25</t>
  </si>
  <si>
    <t>CHICOTE DE CLUHT UNIVERSAL</t>
  </si>
  <si>
    <t>AORCADOR UNIVERSAL</t>
  </si>
  <si>
    <t>CHICOTE DE FRENO DELANTERO ATV</t>
  </si>
  <si>
    <t>FILTRO DE AIRE DM200</t>
  </si>
  <si>
    <t>BUJIA D8</t>
  </si>
  <si>
    <t>BIJIA C7</t>
  </si>
  <si>
    <t>FILTRO DE GASOLINA CARTON</t>
  </si>
  <si>
    <t xml:space="preserve">BALATA DE TAMBOR </t>
  </si>
  <si>
    <t>SELLOS DE VALVULA DS150</t>
  </si>
  <si>
    <t>GUANTES MOTOCICLETA</t>
  </si>
  <si>
    <t>FILTRO DE GASOLINA VIDRIO</t>
  </si>
  <si>
    <t>FILTRO DE GASOLINA PIEDRA</t>
  </si>
  <si>
    <t>TROMPA DE ELEFANTE DS150</t>
  </si>
  <si>
    <t>ESPEJOS FT150</t>
  </si>
  <si>
    <t>ACEITE REPSOL</t>
  </si>
  <si>
    <t>RENTA Y INTERNET</t>
  </si>
  <si>
    <t>JUNTA DE CABEZA DS150</t>
  </si>
  <si>
    <t>CUENTA SEMANA PASADA $ 21540 MENOS $ 1550 DE RENTA Y INTERNET QUEDA $ 19990</t>
  </si>
  <si>
    <t>MANIJA IZQUIERDA DM200 COMPLETA</t>
  </si>
  <si>
    <t>LLANTA 3.50.10</t>
  </si>
  <si>
    <t>ACEITE AKRON</t>
  </si>
  <si>
    <t>B UJIA D8</t>
  </si>
  <si>
    <t>BALATA DE TAMBOR CHICO DE ITALIKA</t>
  </si>
  <si>
    <t>FILTROS DE DE GASOLINA CARTON</t>
  </si>
  <si>
    <t>FILTRO DE ACEITE GNS125</t>
  </si>
  <si>
    <t>FILTRO DE ACEITE FZ.16</t>
  </si>
  <si>
    <t>ACEITE MOTUL 7100-10W-40</t>
  </si>
  <si>
    <t>Jueves 18 DE DICIEMBRE-25</t>
  </si>
  <si>
    <t xml:space="preserve">TORNILLOS </t>
  </si>
  <si>
    <t>CHICOTE DE CLUTH FT125</t>
  </si>
  <si>
    <t>PEDIDO ERCADO</t>
  </si>
  <si>
    <t xml:space="preserve">CUENTA DE AYER $ 19990 MENOS$2411 DE PEDIDO DE MERCADO LIBRE QUEDA $ 17579 </t>
  </si>
  <si>
    <t xml:space="preserve">ESCAPE </t>
  </si>
  <si>
    <t>BUJIA C7</t>
  </si>
  <si>
    <t>FILTRO DE AIRE WS175</t>
  </si>
  <si>
    <t>FILTRO DE AIRE D150</t>
  </si>
  <si>
    <t>Viernes 19 DE DICIEMBRE-25</t>
  </si>
  <si>
    <t>CALIPER</t>
  </si>
  <si>
    <t>LUNES 15 DE DICIEMBRE-25</t>
  </si>
  <si>
    <t>AGINALDO</t>
  </si>
  <si>
    <t>P.OSCAR</t>
  </si>
  <si>
    <t>MARTES 16 DE DICIEMBRE-25</t>
  </si>
  <si>
    <t>RENTA</t>
  </si>
  <si>
    <t>MIERCOLES 17 DE DICIEMBRE-25</t>
  </si>
  <si>
    <t>MERCADO</t>
  </si>
  <si>
    <t>JUEVES 18 DE DICIEMBRE-25</t>
  </si>
  <si>
    <t>P.NASAKI</t>
  </si>
  <si>
    <t>VIERNES 19 DE DICIEMBRE-25</t>
  </si>
  <si>
    <t>PAGOYAS</t>
  </si>
  <si>
    <t>TOTAL</t>
  </si>
  <si>
    <t xml:space="preserve">TOTAL DE EGRESOS </t>
  </si>
  <si>
    <t>ESTIKER</t>
  </si>
  <si>
    <t>PIÑON DE SPROKET</t>
  </si>
  <si>
    <t>CADENA 428 SENCILLA X 126</t>
  </si>
  <si>
    <t>PILA QLINK YTX 4</t>
  </si>
  <si>
    <t>FOCO H4 LED</t>
  </si>
  <si>
    <t>MANIJA DERECHA FT125</t>
  </si>
  <si>
    <t>CHICOTE DE CLUTH DM200</t>
  </si>
  <si>
    <t>ESPEJOS DE 250Z</t>
  </si>
  <si>
    <t>Sabado 20 DE DICIEMBRE-25</t>
  </si>
  <si>
    <t xml:space="preserve">RESORTE DE LA PATA </t>
  </si>
  <si>
    <t>ACEITE MOTUL 5000 20-W-50</t>
  </si>
  <si>
    <t>MANIJAS DE LUJO PALTEADAS</t>
  </si>
  <si>
    <t>GUANTES NEGROS TALLA L</t>
  </si>
  <si>
    <t>ACEITE MOTUL 3000</t>
  </si>
  <si>
    <t>LLAVE DE GASOLINA WS150</t>
  </si>
  <si>
    <t>TUBO MOVIL DS150</t>
  </si>
  <si>
    <t xml:space="preserve">CARGADOR </t>
  </si>
  <si>
    <t xml:space="preserve">AJUSTADOR DE CADENA </t>
  </si>
  <si>
    <t>FILTRO DE ACEI FZ2.0</t>
  </si>
  <si>
    <t>FOCO DE PELLIZCO VERDE</t>
  </si>
  <si>
    <t xml:space="preserve">AUMENTO DE AMORTIGUADOR </t>
  </si>
  <si>
    <r>
      <rPr>
        <b/>
        <sz val="14"/>
        <color theme="1"/>
        <rFont val="Calibri"/>
        <family val="2"/>
        <scheme val="minor"/>
      </rPr>
      <t>CORTES DE LA SEMANA      SEMANA 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15 DE DICIEMBRE-25              $29606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$ 2191.5            MENOS $42045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16 DE DICIEMBRE-25          $ 000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$ 850     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17 DE DICIEMBRE-25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$ 2312.5   DANIEL DEJO $ 6000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18 DE DICIEMBRE-25  AGARRO $3768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$ 2225.5                  QUEDA $ 2232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19 DE DICIEMBRE-25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$1091.5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 xml:space="preserve">TOTAL $8671 
MENOS $ 8671 </t>
    </r>
    <r>
      <rPr>
        <b/>
        <sz val="11"/>
        <color theme="1"/>
        <rFont val="Calibri"/>
        <family val="2"/>
        <scheme val="minor"/>
      </rPr>
      <t>SE TOMO PARA ACOMPLETAR EL PEDIDO</t>
    </r>
    <r>
      <rPr>
        <b/>
        <sz val="16"/>
        <color theme="1"/>
        <rFont val="Calibri"/>
        <family val="2"/>
        <scheme val="minor"/>
      </rPr>
      <t xml:space="preserve">
QUEDA $ 0000
</t>
    </r>
    <r>
      <rPr>
        <b/>
        <sz val="18"/>
        <color rgb="FFFF0000"/>
        <rFont val="Calibri"/>
        <family val="2"/>
        <scheme val="minor"/>
      </rPr>
      <t>TOTAL EN CAJA $ 2232</t>
    </r>
    <r>
      <rPr>
        <b/>
        <sz val="22"/>
        <color theme="1"/>
        <rFont val="Calibri"/>
        <family val="2"/>
        <scheme val="minor"/>
      </rPr>
      <t xml:space="preserve">
</t>
    </r>
  </si>
  <si>
    <r>
      <t xml:space="preserve">CUENTA DE HOY SABADO $ 2612 MENOS $ 300 PAGO DE YAS QUEDA $ 2312 MAS LO DE AYER EN CAJA $ 2232
</t>
    </r>
    <r>
      <rPr>
        <b/>
        <sz val="24"/>
        <color rgb="FFFF0000"/>
        <rFont val="Calibri"/>
        <family val="2"/>
        <scheme val="minor"/>
      </rPr>
      <t>TOTAL EN CAJA $ 4544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</si>
</sst>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8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2191.5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24</v>
      </c>
      <c r="M4" s="36" t="s">
        <v>30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46011.785384259259</v>
      </c>
      <c r="C5">
        <f>IF(ISNUMBER(E5), IF(ISNUMBER(C4), C4+1, 1), "")</f>
        <v>1</v>
      </c>
      <c r="D5" t="s">
        <v>26</v>
      </c>
      <c r="E5">
        <v>1</v>
      </c>
      <c r="F5">
        <v>50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46011.785384259259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20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46011.785384259259</v>
      </c>
      <c r="C7">
        <f t="shared" si="0"/>
        <v>3</v>
      </c>
      <c r="D7" t="s">
        <v>31</v>
      </c>
      <c r="E7">
        <v>1</v>
      </c>
      <c r="F7">
        <v>34</v>
      </c>
      <c r="G7" t="s">
        <v>32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31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46011.785384259259</v>
      </c>
      <c r="C8">
        <f t="shared" si="0"/>
        <v>4</v>
      </c>
      <c r="D8" t="s">
        <v>33</v>
      </c>
      <c r="E8">
        <v>1</v>
      </c>
      <c r="F8">
        <v>48</v>
      </c>
      <c r="G8" t="s">
        <v>32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43.5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46011.785384259259</v>
      </c>
      <c r="C9">
        <f t="shared" si="0"/>
        <v>5</v>
      </c>
      <c r="D9" t="s">
        <v>34</v>
      </c>
      <c r="E9">
        <v>1</v>
      </c>
      <c r="F9">
        <v>50</v>
      </c>
      <c r="G9" t="s">
        <v>32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45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46011.785384259259</v>
      </c>
      <c r="C10">
        <f t="shared" si="0"/>
        <v>6</v>
      </c>
      <c r="D10" t="s">
        <v>35</v>
      </c>
      <c r="E10">
        <v>1</v>
      </c>
      <c r="F10">
        <v>68</v>
      </c>
      <c r="G10" t="s">
        <v>32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61.5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46011.785384259259</v>
      </c>
      <c r="C11">
        <f t="shared" si="0"/>
        <v>7</v>
      </c>
      <c r="D11" t="s">
        <v>36</v>
      </c>
      <c r="E11">
        <v>1</v>
      </c>
      <c r="F11">
        <v>200</v>
      </c>
      <c r="G11" t="s">
        <v>32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180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46011.785384259259</v>
      </c>
      <c r="C12">
        <f t="shared" si="0"/>
        <v>8</v>
      </c>
      <c r="D12" t="s">
        <v>37</v>
      </c>
      <c r="E12">
        <v>1</v>
      </c>
      <c r="F12">
        <v>167</v>
      </c>
      <c r="G12" t="s">
        <v>32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150.5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46011.785384259259</v>
      </c>
      <c r="C13">
        <f t="shared" si="0"/>
        <v>9</v>
      </c>
      <c r="D13" t="s">
        <v>38</v>
      </c>
      <c r="E13">
        <v>1</v>
      </c>
      <c r="F13">
        <v>183</v>
      </c>
      <c r="G13" t="s">
        <v>32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165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46011.785384259259</v>
      </c>
      <c r="C14">
        <f t="shared" si="0"/>
        <v>10</v>
      </c>
      <c r="D14" t="s">
        <v>39</v>
      </c>
      <c r="E14">
        <v>1</v>
      </c>
      <c r="F14">
        <v>46</v>
      </c>
      <c r="G14" t="s">
        <v>32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41.5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46011.785384259259</v>
      </c>
      <c r="C15">
        <f t="shared" si="0"/>
        <v>11</v>
      </c>
      <c r="D15" t="s">
        <v>40</v>
      </c>
      <c r="E15">
        <v>1</v>
      </c>
      <c r="F15">
        <v>45</v>
      </c>
      <c r="G15" t="s">
        <v>32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40.5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46011.785384259259</v>
      </c>
      <c r="C16">
        <f t="shared" si="0"/>
        <v>12</v>
      </c>
      <c r="D16" t="s">
        <v>41</v>
      </c>
      <c r="E16">
        <v>1</v>
      </c>
      <c r="F16">
        <v>30</v>
      </c>
      <c r="G16" t="s">
        <v>32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27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46011.785384259259</v>
      </c>
      <c r="C17">
        <f t="shared" si="0"/>
        <v>13</v>
      </c>
      <c r="D17" t="s">
        <v>42</v>
      </c>
      <c r="E17">
        <v>1</v>
      </c>
      <c r="F17">
        <v>60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60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46011.785384259259</v>
      </c>
      <c r="C18">
        <f t="shared" si="0"/>
        <v>14</v>
      </c>
      <c r="D18" t="s">
        <v>43</v>
      </c>
      <c r="E18">
        <v>2</v>
      </c>
      <c r="F18">
        <v>5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46011.785384259259</v>
      </c>
      <c r="C19">
        <f t="shared" si="0"/>
        <v>15</v>
      </c>
      <c r="D19" t="s">
        <v>44</v>
      </c>
      <c r="E19">
        <v>2</v>
      </c>
      <c r="F19">
        <v>65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46011.785384259259</v>
      </c>
      <c r="C20">
        <f t="shared" si="0"/>
        <v>16</v>
      </c>
      <c r="D20" t="s">
        <v>45</v>
      </c>
      <c r="E20">
        <v>1</v>
      </c>
      <c r="F20">
        <v>35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35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46011.785384259259</v>
      </c>
      <c r="C21">
        <f t="shared" si="0"/>
        <v>17</v>
      </c>
      <c r="D21" t="s">
        <v>46</v>
      </c>
      <c r="E21">
        <v>1</v>
      </c>
      <c r="F21">
        <v>38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38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46011.785384259259</v>
      </c>
      <c r="C22">
        <f t="shared" si="0"/>
        <v>18</v>
      </c>
      <c r="D22" t="s">
        <v>47</v>
      </c>
      <c r="E22">
        <v>4</v>
      </c>
      <c r="F22">
        <v>8</v>
      </c>
      <c r="G22" t="s">
        <v>32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29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46011.785384259259</v>
      </c>
      <c r="C23">
        <f t="shared" si="0"/>
        <v>19</v>
      </c>
      <c r="D23" t="s">
        <v>48</v>
      </c>
      <c r="E23">
        <v>1</v>
      </c>
      <c r="F23">
        <v>42</v>
      </c>
      <c r="G23" t="s">
        <v>32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38</v>
      </c>
    </row>
    <row r="24" spans="2:18" ht="15" customHeight="1" x14ac:dyDescent="0.25">
      <c r="B24" s="18">
        <f ca="1">IF(Tabla1[[#This Row],['#]]&lt;&gt;"", NOW(), "")</f>
        <v>46011.785384259259</v>
      </c>
      <c r="C24">
        <f t="shared" si="0"/>
        <v>20</v>
      </c>
      <c r="D24" t="s">
        <v>129</v>
      </c>
      <c r="E24">
        <v>1</v>
      </c>
      <c r="F24">
        <v>170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170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46011.785384259259</v>
      </c>
      <c r="C25">
        <f t="shared" si="0"/>
        <v>21</v>
      </c>
      <c r="D25" t="s">
        <v>49</v>
      </c>
      <c r="E25">
        <v>1</v>
      </c>
      <c r="F25">
        <v>360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360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46011.785384259259</v>
      </c>
      <c r="C26">
        <f t="shared" si="0"/>
        <v>22</v>
      </c>
      <c r="D26" t="s">
        <v>50</v>
      </c>
      <c r="E26">
        <v>1</v>
      </c>
      <c r="F26">
        <v>120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120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46011.785384259259</v>
      </c>
      <c r="C27">
        <f t="shared" si="0"/>
        <v>23</v>
      </c>
      <c r="D27" t="s">
        <v>51</v>
      </c>
      <c r="E27">
        <v>1</v>
      </c>
      <c r="F27">
        <v>46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46</v>
      </c>
      <c r="M27" s="19" t="s">
        <v>28</v>
      </c>
      <c r="N27" s="20"/>
      <c r="O27" s="23">
        <v>1060</v>
      </c>
      <c r="P27" s="25"/>
      <c r="Q27" s="26"/>
      <c r="R27" s="27"/>
    </row>
    <row r="28" spans="2:18" x14ac:dyDescent="0.25">
      <c r="B28" s="18">
        <f ca="1">IF(Tabla1[[#This Row],['#]]&lt;&gt;"", NOW(), "")</f>
        <v>46011.785384259259</v>
      </c>
      <c r="C28">
        <f t="shared" si="0"/>
        <v>24</v>
      </c>
      <c r="D28" t="s">
        <v>52</v>
      </c>
      <c r="E28">
        <v>1</v>
      </c>
      <c r="F28">
        <v>300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300</v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29</v>
      </c>
      <c r="N29" s="20"/>
      <c r="O29" s="23">
        <v>3000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53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850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55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46011.785384259259</v>
      </c>
      <c r="C5">
        <f t="shared" ref="C5:C68" si="0">IF(ISNUMBER(E5), IF(ISNUMBER(C4), C4+1, 1), "")</f>
        <v>1</v>
      </c>
      <c r="D5" t="s">
        <v>56</v>
      </c>
      <c r="E5">
        <v>1</v>
      </c>
      <c r="F5">
        <v>45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46011.785384259259</v>
      </c>
      <c r="C6">
        <f t="shared" si="0"/>
        <v>2</v>
      </c>
      <c r="D6" t="s">
        <v>57</v>
      </c>
      <c r="E6">
        <v>1</v>
      </c>
      <c r="F6">
        <v>42</v>
      </c>
      <c r="G6" t="s">
        <v>32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46011.785384259259</v>
      </c>
      <c r="C7">
        <f t="shared" si="0"/>
        <v>3</v>
      </c>
      <c r="D7" t="s">
        <v>58</v>
      </c>
      <c r="E7">
        <v>1</v>
      </c>
      <c r="F7">
        <v>20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46011.785384259259</v>
      </c>
      <c r="C8">
        <f t="shared" si="0"/>
        <v>4</v>
      </c>
      <c r="D8" t="s">
        <v>43</v>
      </c>
      <c r="E8">
        <v>2</v>
      </c>
      <c r="F8">
        <v>5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46011.785384259259</v>
      </c>
      <c r="C9">
        <f t="shared" si="0"/>
        <v>5</v>
      </c>
      <c r="D9" t="s">
        <v>58</v>
      </c>
      <c r="E9">
        <v>1</v>
      </c>
      <c r="F9">
        <v>20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46011.785384259259</v>
      </c>
      <c r="C10">
        <f t="shared" si="0"/>
        <v>6</v>
      </c>
      <c r="D10" t="s">
        <v>59</v>
      </c>
      <c r="E10">
        <v>1</v>
      </c>
      <c r="F10">
        <v>355</v>
      </c>
      <c r="G10" t="s">
        <v>32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319.5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46011.785384259259</v>
      </c>
      <c r="C11">
        <f t="shared" si="0"/>
        <v>7</v>
      </c>
      <c r="D11" t="s">
        <v>60</v>
      </c>
      <c r="E11">
        <v>1</v>
      </c>
      <c r="F11">
        <v>55</v>
      </c>
      <c r="G11" t="s">
        <v>32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49.5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46011.785384259259</v>
      </c>
      <c r="C12">
        <f t="shared" si="0"/>
        <v>8</v>
      </c>
      <c r="D12" t="s">
        <v>61</v>
      </c>
      <c r="E12">
        <v>1</v>
      </c>
      <c r="F12">
        <v>54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54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46011.785384259259</v>
      </c>
      <c r="C13">
        <f t="shared" si="0"/>
        <v>9</v>
      </c>
      <c r="D13" t="s">
        <v>62</v>
      </c>
      <c r="E13">
        <v>1</v>
      </c>
      <c r="F13">
        <v>20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46011.785384259259</v>
      </c>
      <c r="C14">
        <f t="shared" si="0"/>
        <v>10</v>
      </c>
      <c r="D14" t="s">
        <v>63</v>
      </c>
      <c r="E14">
        <v>1</v>
      </c>
      <c r="F14">
        <v>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46011.785384259259</v>
      </c>
      <c r="C15">
        <f t="shared" si="0"/>
        <v>11</v>
      </c>
      <c r="D15" t="s">
        <v>64</v>
      </c>
      <c r="E15">
        <v>1</v>
      </c>
      <c r="F15">
        <v>68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68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46011.785384259259</v>
      </c>
      <c r="C16">
        <f t="shared" si="0"/>
        <v>12</v>
      </c>
      <c r="D16" t="s">
        <v>65</v>
      </c>
      <c r="E16">
        <v>1</v>
      </c>
      <c r="F16">
        <v>90</v>
      </c>
      <c r="G16" t="s">
        <v>32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81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46011.785384259259</v>
      </c>
      <c r="C17">
        <f t="shared" si="0"/>
        <v>13</v>
      </c>
      <c r="D17" t="s">
        <v>69</v>
      </c>
      <c r="E17">
        <v>1</v>
      </c>
      <c r="F17">
        <v>15</v>
      </c>
      <c r="G17" t="s">
        <v>32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13.5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46011.785384259259</v>
      </c>
      <c r="C18">
        <f t="shared" si="0"/>
        <v>14</v>
      </c>
      <c r="D18" t="s">
        <v>66</v>
      </c>
      <c r="E18">
        <v>1</v>
      </c>
      <c r="F18">
        <v>30</v>
      </c>
      <c r="G18" t="s">
        <v>32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27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46011.785384259259</v>
      </c>
      <c r="C19">
        <f t="shared" si="0"/>
        <v>15</v>
      </c>
      <c r="D19" t="s">
        <v>67</v>
      </c>
      <c r="E19">
        <v>1</v>
      </c>
      <c r="F19">
        <v>30</v>
      </c>
      <c r="G19" t="s">
        <v>32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27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46011.785384259259</v>
      </c>
      <c r="C20">
        <f t="shared" si="0"/>
        <v>16</v>
      </c>
      <c r="D20" t="s">
        <v>68</v>
      </c>
      <c r="E20">
        <v>1</v>
      </c>
      <c r="F20">
        <v>36</v>
      </c>
      <c r="G20" t="s">
        <v>32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32.5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46011.785384259259</v>
      </c>
      <c r="C21">
        <f t="shared" si="0"/>
        <v>17</v>
      </c>
      <c r="D21" t="s">
        <v>43</v>
      </c>
      <c r="E21">
        <v>4</v>
      </c>
      <c r="F21">
        <v>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46011.785384259259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46011.785384259259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46011.785384259259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46011.785384259259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46011.785384259259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>
        <f ca="1">IF(Tabla1[[#This Row],['#]]&lt;&gt;"", NOW(), "")</f>
        <v>46011.785384259259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54</v>
      </c>
      <c r="N27" s="15">
        <v>4006</v>
      </c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46011.785384259259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topLeftCell="A2"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70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2312.5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36" t="s">
        <v>88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46011.785384259259</v>
      </c>
      <c r="C5">
        <f>IF(ISNUMBER(E5), IF(ISNUMBER(C4), C4+1, 1), "")</f>
        <v>1</v>
      </c>
      <c r="D5" t="s">
        <v>71</v>
      </c>
      <c r="E5">
        <v>2</v>
      </c>
      <c r="F5">
        <v>20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40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46011.785384259259</v>
      </c>
      <c r="C6">
        <f t="shared" ref="C6" si="0">IF(ISNUMBER(E6), IF(ISNUMBER(C5), C5+1, 1), "")</f>
        <v>2</v>
      </c>
      <c r="D6" t="s">
        <v>72</v>
      </c>
      <c r="E6">
        <v>2</v>
      </c>
      <c r="F6">
        <v>5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46011.785384259259</v>
      </c>
      <c r="C7">
        <f>IF(ISNUMBER(E7), IF(ISNUMBER(C6), C6+1, 1), "")</f>
        <v>3</v>
      </c>
      <c r="D7" t="s">
        <v>73</v>
      </c>
      <c r="E7">
        <v>1</v>
      </c>
      <c r="F7">
        <v>120</v>
      </c>
      <c r="G7" t="s">
        <v>32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108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46011.785384259259</v>
      </c>
      <c r="C8">
        <f t="shared" ref="C8:C68" si="1">IF(ISNUMBER(E8), IF(ISNUMBER(C7), C7+1, 1), "")</f>
        <v>4</v>
      </c>
      <c r="D8" t="s">
        <v>69</v>
      </c>
      <c r="E8">
        <v>1</v>
      </c>
      <c r="F8">
        <v>15</v>
      </c>
      <c r="G8" t="s">
        <v>32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46011.785384259259</v>
      </c>
      <c r="C9">
        <f t="shared" si="1"/>
        <v>5</v>
      </c>
      <c r="D9" t="s">
        <v>74</v>
      </c>
      <c r="E9">
        <v>1</v>
      </c>
      <c r="F9">
        <v>71</v>
      </c>
      <c r="G9" t="s">
        <v>32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64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46011.785384259259</v>
      </c>
      <c r="C10">
        <f t="shared" si="1"/>
        <v>6</v>
      </c>
      <c r="D10" t="s">
        <v>75</v>
      </c>
      <c r="E10">
        <v>1</v>
      </c>
      <c r="F10">
        <v>57</v>
      </c>
      <c r="G10" t="s">
        <v>32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51.5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46011.785384259259</v>
      </c>
      <c r="C11">
        <f t="shared" si="1"/>
        <v>7</v>
      </c>
      <c r="D11" t="s">
        <v>76</v>
      </c>
      <c r="E11">
        <v>1</v>
      </c>
      <c r="F11">
        <v>57</v>
      </c>
      <c r="G11" t="s">
        <v>32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51.5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46011.785384259259</v>
      </c>
      <c r="C12">
        <f t="shared" si="1"/>
        <v>8</v>
      </c>
      <c r="D12" t="s">
        <v>77</v>
      </c>
      <c r="E12">
        <v>2</v>
      </c>
      <c r="F12">
        <v>15</v>
      </c>
      <c r="G12" t="s">
        <v>32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46011.785384259259</v>
      </c>
      <c r="C13">
        <f t="shared" si="1"/>
        <v>9</v>
      </c>
      <c r="D13" t="s">
        <v>78</v>
      </c>
      <c r="E13">
        <v>1</v>
      </c>
      <c r="F13">
        <v>78</v>
      </c>
      <c r="G13" t="s">
        <v>32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70.5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46011.785384259259</v>
      </c>
      <c r="C14">
        <f t="shared" si="1"/>
        <v>10</v>
      </c>
      <c r="D14" t="s">
        <v>79</v>
      </c>
      <c r="E14">
        <v>2</v>
      </c>
      <c r="F14">
        <v>15</v>
      </c>
      <c r="G14" t="s">
        <v>32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46011.785384259259</v>
      </c>
      <c r="C15">
        <f t="shared" si="1"/>
        <v>11</v>
      </c>
      <c r="D15" t="s">
        <v>80</v>
      </c>
      <c r="E15">
        <v>1</v>
      </c>
      <c r="F15">
        <v>350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350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46011.785384259259</v>
      </c>
      <c r="C16">
        <f t="shared" si="1"/>
        <v>12</v>
      </c>
      <c r="D16" t="s">
        <v>81</v>
      </c>
      <c r="E16">
        <v>1</v>
      </c>
      <c r="F16">
        <v>68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68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46011.785384259259</v>
      </c>
      <c r="C17">
        <f t="shared" si="1"/>
        <v>13</v>
      </c>
      <c r="D17" t="s">
        <v>82</v>
      </c>
      <c r="E17">
        <v>1</v>
      </c>
      <c r="F17">
        <v>20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46011.785384259259</v>
      </c>
      <c r="C18">
        <f t="shared" si="1"/>
        <v>14</v>
      </c>
      <c r="D18" t="s">
        <v>83</v>
      </c>
      <c r="E18">
        <v>1</v>
      </c>
      <c r="F18">
        <v>102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102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46011.785384259259</v>
      </c>
      <c r="C19">
        <f t="shared" si="1"/>
        <v>15</v>
      </c>
      <c r="D19" t="s">
        <v>84</v>
      </c>
      <c r="E19">
        <v>1</v>
      </c>
      <c r="F19">
        <v>170</v>
      </c>
      <c r="G19" t="s">
        <v>32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153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46011.785384259259</v>
      </c>
      <c r="C20">
        <f t="shared" si="1"/>
        <v>16</v>
      </c>
      <c r="D20" t="s">
        <v>85</v>
      </c>
      <c r="E20">
        <v>1</v>
      </c>
      <c r="F20">
        <v>142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142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46011.785384259259</v>
      </c>
      <c r="C21">
        <f t="shared" si="1"/>
        <v>17</v>
      </c>
      <c r="D21" t="s">
        <v>87</v>
      </c>
      <c r="E21">
        <v>1</v>
      </c>
      <c r="F21">
        <v>35</v>
      </c>
      <c r="G21" t="s">
        <v>32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31.5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46011.785384259259</v>
      </c>
      <c r="C22">
        <f t="shared" si="1"/>
        <v>18</v>
      </c>
      <c r="D22" t="s">
        <v>89</v>
      </c>
      <c r="E22">
        <v>1</v>
      </c>
      <c r="F22">
        <v>120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120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46011.785384259259</v>
      </c>
      <c r="C23">
        <f t="shared" si="1"/>
        <v>19</v>
      </c>
      <c r="D23" t="s">
        <v>90</v>
      </c>
      <c r="E23">
        <v>1</v>
      </c>
      <c r="F23">
        <v>450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450</v>
      </c>
    </row>
    <row r="24" spans="2:18" ht="15" customHeight="1" x14ac:dyDescent="0.25">
      <c r="B24" s="18">
        <f ca="1">IF(Tabla1[[#This Row],['#]]&lt;&gt;"", NOW(), "")</f>
        <v>46011.785384259259</v>
      </c>
      <c r="C24">
        <f t="shared" si="1"/>
        <v>20</v>
      </c>
      <c r="D24" t="s">
        <v>91</v>
      </c>
      <c r="E24">
        <v>1</v>
      </c>
      <c r="F24">
        <v>123</v>
      </c>
      <c r="G24" t="s">
        <v>32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117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46011.785384259259</v>
      </c>
      <c r="C25">
        <f t="shared" si="1"/>
        <v>21</v>
      </c>
      <c r="D25" t="s">
        <v>92</v>
      </c>
      <c r="E25">
        <v>2</v>
      </c>
      <c r="F25">
        <v>57</v>
      </c>
      <c r="G25" t="s">
        <v>32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103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46011.785384259259</v>
      </c>
      <c r="C26">
        <f t="shared" si="1"/>
        <v>22</v>
      </c>
      <c r="D26" t="s">
        <v>93</v>
      </c>
      <c r="E26">
        <v>2</v>
      </c>
      <c r="F26">
        <v>77</v>
      </c>
      <c r="G26" t="s">
        <v>32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139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45" x14ac:dyDescent="0.25">
      <c r="B27" s="18">
        <f ca="1">IF(Tabla1[[#This Row],['#]]&lt;&gt;"", NOW(), "")</f>
        <v>46011.785384259259</v>
      </c>
      <c r="C27">
        <f t="shared" si="1"/>
        <v>23</v>
      </c>
      <c r="D27" t="s">
        <v>94</v>
      </c>
      <c r="E27">
        <v>4</v>
      </c>
      <c r="F27">
        <v>15</v>
      </c>
      <c r="G27" t="s">
        <v>32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54</v>
      </c>
      <c r="M27" s="13" t="s">
        <v>86</v>
      </c>
      <c r="N27" s="15">
        <v>1550</v>
      </c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46011.785384259259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98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2225.5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 t="s">
        <v>102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46011.785384259259</v>
      </c>
      <c r="C5">
        <f t="shared" ref="C5:C68" si="0">IF(ISNUMBER(E5), IF(ISNUMBER(C4), C4+1, 1), "")</f>
        <v>1</v>
      </c>
      <c r="D5" t="s">
        <v>95</v>
      </c>
      <c r="E5">
        <v>1</v>
      </c>
      <c r="F5">
        <v>30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30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46011.785384259259</v>
      </c>
      <c r="C6">
        <f t="shared" si="0"/>
        <v>2</v>
      </c>
      <c r="D6" t="s">
        <v>95</v>
      </c>
      <c r="E6">
        <v>1</v>
      </c>
      <c r="F6">
        <v>30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46011.785384259259</v>
      </c>
      <c r="C7">
        <f t="shared" si="0"/>
        <v>3</v>
      </c>
      <c r="D7" t="s">
        <v>96</v>
      </c>
      <c r="E7">
        <v>1</v>
      </c>
      <c r="F7">
        <v>32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32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46011.785384259259</v>
      </c>
      <c r="C8">
        <f t="shared" si="0"/>
        <v>4</v>
      </c>
      <c r="D8" t="s">
        <v>97</v>
      </c>
      <c r="E8">
        <v>1</v>
      </c>
      <c r="F8">
        <v>280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280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46011.785384259259</v>
      </c>
      <c r="C9">
        <f t="shared" si="0"/>
        <v>5</v>
      </c>
      <c r="D9" t="s">
        <v>97</v>
      </c>
      <c r="E9">
        <v>1</v>
      </c>
      <c r="F9">
        <v>280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280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46011.785384259259</v>
      </c>
      <c r="C10">
        <f t="shared" si="0"/>
        <v>6</v>
      </c>
      <c r="D10" t="s">
        <v>85</v>
      </c>
      <c r="E10">
        <v>1</v>
      </c>
      <c r="F10">
        <v>142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142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46011.785384259259</v>
      </c>
      <c r="C11">
        <f t="shared" si="0"/>
        <v>7</v>
      </c>
      <c r="D11" t="s">
        <v>99</v>
      </c>
      <c r="E11">
        <v>4</v>
      </c>
      <c r="F11">
        <v>9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36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46011.785384259259</v>
      </c>
      <c r="C12">
        <f t="shared" si="0"/>
        <v>8</v>
      </c>
      <c r="D12" t="s">
        <v>100</v>
      </c>
      <c r="E12">
        <v>1</v>
      </c>
      <c r="F12">
        <v>35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35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46011.785384259259</v>
      </c>
      <c r="C13">
        <f t="shared" si="0"/>
        <v>9</v>
      </c>
      <c r="D13" t="s">
        <v>43</v>
      </c>
      <c r="E13">
        <v>4</v>
      </c>
      <c r="F13">
        <v>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46011.785384259259</v>
      </c>
      <c r="C14">
        <f t="shared" si="0"/>
        <v>10</v>
      </c>
      <c r="D14" t="s">
        <v>58</v>
      </c>
      <c r="E14">
        <v>1</v>
      </c>
      <c r="F14">
        <v>20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46011.785384259259</v>
      </c>
      <c r="C15">
        <f t="shared" si="0"/>
        <v>11</v>
      </c>
      <c r="D15" t="s">
        <v>103</v>
      </c>
      <c r="E15">
        <v>1</v>
      </c>
      <c r="F15">
        <v>750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750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46011.785384259259</v>
      </c>
      <c r="C16">
        <f t="shared" si="0"/>
        <v>12</v>
      </c>
      <c r="D16" t="s">
        <v>91</v>
      </c>
      <c r="E16">
        <v>2</v>
      </c>
      <c r="F16">
        <v>123</v>
      </c>
      <c r="G16" t="s">
        <v>32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234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46011.785384259259</v>
      </c>
      <c r="C17">
        <f t="shared" si="0"/>
        <v>13</v>
      </c>
      <c r="D17" t="s">
        <v>75</v>
      </c>
      <c r="E17">
        <v>2</v>
      </c>
      <c r="F17">
        <v>57</v>
      </c>
      <c r="G17" t="s">
        <v>32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103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46011.785384259259</v>
      </c>
      <c r="C18">
        <f t="shared" si="0"/>
        <v>14</v>
      </c>
      <c r="D18" t="s">
        <v>104</v>
      </c>
      <c r="E18">
        <v>1</v>
      </c>
      <c r="F18">
        <v>57</v>
      </c>
      <c r="G18" t="s">
        <v>32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51.5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46011.785384259259</v>
      </c>
      <c r="C19">
        <f t="shared" si="0"/>
        <v>15</v>
      </c>
      <c r="D19" t="s">
        <v>105</v>
      </c>
      <c r="E19">
        <v>1</v>
      </c>
      <c r="F19">
        <v>70</v>
      </c>
      <c r="G19" t="s">
        <v>32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63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46011.785384259259</v>
      </c>
      <c r="C20">
        <f t="shared" si="0"/>
        <v>16</v>
      </c>
      <c r="D20" t="s">
        <v>106</v>
      </c>
      <c r="E20">
        <v>1</v>
      </c>
      <c r="F20">
        <v>60</v>
      </c>
      <c r="G20" t="s">
        <v>32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54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46011.785384259259</v>
      </c>
      <c r="C21">
        <f t="shared" si="0"/>
        <v>17</v>
      </c>
      <c r="D21" t="s">
        <v>75</v>
      </c>
      <c r="E21">
        <v>1</v>
      </c>
      <c r="F21">
        <v>57</v>
      </c>
      <c r="G21" t="s">
        <v>32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51.5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46011.785384259259</v>
      </c>
      <c r="C22">
        <f t="shared" si="0"/>
        <v>18</v>
      </c>
      <c r="D22" t="s">
        <v>77</v>
      </c>
      <c r="E22">
        <v>1</v>
      </c>
      <c r="F22">
        <v>15</v>
      </c>
      <c r="G22" t="s">
        <v>32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13.5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46011.785384259259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46011.785384259259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46011.785384259259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46011.785384259259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46011.785384259259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101</v>
      </c>
      <c r="N27" s="15">
        <v>2411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46011.785384259259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107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1091.5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12</v>
      </c>
      <c r="M4" s="36" t="s">
        <v>143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46011.785384259259</v>
      </c>
      <c r="C5">
        <f t="shared" ref="C5:C68" si="0">IF(ISNUMBER(E5), IF(ISNUMBER(C4), C4+1, 1), "")</f>
        <v>1</v>
      </c>
      <c r="D5" t="s">
        <v>58</v>
      </c>
      <c r="E5">
        <v>1</v>
      </c>
      <c r="F5">
        <v>20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46011.785384259259</v>
      </c>
      <c r="C6">
        <f t="shared" si="0"/>
        <v>2</v>
      </c>
      <c r="D6" t="s">
        <v>122</v>
      </c>
      <c r="E6">
        <v>2</v>
      </c>
      <c r="F6">
        <v>5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46011.785384259259</v>
      </c>
      <c r="C7">
        <f t="shared" si="0"/>
        <v>3</v>
      </c>
      <c r="D7" t="s">
        <v>123</v>
      </c>
      <c r="E7">
        <v>1</v>
      </c>
      <c r="F7">
        <v>44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44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46011.785384259259</v>
      </c>
      <c r="C8">
        <f t="shared" si="0"/>
        <v>4</v>
      </c>
      <c r="D8" t="s">
        <v>124</v>
      </c>
      <c r="E8">
        <v>1</v>
      </c>
      <c r="F8">
        <v>182</v>
      </c>
      <c r="G8" t="s">
        <v>32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164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46011.785384259259</v>
      </c>
      <c r="C9">
        <f t="shared" si="0"/>
        <v>5</v>
      </c>
      <c r="D9" t="s">
        <v>104</v>
      </c>
      <c r="E9">
        <v>2</v>
      </c>
      <c r="F9">
        <v>57</v>
      </c>
      <c r="G9" t="s">
        <v>32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103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46011.785384259259</v>
      </c>
      <c r="C10">
        <f t="shared" si="0"/>
        <v>6</v>
      </c>
      <c r="D10" t="s">
        <v>43</v>
      </c>
      <c r="E10">
        <v>4</v>
      </c>
      <c r="F10">
        <v>5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20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46011.785384259259</v>
      </c>
      <c r="C11">
        <f t="shared" si="0"/>
        <v>7</v>
      </c>
      <c r="D11" t="s">
        <v>125</v>
      </c>
      <c r="E11">
        <v>1</v>
      </c>
      <c r="F11">
        <v>495</v>
      </c>
      <c r="G11" t="s">
        <v>32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445.5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46011.785384259259</v>
      </c>
      <c r="C12">
        <f t="shared" si="0"/>
        <v>8</v>
      </c>
      <c r="D12" t="s">
        <v>126</v>
      </c>
      <c r="E12">
        <v>1</v>
      </c>
      <c r="F12">
        <v>135</v>
      </c>
      <c r="G12" t="s">
        <v>32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121.5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46011.785384259259</v>
      </c>
      <c r="C13">
        <f t="shared" si="0"/>
        <v>9</v>
      </c>
      <c r="D13" t="s">
        <v>58</v>
      </c>
      <c r="E13">
        <v>2</v>
      </c>
      <c r="F13">
        <v>20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46011.785384259259</v>
      </c>
      <c r="C14">
        <f t="shared" si="0"/>
        <v>10</v>
      </c>
      <c r="D14" t="s">
        <v>69</v>
      </c>
      <c r="E14">
        <v>3</v>
      </c>
      <c r="F14">
        <v>15</v>
      </c>
      <c r="G14" t="s">
        <v>32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40.5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46011.785384259259</v>
      </c>
      <c r="C15">
        <f t="shared" si="0"/>
        <v>11</v>
      </c>
      <c r="D15" t="s">
        <v>127</v>
      </c>
      <c r="E15">
        <v>1</v>
      </c>
      <c r="F15">
        <v>38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46011.785384259259</v>
      </c>
      <c r="C16">
        <f t="shared" si="0"/>
        <v>12</v>
      </c>
      <c r="D16" t="s">
        <v>128</v>
      </c>
      <c r="E16">
        <v>1</v>
      </c>
      <c r="F16">
        <v>45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45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46011.785384259259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46011.785384259259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46011.785384259259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46011.785384259259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46011.785384259259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46011.785384259259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46011.785384259259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46011.785384259259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46011.785384259259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46011.785384259259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46011.785384259259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108</v>
      </c>
      <c r="N27" s="15">
        <v>1060</v>
      </c>
      <c r="O27" s="39" t="s">
        <v>109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46011.785384259259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110</v>
      </c>
      <c r="N28" s="15">
        <v>3000</v>
      </c>
      <c r="O28" s="39" t="s">
        <v>109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111</v>
      </c>
      <c r="N29" s="15">
        <v>4006</v>
      </c>
      <c r="O29" s="39" t="s">
        <v>112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113</v>
      </c>
      <c r="N30" s="15">
        <v>1550</v>
      </c>
      <c r="O30" s="39" t="s">
        <v>114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115</v>
      </c>
      <c r="N31" s="15">
        <v>2411</v>
      </c>
      <c r="O31" s="39" t="s">
        <v>116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111</v>
      </c>
      <c r="N32" s="15">
        <v>25778</v>
      </c>
      <c r="O32" s="39" t="s">
        <v>118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117</v>
      </c>
      <c r="N33" s="15">
        <v>2740</v>
      </c>
      <c r="O33" s="39" t="s">
        <v>118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119</v>
      </c>
      <c r="N34" s="15">
        <v>1500</v>
      </c>
      <c r="O34" s="39" t="s">
        <v>118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120</v>
      </c>
      <c r="N35" s="15">
        <v>42045</v>
      </c>
      <c r="O35" s="39" t="s">
        <v>121</v>
      </c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130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2612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 t="s">
        <v>144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46011.785384259259</v>
      </c>
      <c r="C5">
        <f t="shared" ref="C5:C68" si="0">IF(ISNUMBER(E5), IF(ISNUMBER(C4), C4+1, 1), "")</f>
        <v>1</v>
      </c>
      <c r="D5" t="s">
        <v>58</v>
      </c>
      <c r="E5">
        <v>1</v>
      </c>
      <c r="F5">
        <v>20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46011.785384259259</v>
      </c>
      <c r="C6">
        <f t="shared" si="0"/>
        <v>2</v>
      </c>
      <c r="D6" t="s">
        <v>131</v>
      </c>
      <c r="E6">
        <v>1</v>
      </c>
      <c r="F6">
        <v>15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46011.785384259259</v>
      </c>
      <c r="C7">
        <f t="shared" si="0"/>
        <v>3</v>
      </c>
      <c r="D7" t="s">
        <v>132</v>
      </c>
      <c r="E7">
        <v>4</v>
      </c>
      <c r="F7">
        <v>232</v>
      </c>
      <c r="G7" t="s">
        <v>32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882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46011.785384259259</v>
      </c>
      <c r="C8">
        <f t="shared" si="0"/>
        <v>4</v>
      </c>
      <c r="D8" t="s">
        <v>75</v>
      </c>
      <c r="E8">
        <v>4</v>
      </c>
      <c r="F8">
        <v>57</v>
      </c>
      <c r="G8" t="s">
        <v>32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205.5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46011.785384259259</v>
      </c>
      <c r="C9">
        <f t="shared" si="0"/>
        <v>5</v>
      </c>
      <c r="D9" t="s">
        <v>133</v>
      </c>
      <c r="E9">
        <v>1</v>
      </c>
      <c r="F9">
        <v>355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355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46011.785384259259</v>
      </c>
      <c r="C10">
        <f t="shared" si="0"/>
        <v>6</v>
      </c>
      <c r="D10" t="s">
        <v>134</v>
      </c>
      <c r="E10">
        <v>1</v>
      </c>
      <c r="F10">
        <v>185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185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46011.785384259259</v>
      </c>
      <c r="C11">
        <f t="shared" si="0"/>
        <v>7</v>
      </c>
      <c r="D11" t="s">
        <v>135</v>
      </c>
      <c r="E11">
        <v>1</v>
      </c>
      <c r="F11">
        <v>200</v>
      </c>
      <c r="G11" t="s">
        <v>32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190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46011.785384259259</v>
      </c>
      <c r="C12">
        <f t="shared" si="0"/>
        <v>8</v>
      </c>
      <c r="D12" t="s">
        <v>136</v>
      </c>
      <c r="E12">
        <v>1</v>
      </c>
      <c r="F12">
        <v>70</v>
      </c>
      <c r="G12" t="s">
        <v>32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63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46011.785384259259</v>
      </c>
      <c r="C13">
        <f t="shared" si="0"/>
        <v>9</v>
      </c>
      <c r="D13" t="s">
        <v>75</v>
      </c>
      <c r="E13">
        <v>1</v>
      </c>
      <c r="F13">
        <v>57</v>
      </c>
      <c r="G13" t="s">
        <v>32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51.5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46011.785384259259</v>
      </c>
      <c r="C14">
        <f t="shared" si="0"/>
        <v>10</v>
      </c>
      <c r="D14" t="s">
        <v>74</v>
      </c>
      <c r="E14">
        <v>1</v>
      </c>
      <c r="F14">
        <v>70</v>
      </c>
      <c r="G14" t="s">
        <v>32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63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46011.785384259259</v>
      </c>
      <c r="C15">
        <f t="shared" si="0"/>
        <v>11</v>
      </c>
      <c r="D15" t="s">
        <v>91</v>
      </c>
      <c r="E15">
        <v>1</v>
      </c>
      <c r="F15">
        <v>123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123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46011.785384259259</v>
      </c>
      <c r="C16">
        <f t="shared" si="0"/>
        <v>12</v>
      </c>
      <c r="D16" t="s">
        <v>137</v>
      </c>
      <c r="E16">
        <v>1</v>
      </c>
      <c r="F16">
        <v>15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46011.785384259259</v>
      </c>
      <c r="C17">
        <f t="shared" si="0"/>
        <v>13</v>
      </c>
      <c r="D17" t="s">
        <v>138</v>
      </c>
      <c r="E17">
        <v>1</v>
      </c>
      <c r="F17">
        <v>95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95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46011.785384259259</v>
      </c>
      <c r="C18">
        <f t="shared" si="0"/>
        <v>14</v>
      </c>
      <c r="D18" t="s">
        <v>139</v>
      </c>
      <c r="E18">
        <v>1</v>
      </c>
      <c r="F18">
        <v>64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64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46011.785384259259</v>
      </c>
      <c r="C19">
        <f t="shared" si="0"/>
        <v>15</v>
      </c>
      <c r="D19" t="s">
        <v>91</v>
      </c>
      <c r="E19">
        <v>1</v>
      </c>
      <c r="F19">
        <v>123</v>
      </c>
      <c r="G19" t="s">
        <v>32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117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46011.785384259259</v>
      </c>
      <c r="C20">
        <f t="shared" si="0"/>
        <v>16</v>
      </c>
      <c r="D20" t="s">
        <v>140</v>
      </c>
      <c r="E20">
        <v>1</v>
      </c>
      <c r="F20">
        <v>90</v>
      </c>
      <c r="G20" t="s">
        <v>32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81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46011.785384259259</v>
      </c>
      <c r="C21">
        <f t="shared" si="0"/>
        <v>17</v>
      </c>
      <c r="D21" t="s">
        <v>141</v>
      </c>
      <c r="E21">
        <v>1</v>
      </c>
      <c r="F21">
        <v>35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35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46011.785384259259</v>
      </c>
      <c r="C22">
        <f t="shared" si="0"/>
        <v>18</v>
      </c>
      <c r="D22" t="s">
        <v>142</v>
      </c>
      <c r="E22">
        <v>1</v>
      </c>
      <c r="F22">
        <v>52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52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46011.785384259259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46011.785384259259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46011.785384259259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46011.785384259259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46011.785384259259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46011.785384259259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46011.785384259259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46011.785384259259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46011.785384259259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46011.785384259259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46011.785384259259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46011.785384259259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46011.785384259259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46011.785384259259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46011.785384259259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46011.785384259259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46011.785384259259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46011.785384259259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46011.785384259259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46011.785384259259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46011.785384259259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46011.785384259259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46011.785384259259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46011.785384259259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46011.785384259259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46011.785384259259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46011.785384259259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46011.785384259259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46011.785384259259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</vt:lpstr>
      <vt:lpstr>Martes 16-12-25</vt:lpstr>
      <vt:lpstr>Miercoles 17-12-25</vt:lpstr>
      <vt:lpstr>Jueves 18-12-25</vt:lpstr>
      <vt:lpstr>Viernes 19-12-25</vt:lpstr>
      <vt:lpstr>Sabado 20-12-25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2025-12-21T00:51:46Z</dcterms:modified>
</cp:coreProperties>
</file>