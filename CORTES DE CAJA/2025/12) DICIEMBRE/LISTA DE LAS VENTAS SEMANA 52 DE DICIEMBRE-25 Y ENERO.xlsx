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8FE954C5-C5B4-41E3-87B1-013224FD4778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9-12-25" sheetId="1" r:id="rId1"/>
    <sheet name="Martes 30-12-25" sheetId="2" r:id="rId2"/>
    <sheet name="Miercoles 31-12-25" sheetId="3" r:id="rId3"/>
    <sheet name="Jueves" sheetId="4" r:id="rId4"/>
    <sheet name="Viernes 02-01-26" sheetId="5" r:id="rId5"/>
    <sheet name="Sabado 03-01-26" sheetId="6" r:id="rId6"/>
    <sheet name="Domingo" sheetId="8" r:id="rId7"/>
    <sheet name="Cambios" sheetId="7" r:id="rId8"/>
  </sheets>
  <definedNames>
    <definedName name="_xlnm._FilterDatabase" localSheetId="0" hidden="1">'Lunes 29-12-25'!$B$4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6" i="6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2" i="5"/>
  <c r="C13" i="5" s="1"/>
  <c r="C14" i="5" s="1"/>
  <c r="C15" i="5" s="1"/>
  <c r="C16" i="5" s="1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9" i="1"/>
  <c r="K3" i="1"/>
  <c r="B10" i="2" l="1"/>
  <c r="C11" i="1"/>
  <c r="B10" i="1"/>
  <c r="B10" i="6"/>
  <c r="B10" i="8"/>
  <c r="B10" i="5"/>
  <c r="B10" i="3"/>
  <c r="B10" i="4"/>
  <c r="B11" i="2" l="1"/>
  <c r="C12" i="1"/>
  <c r="B11" i="3"/>
  <c r="B11" i="8"/>
  <c r="B11" i="1"/>
  <c r="B11" i="6"/>
  <c r="B11" i="4"/>
  <c r="B11" i="5"/>
  <c r="B12" i="2" l="1"/>
  <c r="C13" i="1"/>
  <c r="B12" i="6"/>
  <c r="B12" i="4"/>
  <c r="B12" i="5"/>
  <c r="B12" i="8"/>
  <c r="B12" i="1"/>
  <c r="B12" i="3"/>
  <c r="B13" i="2" l="1"/>
  <c r="C14" i="1"/>
  <c r="B13" i="1"/>
  <c r="B13" i="3"/>
  <c r="B13" i="6"/>
  <c r="B13" i="8"/>
  <c r="B13" i="5"/>
  <c r="B13" i="4"/>
  <c r="B14" i="2" l="1"/>
  <c r="C15" i="1"/>
  <c r="B14" i="3"/>
  <c r="B14" i="5"/>
  <c r="B14" i="1"/>
  <c r="B14" i="4"/>
  <c r="B14" i="6"/>
  <c r="B14" i="8"/>
  <c r="B15" i="2" l="1"/>
  <c r="C16" i="1"/>
  <c r="B15" i="6"/>
  <c r="B15" i="8"/>
  <c r="B15" i="5"/>
  <c r="B15" i="3"/>
  <c r="B15" i="1"/>
  <c r="B15" i="4"/>
  <c r="B16" i="2" l="1"/>
  <c r="C17" i="1"/>
  <c r="B16" i="1"/>
  <c r="B16" i="8"/>
  <c r="B16" i="6"/>
  <c r="B16" i="4"/>
  <c r="B16" i="5"/>
  <c r="B16" i="3"/>
  <c r="K4" i="1"/>
  <c r="B17" i="2" l="1"/>
  <c r="B17" i="6"/>
  <c r="B17" i="1"/>
  <c r="B17" i="5"/>
  <c r="B17" i="3"/>
  <c r="B17" i="8"/>
  <c r="B17" i="4"/>
</calcChain>
</file>

<file path=xl/sharedStrings.xml><?xml version="1.0" encoding="utf-8"?>
<sst xmlns="http://schemas.openxmlformats.org/spreadsheetml/2006/main" count="271" uniqueCount="125">
  <si>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</si>
  <si>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</si>
  <si>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</si>
  <si>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</si>
  <si>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</si>
  <si>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</si>
  <si>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</si>
  <si>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</si>
  <si>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Jueves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</si>
  <si>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</si>
  <si>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</si>
  <si>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</si>
  <si>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</si>
  <si>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</si>
  <si>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</si>
  <si>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</si>
  <si>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</si>
  <si>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</si>
  <si>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</si>
  <si>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</si>
  <si>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</si>
  <si>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</si>
  <si>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</si>
  <si>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</si>
  <si>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</si>
  <si>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</si>
  <si>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29 DE DICIEMBRE-25</t>
  </si>
  <si>
    <t xml:space="preserve"> FOCO DE STOP</t>
  </si>
  <si>
    <t>STIKER</t>
  </si>
  <si>
    <t xml:space="preserve">REGULADOR DE CUATRIMOTO </t>
  </si>
  <si>
    <t>X</t>
  </si>
  <si>
    <t xml:space="preserve">JUNTA DE CILINDRO </t>
  </si>
  <si>
    <t>CRBUCLIN</t>
  </si>
  <si>
    <t>BALATA TRASERA PULSAR 200NS</t>
  </si>
  <si>
    <t>HUESO DE CADENA DM200</t>
  </si>
  <si>
    <t>MANUBRIO UNIVERSAL AZUL</t>
  </si>
  <si>
    <t>BANDA POWER LINK 835-20-30</t>
  </si>
  <si>
    <t>BALATA DE ATV</t>
  </si>
  <si>
    <t>PILA 12N9 4B NASAKI</t>
  </si>
  <si>
    <t>TAZAS DE DM200</t>
  </si>
  <si>
    <t xml:space="preserve">PSUSIBLES </t>
  </si>
  <si>
    <t>FOCO H6 HALOGENO</t>
  </si>
  <si>
    <t>ACEITE AKRON</t>
  </si>
  <si>
    <t xml:space="preserve">MANGUERA DE GASOLINA </t>
  </si>
  <si>
    <t xml:space="preserve">CUENTA DE LA SEMANA PASADA $ 16526.5 MENOS $ 1100 DE ACEITE AKRON QUEDA $ 15426.5 </t>
  </si>
  <si>
    <t>CASCO ABATIBLE NEGRO</t>
  </si>
  <si>
    <t>FOCO DE STOP</t>
  </si>
  <si>
    <t>Martes 30 DE DICIEMBRE-25</t>
  </si>
  <si>
    <t xml:space="preserve">TORNILLOS </t>
  </si>
  <si>
    <t>TUERCA</t>
  </si>
  <si>
    <t>BUJIA C7</t>
  </si>
  <si>
    <t>FILTRO DE AIRE WS150</t>
  </si>
  <si>
    <t>ESPEJOS WS150 ITALIKA</t>
  </si>
  <si>
    <t>PEDAL DE CAMBIOS DM150</t>
  </si>
  <si>
    <t>BOMBA DE FRENO 150Z</t>
  </si>
  <si>
    <t>MANUBRIO ATV</t>
  </si>
  <si>
    <t>CALIPER LLEGO DE MERCADO DE DANIEL</t>
  </si>
  <si>
    <t xml:space="preserve">DIRECCIONALES ECONOMICA </t>
  </si>
  <si>
    <t xml:space="preserve">SWUITH UNIVERSAL DOS PUNTAS </t>
  </si>
  <si>
    <t>MANDO IZQUIERDO WS150</t>
  </si>
  <si>
    <t>LIQUIDO DE FRENO</t>
  </si>
  <si>
    <t>SPROKET DE AT110  ITALIKA</t>
  </si>
  <si>
    <t>PILA QLINK YTX 7 MOTONETA</t>
  </si>
  <si>
    <t>GOMAS DE SPROKET RC200</t>
  </si>
  <si>
    <t>FOCO H4 LED</t>
  </si>
  <si>
    <t>Miercoles 31 DE DICIEMBRE-25</t>
  </si>
  <si>
    <t>MANIJA IZQUIERDA 125Z</t>
  </si>
  <si>
    <t>CDI RT200</t>
  </si>
  <si>
    <t>ACEITE YAMALUBE</t>
  </si>
  <si>
    <t>LIQUIUDO DE FRENO</t>
  </si>
  <si>
    <t>BALATA DE DISCO FT150</t>
  </si>
  <si>
    <t>BOLSA</t>
  </si>
  <si>
    <t xml:space="preserve"> </t>
  </si>
  <si>
    <t>EJE DE HORQUILLA TRASER ATV</t>
  </si>
  <si>
    <t>CADENA 428 REFORZADA</t>
  </si>
  <si>
    <t xml:space="preserve">GOMAS DE  IMPACTO </t>
  </si>
  <si>
    <t>GOMAS DEL TAMQUE FT150</t>
  </si>
  <si>
    <t>ACEITE MOTUL 5100-15W-50</t>
  </si>
  <si>
    <t>FILTRO DE ACEI YR15</t>
  </si>
  <si>
    <t>Columna1</t>
  </si>
  <si>
    <t>AHOGADOR DS150 NASAKI</t>
  </si>
  <si>
    <t>ACEITE LUBER</t>
  </si>
  <si>
    <t>MANDO DERCHO FT150</t>
  </si>
  <si>
    <t xml:space="preserve"> BUJIA C7</t>
  </si>
  <si>
    <t>CHICOTE DE CLUTH FT150</t>
  </si>
  <si>
    <t>CHICOTE DE CLUTH UNIVERSAL</t>
  </si>
  <si>
    <t xml:space="preserve">CUENTA SEMANA PASADA $ 15426.5 MENOS $ 10 DE BOLSAS QUEDA $ 15416.5 </t>
  </si>
  <si>
    <t>ACAKRON</t>
  </si>
  <si>
    <t>LUNES 29 DE DICIEMBRE-25</t>
  </si>
  <si>
    <t>PAGOYAS</t>
  </si>
  <si>
    <t>MIERCOLES 31 DE DICIEMBRE-25</t>
  </si>
  <si>
    <t>VIERNES 02 DE ENERO-25</t>
  </si>
  <si>
    <t>TOTAL</t>
  </si>
  <si>
    <t>TOTAL DE EGRESOS</t>
  </si>
  <si>
    <t xml:space="preserve">CAJA DE ACEITE LUBER </t>
  </si>
  <si>
    <t>PASTAS DE CLUTH FT200</t>
  </si>
  <si>
    <t>MANIJAS DE LUJO NEGRO</t>
  </si>
  <si>
    <t>LIBRICANTE DE CADENA LUBER</t>
  </si>
  <si>
    <t>RAYOS SUELTOS DM200 DELANTERO</t>
  </si>
  <si>
    <t>MANDO DM200 DERECHO</t>
  </si>
  <si>
    <t>LIGA PARA CASCO</t>
  </si>
  <si>
    <t>MANIJAS DE LUJO AZUL</t>
  </si>
  <si>
    <t>Viernes 02 DE ENERO-26</t>
  </si>
  <si>
    <t>PILA 12N7-3ANASAKI</t>
  </si>
  <si>
    <r>
      <rPr>
        <b/>
        <sz val="14"/>
        <color theme="1"/>
        <rFont val="Calibri"/>
        <family val="2"/>
        <scheme val="minor"/>
      </rPr>
      <t>CORTES DE LA SEMANA     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29 DE DICIEMBRE-25                   $ 16526.5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$ 3614                   MENOS$ 2310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30 DE DICIEMBRE-25             $14216.5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$ 2907.5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31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$ 2188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02 DE ENERO-25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$ 2481.5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$ 11191
TOTAL EN CAJA $ 25407.5 </t>
    </r>
  </si>
  <si>
    <t>Sabado 03 DE ENERO-26</t>
  </si>
  <si>
    <t>MAGNETO DS150</t>
  </si>
  <si>
    <t>BALATA TRASERA PULSAR 200</t>
  </si>
  <si>
    <t>AJUSTADOR DE CADENA DM200</t>
  </si>
  <si>
    <t xml:space="preserve">CASCO </t>
  </si>
  <si>
    <t>SINCHOS</t>
  </si>
  <si>
    <t>FILTRO DE GASOLINA PIEDRA</t>
  </si>
  <si>
    <t>RED DE ACIENTO</t>
  </si>
  <si>
    <t xml:space="preserve">DIRECCIONALES UNIVERSALES </t>
  </si>
  <si>
    <t>PASTAS DE CLUTH DM200</t>
  </si>
  <si>
    <t>MANDO DERECHO FT125</t>
  </si>
  <si>
    <t>MANDO IZQUIERDO FT125</t>
  </si>
  <si>
    <t xml:space="preserve">PUÑOS UNIVERSALES </t>
  </si>
  <si>
    <t>VALVULAS DE MOTOR DS150</t>
  </si>
  <si>
    <t>JUNTA DE CABEZA DS150</t>
  </si>
  <si>
    <t>RED DE ACIENTO UNIVERSAL</t>
  </si>
  <si>
    <t>CAMARA 3.50-18</t>
  </si>
  <si>
    <r>
      <t xml:space="preserve">CHICOTE DE </t>
    </r>
    <r>
      <rPr>
        <i/>
        <sz val="11"/>
        <color theme="1"/>
        <rFont val="Calibri"/>
        <family val="2"/>
        <scheme val="minor"/>
      </rPr>
      <t>ACELERADOR</t>
    </r>
    <r>
      <rPr>
        <sz val="11"/>
        <color theme="1"/>
        <rFont val="Calibri"/>
        <family val="2"/>
        <scheme val="minor"/>
      </rPr>
      <t xml:space="preserve"> DM200</t>
    </r>
  </si>
  <si>
    <t>ESPEJOS COFEE RANCING</t>
  </si>
  <si>
    <r>
      <t xml:space="preserve">CUENTA DE HOY SABADO $ 3061.5 MENOS $ 300 DE PAGO DE YAS QUEDA $ 2761.5  MAS LA CUENTA DE AYER $ 25407.5 
</t>
    </r>
    <r>
      <rPr>
        <b/>
        <sz val="26"/>
        <color rgb="FFFF0000"/>
        <rFont val="Calibri"/>
        <family val="2"/>
        <scheme val="minor"/>
      </rPr>
      <t xml:space="preserve">TOTAL EN CAJA $ 28169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</si>
</sst>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olumna1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Row],[Columna1]] &gt; 0,CEILING(( Tabla111[[#This Row],[Columna1]]*Tabla111[[#This Row],[Precio]]) - IF(ISNUMBER(FIND("x", LOWER(G5))), ( Tabla111[[#This Row],[Columna1]]*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18</v>
      </c>
      <c r="K3" s="6">
        <f>SUM(Tabla1[Importa])</f>
        <v>3614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19</v>
      </c>
      <c r="K4" s="10">
        <f>COUNTIF(C5:C103,"&gt;0")</f>
        <v>17</v>
      </c>
      <c r="M4" s="36" t="s">
        <v>44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46025.793555555552</v>
      </c>
      <c r="C5">
        <f>IF(ISNUMBER(E5), IF(ISNUMBER(C4), C4+1, 1), "")</f>
        <v>1</v>
      </c>
      <c r="D5" t="s">
        <v>27</v>
      </c>
      <c r="E5">
        <v>1</v>
      </c>
      <c r="F5">
        <v>20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>
        <f t="shared" si="0"/>
        <v>3</v>
      </c>
      <c r="D7" t="s">
        <v>29</v>
      </c>
      <c r="E7">
        <v>1</v>
      </c>
      <c r="F7">
        <v>468</v>
      </c>
      <c r="G7" t="s">
        <v>30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421.5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>
        <f t="shared" si="0"/>
        <v>4</v>
      </c>
      <c r="D8" t="s">
        <v>31</v>
      </c>
      <c r="E8">
        <v>1</v>
      </c>
      <c r="F8">
        <v>15</v>
      </c>
      <c r="G8" t="s">
        <v>30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>
        <f t="shared" si="0"/>
        <v>5</v>
      </c>
      <c r="D9" t="s">
        <v>32</v>
      </c>
      <c r="E9">
        <v>1</v>
      </c>
      <c r="F9">
        <v>75</v>
      </c>
      <c r="G9" t="s">
        <v>30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67.5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>
        <f t="shared" si="0"/>
        <v>6</v>
      </c>
      <c r="D10" t="s">
        <v>39</v>
      </c>
      <c r="E10">
        <v>1</v>
      </c>
      <c r="F10">
        <v>83</v>
      </c>
      <c r="G10" t="s">
        <v>30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75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>
        <f t="shared" si="0"/>
        <v>7</v>
      </c>
      <c r="D11" t="s">
        <v>40</v>
      </c>
      <c r="E11">
        <v>3</v>
      </c>
      <c r="F11">
        <v>3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9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>
        <f t="shared" si="0"/>
        <v>8</v>
      </c>
      <c r="D12" t="s">
        <v>33</v>
      </c>
      <c r="E12">
        <v>3</v>
      </c>
      <c r="F12">
        <v>45</v>
      </c>
      <c r="G12" t="s">
        <v>30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121.5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>
        <f t="shared" si="0"/>
        <v>9</v>
      </c>
      <c r="D13" t="s">
        <v>34</v>
      </c>
      <c r="E13">
        <v>1</v>
      </c>
      <c r="F13">
        <v>110</v>
      </c>
      <c r="G13" t="s">
        <v>30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99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>
        <f t="shared" si="0"/>
        <v>10</v>
      </c>
      <c r="D14" t="s">
        <v>35</v>
      </c>
      <c r="E14">
        <v>1</v>
      </c>
      <c r="F14">
        <v>360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360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>
        <f t="shared" si="0"/>
        <v>11</v>
      </c>
      <c r="D15" t="s">
        <v>36</v>
      </c>
      <c r="E15">
        <v>1</v>
      </c>
      <c r="F15">
        <v>350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350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>
        <f t="shared" si="0"/>
        <v>12</v>
      </c>
      <c r="D16" t="s">
        <v>37</v>
      </c>
      <c r="E16">
        <v>1</v>
      </c>
      <c r="F16">
        <v>42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42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>
        <f t="shared" si="0"/>
        <v>13</v>
      </c>
      <c r="D17" t="s">
        <v>38</v>
      </c>
      <c r="E17">
        <v>1</v>
      </c>
      <c r="F17">
        <v>590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590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>
        <f t="shared" si="0"/>
        <v>14</v>
      </c>
      <c r="D18" t="s">
        <v>41</v>
      </c>
      <c r="E18">
        <v>1</v>
      </c>
      <c r="F18">
        <v>40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40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>
        <f t="shared" si="0"/>
        <v>15</v>
      </c>
      <c r="D19" t="s">
        <v>43</v>
      </c>
      <c r="E19">
        <v>1</v>
      </c>
      <c r="F19">
        <v>30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>
        <f t="shared" si="0"/>
        <v>16</v>
      </c>
      <c r="D20" t="s">
        <v>45</v>
      </c>
      <c r="E20">
        <v>1</v>
      </c>
      <c r="F20">
        <v>1350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1350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>
        <f t="shared" si="0"/>
        <v>17</v>
      </c>
      <c r="D21" t="s">
        <v>46</v>
      </c>
      <c r="E21">
        <v>1</v>
      </c>
      <c r="F21">
        <v>20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20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20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21</v>
      </c>
      <c r="N26" s="31"/>
      <c r="O26" s="14" t="s">
        <v>22</v>
      </c>
      <c r="P26" s="31" t="s">
        <v>23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42</v>
      </c>
      <c r="N27" s="20"/>
      <c r="O27" s="23">
        <v>1100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topLeftCell="A2" workbookViewId="0">
      <selection activeCell="D43" sqref="D4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SUM(Tabla110[Importa])</f>
        <v>2907.5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46025.793555555552</v>
      </c>
      <c r="C5">
        <f t="shared" ref="C5:C68" si="0">IF(ISNUMBER(E5), IF(ISNUMBER(C4), C4+1, 1), "")</f>
        <v>1</v>
      </c>
      <c r="D5" t="s">
        <v>28</v>
      </c>
      <c r="E5">
        <v>2</v>
      </c>
      <c r="F5">
        <v>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>
        <f t="shared" si="0"/>
        <v>2</v>
      </c>
      <c r="D6" t="s">
        <v>42</v>
      </c>
      <c r="E6">
        <v>1</v>
      </c>
      <c r="F6">
        <v>123</v>
      </c>
      <c r="G6" t="s">
        <v>30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117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>
        <f t="shared" si="0"/>
        <v>3</v>
      </c>
      <c r="D7" t="s">
        <v>42</v>
      </c>
      <c r="E7">
        <v>1</v>
      </c>
      <c r="F7">
        <v>123</v>
      </c>
      <c r="G7" t="s">
        <v>30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117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>
        <f t="shared" si="0"/>
        <v>4</v>
      </c>
      <c r="D8" t="s">
        <v>48</v>
      </c>
      <c r="E8">
        <v>5</v>
      </c>
      <c r="F8">
        <v>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>
        <f t="shared" si="0"/>
        <v>5</v>
      </c>
      <c r="D9" t="s">
        <v>49</v>
      </c>
      <c r="E9">
        <v>5</v>
      </c>
      <c r="F9">
        <v>2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>
        <f t="shared" si="0"/>
        <v>6</v>
      </c>
      <c r="D10" t="s">
        <v>50</v>
      </c>
      <c r="E10">
        <v>1</v>
      </c>
      <c r="F10">
        <v>57</v>
      </c>
      <c r="G10" t="s">
        <v>30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51.5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>
        <f t="shared" si="0"/>
        <v>7</v>
      </c>
      <c r="D11" t="s">
        <v>51</v>
      </c>
      <c r="E11">
        <v>1</v>
      </c>
      <c r="F11">
        <v>70</v>
      </c>
      <c r="G11" t="s">
        <v>30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63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>
        <f t="shared" si="0"/>
        <v>8</v>
      </c>
      <c r="D12" t="s">
        <v>52</v>
      </c>
      <c r="E12">
        <v>1</v>
      </c>
      <c r="F12">
        <v>185</v>
      </c>
      <c r="G12" t="s">
        <v>30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166.5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>
        <f t="shared" si="0"/>
        <v>9</v>
      </c>
      <c r="D13" t="s">
        <v>53</v>
      </c>
      <c r="E13">
        <v>1</v>
      </c>
      <c r="F13">
        <v>73</v>
      </c>
      <c r="G13" t="s">
        <v>30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66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>
        <f t="shared" si="0"/>
        <v>10</v>
      </c>
      <c r="D14" t="s">
        <v>54</v>
      </c>
      <c r="E14">
        <v>1</v>
      </c>
      <c r="F14">
        <v>312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312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>
        <f t="shared" si="0"/>
        <v>11</v>
      </c>
      <c r="D15" t="s">
        <v>55</v>
      </c>
      <c r="E15">
        <v>1</v>
      </c>
      <c r="F15">
        <v>250</v>
      </c>
      <c r="G15" t="s">
        <v>30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225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>
        <f t="shared" si="0"/>
        <v>12</v>
      </c>
      <c r="D16" t="s">
        <v>56</v>
      </c>
      <c r="E16">
        <v>1</v>
      </c>
      <c r="F16">
        <v>250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>
        <f t="shared" si="0"/>
        <v>13</v>
      </c>
      <c r="D17" t="s">
        <v>57</v>
      </c>
      <c r="E17">
        <v>1</v>
      </c>
      <c r="F17">
        <v>90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90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>
        <f t="shared" si="0"/>
        <v>14</v>
      </c>
      <c r="D18" t="s">
        <v>34</v>
      </c>
      <c r="E18">
        <v>1</v>
      </c>
      <c r="F18">
        <v>110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110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>
        <f t="shared" si="0"/>
        <v>15</v>
      </c>
      <c r="D19" t="s">
        <v>58</v>
      </c>
      <c r="E19">
        <v>1</v>
      </c>
      <c r="F19">
        <v>65</v>
      </c>
      <c r="G19" t="s">
        <v>30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58.5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>
        <f t="shared" si="0"/>
        <v>16</v>
      </c>
      <c r="D20" t="s">
        <v>59</v>
      </c>
      <c r="E20">
        <v>1</v>
      </c>
      <c r="F20">
        <v>175</v>
      </c>
      <c r="G20" t="s">
        <v>30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157.5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>
        <f t="shared" si="0"/>
        <v>17</v>
      </c>
      <c r="D21" t="s">
        <v>60</v>
      </c>
      <c r="E21">
        <v>1</v>
      </c>
      <c r="F21">
        <v>55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55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61</v>
      </c>
      <c r="E22">
        <v>1</v>
      </c>
      <c r="F22">
        <v>145</v>
      </c>
      <c r="G22" t="s">
        <v>30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130.5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62</v>
      </c>
      <c r="E23">
        <v>1</v>
      </c>
      <c r="F23">
        <v>690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690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63</v>
      </c>
      <c r="E24">
        <v>1</v>
      </c>
      <c r="F24">
        <v>70</v>
      </c>
      <c r="G24" t="s">
        <v>30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63</v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28</v>
      </c>
      <c r="E25">
        <v>1</v>
      </c>
      <c r="F25">
        <v>5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5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64</v>
      </c>
      <c r="E26">
        <v>1</v>
      </c>
      <c r="F26">
        <v>135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135</v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opLeftCell="A2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65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SUM(Tabla111[Importa])</f>
        <v>2188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79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18</v>
      </c>
      <c r="M4" s="36" t="s">
        <v>86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46025.793555555552</v>
      </c>
      <c r="C5">
        <f>IF(ISNUMBER(E5), IF(ISNUMBER(C4), C4+1, 1), "")</f>
        <v>1</v>
      </c>
      <c r="D5" t="s">
        <v>66</v>
      </c>
      <c r="E5">
        <v>1</v>
      </c>
      <c r="F5">
        <v>90</v>
      </c>
      <c r="G5" t="s">
        <v>30</v>
      </c>
      <c r="H5" s="5">
        <f>IF(Tabla111[[#This Row],[Columna1]] &gt; 0,CEILING(( Tabla111[[#This Row],[Columna1]]*Tabla111[[#This Row],[Precio]]) - IF(ISNUMBER(FIND("x", LOWER(G5))), ( Tabla111[[#This Row],[Columna1]]* Tabla111[[#This Row],[Precio]] * IF(ISNUMBER(FIND("aceite", LOWER(Tabla111[[#This Row],[Producto]]))), 0.05, 0.1)), 0), 0.5), "")</f>
        <v>81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>
        <f>IF(ISNUMBER(E6), IF(ISNUMBER(C5), C5+1, 1), "")</f>
        <v>2</v>
      </c>
      <c r="D6" t="s">
        <v>67</v>
      </c>
      <c r="E6">
        <v>1</v>
      </c>
      <c r="F6">
        <v>170</v>
      </c>
      <c r="G6" t="s">
        <v>30</v>
      </c>
      <c r="H6" s="5">
        <f>IF(Tabla111[[#This Row],[Columna1]] &gt; 0,CEILING(( Tabla111[[#This Row],[Columna1]]*Tabla111[[#This Row],[Precio]]) - IF(ISNUMBER(FIND("x", LOWER(G6))), ( Tabla111[[#This Row],[Columna1]]* Tabla111[[#This Row],[Precio]] * IF(ISNUMBER(FIND("aceite", LOWER(Tabla111[[#This Row],[Producto]]))), 0.05, 0.1)), 0), 0.5), "")</f>
        <v>153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>
        <f>IF(ISNUMBER(E7), IF(ISNUMBER(C6), C6+1, 1), "")</f>
        <v>3</v>
      </c>
      <c r="D7" t="s">
        <v>68</v>
      </c>
      <c r="E7">
        <v>1</v>
      </c>
      <c r="F7">
        <v>150</v>
      </c>
      <c r="H7" s="5">
        <f>IF(Tabla111[[#This Row],[Columna1]] &gt; 0,CEILING(( Tabla111[[#This Row],[Columna1]]*Tabla111[[#This Row],[Precio]]) - IF(ISNUMBER(FIND("x", LOWER(G7))), ( Tabla111[[#This Row],[Columna1]]* Tabla111[[#This Row],[Precio]] * IF(ISNUMBER(FIND("aceite", LOWER(Tabla111[[#This Row],[Producto]]))), 0.05, 0.1)), 0), 0.5), "")</f>
        <v>150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>
        <f t="shared" ref="C8:C68" si="0">IF(ISNUMBER(E8), IF(ISNUMBER(C7), C7+1, 1), "")</f>
        <v>4</v>
      </c>
      <c r="D8" t="s">
        <v>69</v>
      </c>
      <c r="E8">
        <v>1</v>
      </c>
      <c r="F8">
        <v>55</v>
      </c>
      <c r="H8" s="5">
        <f>IF(Tabla111[[#This Row],[Columna1]] &gt; 0,CEILING(( Tabla111[[#This Row],[Columna1]]*Tabla111[[#This Row],[Precio]]) - IF(ISNUMBER(FIND("x", LOWER(G8))), ( Tabla111[[#This Row],[Columna1]]* Tabla111[[#This Row],[Precio]] * IF(ISNUMBER(FIND("aceite", LOWER(Tabla111[[#This Row],[Producto]]))), 0.05, 0.1)), 0), 0.5), "")</f>
        <v>55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>
        <f t="shared" si="0"/>
        <v>5</v>
      </c>
      <c r="D9" t="s">
        <v>70</v>
      </c>
      <c r="E9">
        <v>1</v>
      </c>
      <c r="F9">
        <v>42</v>
      </c>
      <c r="H9" s="5">
        <f>IF(Tabla111[[#This Row],[Columna1]] &gt; 0,CEILING(( Tabla111[[#This Row],[Columna1]]*Tabla111[[#This Row],[Precio]]) - IF(ISNUMBER(FIND("x", LOWER(G9))), ( Tabla111[[#This Row],[Columna1]]* Tabla111[[#This Row],[Precio]] * IF(ISNUMBER(FIND("aceite", LOWER(Tabla111[[#This Row],[Producto]]))), 0.05, 0.1)), 0), 0.5), "")</f>
        <v>42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>
        <f t="shared" si="0"/>
        <v>6</v>
      </c>
      <c r="D10" t="s">
        <v>73</v>
      </c>
      <c r="E10">
        <v>1</v>
      </c>
      <c r="F10">
        <v>150</v>
      </c>
      <c r="G10" t="s">
        <v>30</v>
      </c>
      <c r="H10" s="5">
        <f>IF(Tabla111[[#This Row],[Columna1]] &gt; 0,CEILING(( Tabla111[[#This Row],[Columna1]]*Tabla111[[#This Row],[Precio]]) - IF(ISNUMBER(FIND("x", LOWER(G10))), ( Tabla111[[#This Row],[Columna1]]* Tabla111[[#This Row],[Precio]] * IF(ISNUMBER(FIND("aceite", LOWER(Tabla111[[#This Row],[Producto]]))), 0.05, 0.1)), 0), 0.5), "")</f>
        <v>135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>
        <f t="shared" si="0"/>
        <v>7</v>
      </c>
      <c r="D11" t="s">
        <v>49</v>
      </c>
      <c r="E11">
        <v>1</v>
      </c>
      <c r="F11">
        <v>5</v>
      </c>
      <c r="H11" s="5">
        <f>IF(Tabla111[[#This Row],[Columna1]] &gt; 0,CEILING(( Tabla111[[#This Row],[Columna1]]*Tabla111[[#This Row],[Precio]]) - IF(ISNUMBER(FIND("x", LOWER(G11))), ( Tabla111[[#This Row],[Columna1]]* Tabla111[[#This Row],[Precio]] * IF(ISNUMBER(FIND("aceite", LOWER(Tabla111[[#This Row],[Producto]]))), 0.05, 0.1)), 0), 0.5), "")</f>
        <v>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>
        <f t="shared" si="0"/>
        <v>8</v>
      </c>
      <c r="D12" t="s">
        <v>74</v>
      </c>
      <c r="E12">
        <v>1</v>
      </c>
      <c r="F12">
        <v>600</v>
      </c>
      <c r="G12" t="s">
        <v>30</v>
      </c>
      <c r="H12" s="5">
        <f>IF(Tabla111[[#This Row],[Columna1]] &gt; 0,CEILING(( Tabla111[[#This Row],[Columna1]]*Tabla111[[#This Row],[Precio]]) - IF(ISNUMBER(FIND("x", LOWER(G12))), ( Tabla111[[#This Row],[Columna1]]* Tabla111[[#This Row],[Precio]] * IF(ISNUMBER(FIND("aceite", LOWER(Tabla111[[#This Row],[Producto]]))), 0.05, 0.1)), 0), 0.5), "")</f>
        <v>540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>
        <f t="shared" si="0"/>
        <v>9</v>
      </c>
      <c r="D13" t="s">
        <v>75</v>
      </c>
      <c r="E13">
        <v>1</v>
      </c>
      <c r="F13">
        <v>70</v>
      </c>
      <c r="G13" t="s">
        <v>30</v>
      </c>
      <c r="H13" s="5">
        <f>IF(Tabla111[[#This Row],[Columna1]] &gt; 0,CEILING(( Tabla111[[#This Row],[Columna1]]*Tabla111[[#This Row],[Precio]]) - IF(ISNUMBER(FIND("x", LOWER(G13))), ( Tabla111[[#This Row],[Columna1]]* Tabla111[[#This Row],[Precio]] * IF(ISNUMBER(FIND("aceite", LOWER(Tabla111[[#This Row],[Producto]]))), 0.05, 0.1)), 0), 0.5), "")</f>
        <v>63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>
        <f t="shared" si="0"/>
        <v>10</v>
      </c>
      <c r="D14" t="s">
        <v>76</v>
      </c>
      <c r="E14">
        <v>2</v>
      </c>
      <c r="F14">
        <v>15</v>
      </c>
      <c r="G14" t="s">
        <v>30</v>
      </c>
      <c r="H14" s="5">
        <f>IF(Tabla111[[#This Row],[Columna1]] &gt; 0,CEILING(( Tabla111[[#This Row],[Columna1]]*Tabla111[[#This Row],[Precio]]) - IF(ISNUMBER(FIND("x", LOWER(G14))), ( Tabla111[[#This Row],[Columna1]]* Tabla111[[#This Row],[Precio]] * IF(ISNUMBER(FIND("aceite", LOWER(Tabla111[[#This Row],[Producto]]))), 0.05, 0.1)), 0), 0.5), "")</f>
        <v>27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>
        <f t="shared" si="0"/>
        <v>11</v>
      </c>
      <c r="D15" t="s">
        <v>77</v>
      </c>
      <c r="E15">
        <v>2</v>
      </c>
      <c r="F15">
        <v>250</v>
      </c>
      <c r="G15" t="s">
        <v>30</v>
      </c>
      <c r="H15" s="5">
        <f>IF(Tabla111[[#This Row],[Columna1]] &gt; 0,CEILING(( Tabla111[[#This Row],[Columna1]]*Tabla111[[#This Row],[Precio]]) - IF(ISNUMBER(FIND("x", LOWER(G15))), ( Tabla111[[#This Row],[Columna1]]* Tabla111[[#This Row],[Precio]] * IF(ISNUMBER(FIND("aceite", LOWER(Tabla111[[#This Row],[Producto]]))), 0.05, 0.1)), 0), 0.5), "")</f>
        <v>475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>
        <f t="shared" si="0"/>
        <v>12</v>
      </c>
      <c r="D16" t="s">
        <v>78</v>
      </c>
      <c r="E16">
        <v>1</v>
      </c>
      <c r="F16">
        <v>90</v>
      </c>
      <c r="G16" t="s">
        <v>30</v>
      </c>
      <c r="H16" s="5">
        <f>IF(Tabla111[[#This Row],[Columna1]] &gt; 0,CEILING(( Tabla111[[#This Row],[Columna1]]*Tabla111[[#This Row],[Precio]]) - IF(ISNUMBER(FIND("x", LOWER(G16))), ( Tabla111[[#This Row],[Columna1]]* Tabla111[[#This Row],[Precio]] * IF(ISNUMBER(FIND("aceite", LOWER(Tabla111[[#This Row],[Producto]]))), 0.05, 0.1)), 0), 0.5), "")</f>
        <v>81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>
        <f t="shared" si="0"/>
        <v>13</v>
      </c>
      <c r="D17" t="s">
        <v>80</v>
      </c>
      <c r="E17">
        <v>1</v>
      </c>
      <c r="F17">
        <v>90</v>
      </c>
      <c r="G17" t="s">
        <v>30</v>
      </c>
      <c r="H17" s="5">
        <f>IF(Tabla111[[#This Row],[Columna1]] &gt; 0,CEILING(( Tabla111[[#This Row],[Columna1]]*Tabla111[[#This Row],[Precio]]) - IF(ISNUMBER(FIND("x", LOWER(G17))), ( Tabla111[[#This Row],[Columna1]]* Tabla111[[#This Row],[Precio]] * IF(ISNUMBER(FIND("aceite", LOWER(Tabla111[[#This Row],[Producto]]))), 0.05, 0.1)), 0), 0.5), "")</f>
        <v>81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>
        <f t="shared" si="0"/>
        <v>14</v>
      </c>
      <c r="D18" t="s">
        <v>81</v>
      </c>
      <c r="E18">
        <v>1</v>
      </c>
      <c r="F18">
        <v>90</v>
      </c>
      <c r="G18" t="s">
        <v>30</v>
      </c>
      <c r="H18" s="5">
        <f>IF(Tabla111[[#This Row],[Columna1]] &gt; 0,CEILING(( Tabla111[[#This Row],[Columna1]]*Tabla111[[#This Row],[Precio]]) - IF(ISNUMBER(FIND("x", LOWER(G18))), ( Tabla111[[#This Row],[Columna1]]* Tabla111[[#This Row],[Precio]] * IF(ISNUMBER(FIND("aceite", LOWER(Tabla111[[#This Row],[Producto]]))), 0.05, 0.1)), 0), 0.5), "")</f>
        <v>85.5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>
        <f t="shared" si="0"/>
        <v>15</v>
      </c>
      <c r="D19" t="s">
        <v>82</v>
      </c>
      <c r="E19">
        <v>1</v>
      </c>
      <c r="F19">
        <v>120</v>
      </c>
      <c r="G19" t="s">
        <v>30</v>
      </c>
      <c r="H19" s="5">
        <f>IF(Tabla111[[#This Row],[Columna1]] &gt; 0,CEILING(( Tabla111[[#This Row],[Columna1]]*Tabla111[[#This Row],[Precio]]) - IF(ISNUMBER(FIND("x", LOWER(G19))), ( Tabla111[[#This Row],[Columna1]]* Tabla111[[#This Row],[Precio]] * IF(ISNUMBER(FIND("aceite", LOWER(Tabla111[[#This Row],[Producto]]))), 0.05, 0.1)), 0), 0.5), "")</f>
        <v>108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>
        <f t="shared" si="0"/>
        <v>16</v>
      </c>
      <c r="D20" t="s">
        <v>83</v>
      </c>
      <c r="E20">
        <v>1</v>
      </c>
      <c r="F20">
        <v>57</v>
      </c>
      <c r="G20" t="s">
        <v>30</v>
      </c>
      <c r="H20" s="5">
        <f>IF(Tabla111[[#This Row],[Columna1]] &gt; 0,CEILING(( Tabla111[[#This Row],[Columna1]]*Tabla111[[#This Row],[Precio]]) - IF(ISNUMBER(FIND("x", LOWER(G20))), ( Tabla111[[#This Row],[Columna1]]* Tabla111[[#This Row],[Precio]] * IF(ISNUMBER(FIND("aceite", LOWER(Tabla111[[#This Row],[Producto]]))), 0.05, 0.1)), 0), 0.5), "")</f>
        <v>51.5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>
        <f t="shared" si="0"/>
        <v>17</v>
      </c>
      <c r="D21" t="s">
        <v>84</v>
      </c>
      <c r="E21">
        <v>1</v>
      </c>
      <c r="F21">
        <v>35</v>
      </c>
      <c r="H21" s="5">
        <f>IF(Tabla111[[#This Row],[Columna1]] &gt; 0,CEILING(( Tabla111[[#This Row],[Columna1]]*Tabla111[[#This Row],[Precio]]) - IF(ISNUMBER(FIND("x", LOWER(G21))), ( Tabla111[[#This Row],[Columna1]]* Tabla111[[#This Row],[Precio]] * IF(ISNUMBER(FIND("aceite", LOWER(Tabla111[[#This Row],[Producto]]))), 0.05, 0.1)), 0), 0.5), "")</f>
        <v>35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85</v>
      </c>
      <c r="E22">
        <v>1</v>
      </c>
      <c r="F22">
        <v>20</v>
      </c>
      <c r="H22" s="5">
        <f>IF(Tabla111[[#This Row],[Columna1]] &gt; 0,CEILING(( Tabla111[[#This Row],[Columna1]]*Tabla111[[#This Row],[Precio]]) - IF(ISNUMBER(FIND("x", LOWER(G22))), ( Tabla111[[#This Row],[Columna1]]* Tabla111[[#This Row],[Precio]] * IF(ISNUMBER(FIND("aceite", LOWER(Tabla111[[#This Row],[Producto]]))), 0.05, 0.1)), 0), 0.5), "")</f>
        <v>20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IF(Tabla111[[#This Row],[Columna1]] &gt; 0,CEILING(( Tabla111[[#This Row],[Columna1]]*Tabla111[[#This Row],[Precio]]) - IF(ISNUMBER(FIND("x", LOWER(G23))), ( Tabla111[[#This Row],[Columna1]]*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IF(Tabla111[[#This Row],[Columna1]] &gt; 0,CEILING(( Tabla111[[#This Row],[Columna1]]*Tabla111[[#This Row],[Precio]]) - IF(ISNUMBER(FIND("x", LOWER(G24))), ( Tabla111[[#This Row],[Columna1]]* Tabla111[[#This Row],[Precio]] * IF(ISNUMBER(FIND("aceite", LOWER(Tabla111[[#This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IF(Tabla111[[#This Row],[Columna1]] &gt; 0,CEILING(( Tabla111[[#This Row],[Columna1]]*Tabla111[[#This Row],[Precio]]) - IF(ISNUMBER(FIND("x", LOWER(G25))), ( Tabla111[[#This Row],[Columna1]]*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IF(Tabla111[[#This Row],[Columna1]] &gt; 0,CEILING(( Tabla111[[#This Row],[Columna1]]*Tabla111[[#This Row],[Precio]]) - IF(ISNUMBER(FIND("x", LOWER(G26))), ( Tabla111[[#This Row],[Columna1]]* Tabla111[[#This Row],[Precio]] * IF(ISNUMBER(FIND("aceite", LOWER(Tabla111[[#This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Row],[Columna1]] &gt; 0,CEILING(( Tabla111[[#This Row],[Columna1]]*Tabla111[[#This Row],[Precio]]) - IF(ISNUMBER(FIND("x", LOWER(G27))), ( Tabla111[[#This Row],[Columna1]]* Tabla111[[#This Row],[Precio]] * IF(ISNUMBER(FIND("aceite", LOWER(Tabla111[[#This Row],[Producto]]))), 0.05, 0.1)), 0), 0.5), "")</f>
        <v/>
      </c>
      <c r="M27" s="13" t="s">
        <v>71</v>
      </c>
      <c r="N27" s="15">
        <v>10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Row],[Columna1]] &gt; 0,CEILING(( Tabla111[[#This Row],[Columna1]]*Tabla111[[#This Row],[Precio]]) - IF(ISNUMBER(FIND("x", LOWER(G28))), ( Tabla111[[#This Row],[Columna1]]* Tabla111[[#This Row],[Precio]] * IF(ISNUMBER(FIND("aceite", LOWER(Tabla111[[#This Row],[Producto]]))), 0.05, 0.1)), 0), 0.5), "")</f>
        <v/>
      </c>
      <c r="L28" t="s">
        <v>72</v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Row],[Columna1]] &gt; 0,CEILING(( Tabla111[[#This Row],[Columna1]]*Tabla111[[#This Row],[Precio]]) - IF(ISNUMBER(FIND("x", LOWER(G29))), ( Tabla111[[#This Row],[Columna1]]*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Row],[Columna1]] &gt; 0,CEILING(( Tabla111[[#This Row],[Columna1]]*Tabla111[[#This Row],[Precio]]) - IF(ISNUMBER(FIND("x", LOWER(G30))), ( Tabla111[[#This Row],[Columna1]]*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Row],[Columna1]] &gt; 0,CEILING(( Tabla111[[#This Row],[Columna1]]*Tabla111[[#This Row],[Precio]]) - IF(ISNUMBER(FIND("x", LOWER(G31))), ( Tabla111[[#This Row],[Columna1]]*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Row],[Columna1]] &gt; 0,CEILING(( Tabla111[[#This Row],[Columna1]]*Tabla111[[#This Row],[Precio]]) - IF(ISNUMBER(FIND("x", LOWER(G32))), ( Tabla111[[#This Row],[Columna1]]*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Row],[Columna1]] &gt; 0,CEILING(( Tabla111[[#This Row],[Columna1]]*Tabla111[[#This Row],[Precio]]) - IF(ISNUMBER(FIND("x", LOWER(G33))), ( Tabla111[[#This Row],[Columna1]]*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Row],[Columna1]] &gt; 0,CEILING(( Tabla111[[#This Row],[Columna1]]*Tabla111[[#This Row],[Precio]]) - IF(ISNUMBER(FIND("x", LOWER(G34))), ( Tabla111[[#This Row],[Columna1]]*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Row],[Columna1]] &gt; 0,CEILING(( Tabla111[[#This Row],[Columna1]]*Tabla111[[#This Row],[Precio]]) - IF(ISNUMBER(FIND("x", LOWER(G35))), ( Tabla111[[#This Row],[Columna1]]*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Row],[Columna1]] &gt; 0,CEILING(( Tabla111[[#This Row],[Columna1]]*Tabla111[[#This Row],[Precio]]) - IF(ISNUMBER(FIND("x", LOWER(G36))), ( Tabla111[[#This Row],[Columna1]]*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Row],[Columna1]] &gt; 0,CEILING(( Tabla111[[#This Row],[Columna1]]*Tabla111[[#This Row],[Precio]]) - IF(ISNUMBER(FIND("x", LOWER(G37))), ( Tabla111[[#This Row],[Columna1]]*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Row],[Columna1]] &gt; 0,CEILING(( Tabla111[[#This Row],[Columna1]]*Tabla111[[#This Row],[Precio]]) - IF(ISNUMBER(FIND("x", LOWER(G38))), ( Tabla111[[#This Row],[Columna1]]*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Row],[Columna1]] &gt; 0,CEILING(( Tabla111[[#This Row],[Columna1]]*Tabla111[[#This Row],[Precio]]) - IF(ISNUMBER(FIND("x", LOWER(G39))), ( Tabla111[[#This Row],[Columna1]]*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Row],[Columna1]] &gt; 0,CEILING(( Tabla111[[#This Row],[Columna1]]*Tabla111[[#This Row],[Precio]]) - IF(ISNUMBER(FIND("x", LOWER(G40))), ( Tabla111[[#This Row],[Columna1]]*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Row],[Columna1]] &gt; 0,CEILING(( Tabla111[[#This Row],[Columna1]]*Tabla111[[#This Row],[Precio]]) - IF(ISNUMBER(FIND("x", LOWER(G41))), ( Tabla111[[#This Row],[Columna1]]*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Row],[Columna1]] &gt; 0,CEILING(( Tabla111[[#This Row],[Columna1]]*Tabla111[[#This Row],[Precio]]) - IF(ISNUMBER(FIND("x", LOWER(G42))), ( Tabla111[[#This Row],[Columna1]]*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Row],[Columna1]] &gt; 0,CEILING(( Tabla111[[#This Row],[Columna1]]*Tabla111[[#This Row],[Precio]]) - IF(ISNUMBER(FIND("x", LOWER(G43))), ( Tabla111[[#This Row],[Columna1]]*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Row],[Columna1]] &gt; 0,CEILING(( Tabla111[[#This Row],[Columna1]]*Tabla111[[#This Row],[Precio]]) - IF(ISNUMBER(FIND("x", LOWER(G44))), ( Tabla111[[#This Row],[Columna1]]*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Row],[Columna1]] &gt; 0,CEILING(( Tabla111[[#This Row],[Columna1]]*Tabla111[[#This Row],[Precio]]) - IF(ISNUMBER(FIND("x", LOWER(G45))), ( Tabla111[[#This Row],[Columna1]]*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Row],[Columna1]] &gt; 0,CEILING(( Tabla111[[#This Row],[Columna1]]*Tabla111[[#This Row],[Precio]]) - IF(ISNUMBER(FIND("x", LOWER(G46))), ( Tabla111[[#This Row],[Columna1]]*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Row],[Columna1]] &gt; 0,CEILING(( Tabla111[[#This Row],[Columna1]]*Tabla111[[#This Row],[Precio]]) - IF(ISNUMBER(FIND("x", LOWER(G47))), ( Tabla111[[#This Row],[Columna1]]*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Row],[Columna1]] &gt; 0,CEILING(( Tabla111[[#This Row],[Columna1]]*Tabla111[[#This Row],[Precio]]) - IF(ISNUMBER(FIND("x", LOWER(G48))), ( Tabla111[[#This Row],[Columna1]]*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Row],[Columna1]] &gt; 0,CEILING(( Tabla111[[#This Row],[Columna1]]*Tabla111[[#This Row],[Precio]]) - IF(ISNUMBER(FIND("x", LOWER(G49))), ( Tabla111[[#This Row],[Columna1]]*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Row],[Columna1]] &gt; 0,CEILING(( Tabla111[[#This Row],[Columna1]]*Tabla111[[#This Row],[Precio]]) - IF(ISNUMBER(FIND("x", LOWER(G50))), ( Tabla111[[#This Row],[Columna1]]*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Row],[Columna1]] &gt; 0,CEILING(( Tabla111[[#This Row],[Columna1]]*Tabla111[[#This Row],[Precio]]) - IF(ISNUMBER(FIND("x", LOWER(G51))), ( Tabla111[[#This Row],[Columna1]]*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Row],[Columna1]] &gt; 0,CEILING(( Tabla111[[#This Row],[Columna1]]*Tabla111[[#This Row],[Precio]]) - IF(ISNUMBER(FIND("x", LOWER(G52))), ( Tabla111[[#This Row],[Columna1]]*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Row],[Columna1]] &gt; 0,CEILING(( Tabla111[[#This Row],[Columna1]]*Tabla111[[#This Row],[Precio]]) - IF(ISNUMBER(FIND("x", LOWER(G53))), ( Tabla111[[#This Row],[Columna1]]*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Row],[Columna1]] &gt; 0,CEILING(( Tabla111[[#This Row],[Columna1]]*Tabla111[[#This Row],[Precio]]) - IF(ISNUMBER(FIND("x", LOWER(G54))), ( Tabla111[[#This Row],[Columna1]]*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Row],[Columna1]] &gt; 0,CEILING(( Tabla111[[#This Row],[Columna1]]*Tabla111[[#This Row],[Precio]]) - IF(ISNUMBER(FIND("x", LOWER(G55))), ( Tabla111[[#This Row],[Columna1]]*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Row],[Columna1]] &gt; 0,CEILING(( Tabla111[[#This Row],[Columna1]]*Tabla111[[#This Row],[Precio]]) - IF(ISNUMBER(FIND("x", LOWER(G56))), ( Tabla111[[#This Row],[Columna1]]*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Row],[Columna1]] &gt; 0,CEILING(( Tabla111[[#This Row],[Columna1]]*Tabla111[[#This Row],[Precio]]) - IF(ISNUMBER(FIND("x", LOWER(G57))), ( Tabla111[[#This Row],[Columna1]]*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Row],[Columna1]] &gt; 0,CEILING(( Tabla111[[#This Row],[Columna1]]*Tabla111[[#This Row],[Precio]]) - IF(ISNUMBER(FIND("x", LOWER(G58))), ( Tabla111[[#This Row],[Columna1]]*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Row],[Columna1]] &gt; 0,CEILING(( Tabla111[[#This Row],[Columna1]]*Tabla111[[#This Row],[Precio]]) - IF(ISNUMBER(FIND("x", LOWER(G59))), ( Tabla111[[#This Row],[Columna1]]*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Row],[Columna1]] &gt; 0,CEILING(( Tabla111[[#This Row],[Columna1]]*Tabla111[[#This Row],[Precio]]) - IF(ISNUMBER(FIND("x", LOWER(G60))), ( Tabla111[[#This Row],[Columna1]]*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Row],[Columna1]] &gt; 0,CEILING(( Tabla111[[#This Row],[Columna1]]*Tabla111[[#This Row],[Precio]]) - IF(ISNUMBER(FIND("x", LOWER(G61))), ( Tabla111[[#This Row],[Columna1]]*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Row],[Columna1]] &gt; 0,CEILING(( Tabla111[[#This Row],[Columna1]]*Tabla111[[#This Row],[Precio]]) - IF(ISNUMBER(FIND("x", LOWER(G62))), ( Tabla111[[#This Row],[Columna1]]*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Row],[Columna1]] &gt; 0,CEILING(( Tabla111[[#This Row],[Columna1]]*Tabla111[[#This Row],[Precio]]) - IF(ISNUMBER(FIND("x", LOWER(G63))), ( Tabla111[[#This Row],[Columna1]]*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Row],[Columna1]] &gt; 0,CEILING(( Tabla111[[#This Row],[Columna1]]*Tabla111[[#This Row],[Precio]]) - IF(ISNUMBER(FIND("x", LOWER(G64))), ( Tabla111[[#This Row],[Columna1]]*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Row],[Columna1]] &gt; 0,CEILING(( Tabla111[[#This Row],[Columna1]]*Tabla111[[#This Row],[Precio]]) - IF(ISNUMBER(FIND("x", LOWER(G65))), ( Tabla111[[#This Row],[Columna1]]*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Row],[Columna1]] &gt; 0,CEILING(( Tabla111[[#This Row],[Columna1]]*Tabla111[[#This Row],[Precio]]) - IF(ISNUMBER(FIND("x", LOWER(G66))), ( Tabla111[[#This Row],[Columna1]]*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Row],[Columna1]] &gt; 0,CEILING(( Tabla111[[#This Row],[Columna1]]*Tabla111[[#This Row],[Precio]]) - IF(ISNUMBER(FIND("x", LOWER(G67))), ( Tabla111[[#This Row],[Columna1]]*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Row],[Columna1]] &gt; 0,CEILING(( Tabla111[[#This Row],[Columna1]]*Tabla111[[#This Row],[Precio]]) - IF(ISNUMBER(FIND("x", LOWER(G68))), ( Tabla111[[#This Row],[Columna1]]*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Row],[Columna1]] &gt; 0,CEILING(( Tabla111[[#This Row],[Columna1]]*Tabla111[[#This Row],[Precio]]) - IF(ISNUMBER(FIND("x", LOWER(G69))), ( Tabla111[[#This Row],[Columna1]]*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Row],[Columna1]] &gt; 0,CEILING(( Tabla111[[#This Row],[Columna1]]*Tabla111[[#This Row],[Precio]]) - IF(ISNUMBER(FIND("x", LOWER(G70))), ( Tabla111[[#This Row],[Columna1]]*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Row],[Columna1]] &gt; 0,CEILING(( Tabla111[[#This Row],[Columna1]]*Tabla111[[#This Row],[Precio]]) - IF(ISNUMBER(FIND("x", LOWER(G71))), ( Tabla111[[#This Row],[Columna1]]*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Row],[Columna1]] &gt; 0,CEILING(( Tabla111[[#This Row],[Columna1]]*Tabla111[[#This Row],[Precio]]) - IF(ISNUMBER(FIND("x", LOWER(G72))), ( Tabla111[[#This Row],[Columna1]]*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Row],[Columna1]] &gt; 0,CEILING(( Tabla111[[#This Row],[Columna1]]*Tabla111[[#This Row],[Precio]]) - IF(ISNUMBER(FIND("x", LOWER(G73))), ( Tabla111[[#This Row],[Columna1]]*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Row],[Columna1]] &gt; 0,CEILING(( Tabla111[[#This Row],[Columna1]]*Tabla111[[#This Row],[Precio]]) - IF(ISNUMBER(FIND("x", LOWER(G74))), ( Tabla111[[#This Row],[Columna1]]*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Row],[Columna1]] &gt; 0,CEILING(( Tabla111[[#This Row],[Columna1]]*Tabla111[[#This Row],[Precio]]) - IF(ISNUMBER(FIND("x", LOWER(G75))), ( Tabla111[[#This Row],[Columna1]]*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Row],[Columna1]] &gt; 0,CEILING(( Tabla111[[#This Row],[Columna1]]*Tabla111[[#This Row],[Precio]]) - IF(ISNUMBER(FIND("x", LOWER(G76))), ( Tabla111[[#This Row],[Columna1]]*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Row],[Columna1]] &gt; 0,CEILING(( Tabla111[[#This Row],[Columna1]]*Tabla111[[#This Row],[Precio]]) - IF(ISNUMBER(FIND("x", LOWER(G77))), ( Tabla111[[#This Row],[Columna1]]*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Row],[Columna1]] &gt; 0,CEILING(( Tabla111[[#This Row],[Columna1]]*Tabla111[[#This Row],[Precio]]) - IF(ISNUMBER(FIND("x", LOWER(G78))), ( Tabla111[[#This Row],[Columna1]]*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Row],[Columna1]] &gt; 0,CEILING(( Tabla111[[#This Row],[Columna1]]*Tabla111[[#This Row],[Precio]]) - IF(ISNUMBER(FIND("x", LOWER(G79))), ( Tabla111[[#This Row],[Columna1]]*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Row],[Columna1]] &gt; 0,CEILING(( Tabla111[[#This Row],[Columna1]]*Tabla111[[#This Row],[Precio]]) - IF(ISNUMBER(FIND("x", LOWER(G80))), ( Tabla111[[#This Row],[Columna1]]*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Row],[Columna1]] &gt; 0,CEILING(( Tabla111[[#This Row],[Columna1]]*Tabla111[[#This Row],[Precio]]) - IF(ISNUMBER(FIND("x", LOWER(G81))), ( Tabla111[[#This Row],[Columna1]]*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Row],[Columna1]] &gt; 0,CEILING(( Tabla111[[#This Row],[Columna1]]*Tabla111[[#This Row],[Precio]]) - IF(ISNUMBER(FIND("x", LOWER(G82))), ( Tabla111[[#This Row],[Columna1]]*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Row],[Columna1]] &gt; 0,CEILING(( Tabla111[[#This Row],[Columna1]]*Tabla111[[#This Row],[Precio]]) - IF(ISNUMBER(FIND("x", LOWER(G83))), ( Tabla111[[#This Row],[Columna1]]*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Row],[Columna1]] &gt; 0,CEILING(( Tabla111[[#This Row],[Columna1]]*Tabla111[[#This Row],[Precio]]) - IF(ISNUMBER(FIND("x", LOWER(G84))), ( Tabla111[[#This Row],[Columna1]]*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Row],[Columna1]] &gt; 0,CEILING(( Tabla111[[#This Row],[Columna1]]*Tabla111[[#This Row],[Precio]]) - IF(ISNUMBER(FIND("x", LOWER(G85))), ( Tabla111[[#This Row],[Columna1]]*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Row],[Columna1]] &gt; 0,CEILING(( Tabla111[[#This Row],[Columna1]]*Tabla111[[#This Row],[Precio]]) - IF(ISNUMBER(FIND("x", LOWER(G86))), ( Tabla111[[#This Row],[Columna1]]*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Row],[Columna1]] &gt; 0,CEILING(( Tabla111[[#This Row],[Columna1]]*Tabla111[[#This Row],[Precio]]) - IF(ISNUMBER(FIND("x", LOWER(G87))), ( Tabla111[[#This Row],[Columna1]]*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Row],[Columna1]] &gt; 0,CEILING(( Tabla111[[#This Row],[Columna1]]*Tabla111[[#This Row],[Precio]]) - IF(ISNUMBER(FIND("x", LOWER(G88))), ( Tabla111[[#This Row],[Columna1]]*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Row],[Columna1]] &gt; 0,CEILING(( Tabla111[[#This Row],[Columna1]]*Tabla111[[#This Row],[Precio]]) - IF(ISNUMBER(FIND("x", LOWER(G89))), ( Tabla111[[#This Row],[Columna1]]*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Row],[Columna1]] &gt; 0,CEILING(( Tabla111[[#This Row],[Columna1]]*Tabla111[[#This Row],[Precio]]) - IF(ISNUMBER(FIND("x", LOWER(G90))), ( Tabla111[[#This Row],[Columna1]]*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Row],[Columna1]] &gt; 0,CEILING(( Tabla111[[#This Row],[Columna1]]*Tabla111[[#This Row],[Precio]]) - IF(ISNUMBER(FIND("x", LOWER(G91))), ( Tabla111[[#This Row],[Columna1]]*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Row],[Columna1]] &gt; 0,CEILING(( Tabla111[[#This Row],[Columna1]]*Tabla111[[#This Row],[Precio]]) - IF(ISNUMBER(FIND("x", LOWER(G92))), ( Tabla111[[#This Row],[Columna1]]*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Row],[Columna1]] &gt; 0,CEILING(( Tabla111[[#This Row],[Columna1]]*Tabla111[[#This Row],[Precio]]) - IF(ISNUMBER(FIND("x", LOWER(G93))), ( Tabla111[[#This Row],[Columna1]]*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Row],[Columna1]] &gt; 0,CEILING(( Tabla111[[#This Row],[Columna1]]*Tabla111[[#This Row],[Precio]]) - IF(ISNUMBER(FIND("x", LOWER(G94))), ( Tabla111[[#This Row],[Columna1]]*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Row],[Columna1]] &gt; 0,CEILING(( Tabla111[[#This Row],[Columna1]]*Tabla111[[#This Row],[Precio]]) - IF(ISNUMBER(FIND("x", LOWER(G95))), ( Tabla111[[#This Row],[Columna1]]*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Row],[Columna1]] &gt; 0,CEILING(( Tabla111[[#This Row],[Columna1]]*Tabla111[[#This Row],[Precio]]) - IF(ISNUMBER(FIND("x", LOWER(G96))), ( Tabla111[[#This Row],[Columna1]]*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Row],[Columna1]] &gt; 0,CEILING(( Tabla111[[#This Row],[Columna1]]*Tabla111[[#This Row],[Precio]]) - IF(ISNUMBER(FIND("x", LOWER(G97))), ( Tabla111[[#This Row],[Columna1]]*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Row],[Columna1]] &gt; 0,CEILING(( Tabla111[[#This Row],[Columna1]]*Tabla111[[#This Row],[Precio]]) - IF(ISNUMBER(FIND("x", LOWER(G98))), ( Tabla111[[#This Row],[Columna1]]*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Row],[Columna1]] &gt; 0,CEILING(( Tabla111[[#This Row],[Columna1]]*Tabla111[[#This Row],[Precio]]) - IF(ISNUMBER(FIND("x", LOWER(G99))), ( Tabla111[[#This Row],[Columna1]]*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Row],[Columna1]] &gt; 0,CEILING(( Tabla111[[#This Row],[Columna1]]*Tabla111[[#This Row],[Precio]]) - IF(ISNUMBER(FIND("x", LOWER(G100))), ( Tabla111[[#This Row],[Columna1]]*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Row],[Columna1]] &gt; 0,CEILING(( Tabla111[[#This Row],[Columna1]]*Tabla111[[#This Row],[Precio]]) - IF(ISNUMBER(FIND("x", LOWER(G101))), ( Tabla111[[#This Row],[Columna1]]*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Row],[Columna1]] &gt; 0,CEILING(( Tabla111[[#This Row],[Columna1]]*Tabla111[[#This Row],[Precio]]) - IF(ISNUMBER(FIND("x", LOWER(G102))), ( Tabla111[[#This Row],[Columna1]]*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Row],[Columna1]] &gt; 0,CEILING(( Tabla111[[#This Row],[Columna1]]*Tabla111[[#This Row],[Precio]]) - IF(ISNUMBER(FIND("x", LOWER(G103))), ( Tabla111[[#This Row],[Columna1]]*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SUM(Tabla112[Importa])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IF(Tabla112[[#This Row],['#]]&lt;&gt;"", NOW(), "")</f>
        <v/>
      </c>
      <c r="C5" t="str">
        <f t="shared" ref="C5:C68" si="0">IF(ISNUMBER(E5), IF(ISNUMBER(C4), C4+1, 1), "")</f>
        <v/>
      </c>
      <c r="H5" s="5" t="str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/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 t="str">
        <f t="shared" si="0"/>
        <v/>
      </c>
      <c r="H6" s="5" t="str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 t="str">
        <f t="shared" si="0"/>
        <v/>
      </c>
      <c r="H7" s="5" t="str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 t="str">
        <f t="shared" si="0"/>
        <v/>
      </c>
      <c r="H8" s="5" t="str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 t="str">
        <f t="shared" si="0"/>
        <v/>
      </c>
      <c r="H9" s="5" t="str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 t="str">
        <f t="shared" si="0"/>
        <v/>
      </c>
      <c r="H10" s="5" t="str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 t="str">
        <f t="shared" si="0"/>
        <v/>
      </c>
      <c r="H11" s="5" t="str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 t="str">
        <f t="shared" si="0"/>
        <v/>
      </c>
      <c r="H12" s="5" t="str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102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SUM(Tabla113[Importa])</f>
        <v>2481.5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11</v>
      </c>
      <c r="M4" s="36" t="s">
        <v>104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46025.793555555552</v>
      </c>
      <c r="C5">
        <f t="shared" ref="C5:C68" si="0">IF(ISNUMBER(E5), IF(ISNUMBER(C4), C4+1, 1), "")</f>
        <v>1</v>
      </c>
      <c r="D5" t="s">
        <v>94</v>
      </c>
      <c r="E5">
        <v>1</v>
      </c>
      <c r="F5">
        <v>780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780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>
        <f t="shared" si="0"/>
        <v>2</v>
      </c>
      <c r="D6" t="s">
        <v>95</v>
      </c>
      <c r="E6">
        <v>1</v>
      </c>
      <c r="F6">
        <v>78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78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>
        <f t="shared" si="0"/>
        <v>3</v>
      </c>
      <c r="D7" t="s">
        <v>96</v>
      </c>
      <c r="E7">
        <v>1</v>
      </c>
      <c r="F7">
        <v>350</v>
      </c>
      <c r="G7" t="s">
        <v>30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>
        <f t="shared" si="0"/>
        <v>4</v>
      </c>
      <c r="D8" t="s">
        <v>81</v>
      </c>
      <c r="E8">
        <v>1</v>
      </c>
      <c r="F8">
        <v>90</v>
      </c>
      <c r="G8" t="s">
        <v>30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85.5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>
        <f t="shared" si="0"/>
        <v>5</v>
      </c>
      <c r="D9" t="s">
        <v>97</v>
      </c>
      <c r="E9">
        <v>1</v>
      </c>
      <c r="F9">
        <v>90</v>
      </c>
      <c r="G9" t="s">
        <v>30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81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>
        <f t="shared" si="0"/>
        <v>6</v>
      </c>
      <c r="D10" t="s">
        <v>98</v>
      </c>
      <c r="E10">
        <v>10</v>
      </c>
      <c r="F10">
        <v>6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60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>
        <f t="shared" si="0"/>
        <v>7</v>
      </c>
      <c r="D11" t="s">
        <v>99</v>
      </c>
      <c r="E11">
        <v>1</v>
      </c>
      <c r="F11">
        <v>87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87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>
        <f t="shared" si="0"/>
        <v>8</v>
      </c>
      <c r="D12" t="s">
        <v>103</v>
      </c>
      <c r="E12">
        <v>1</v>
      </c>
      <c r="F12">
        <v>550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550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>
        <f t="shared" si="0"/>
        <v>9</v>
      </c>
      <c r="D13" t="s">
        <v>100</v>
      </c>
      <c r="E13">
        <v>1</v>
      </c>
      <c r="F13">
        <v>75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75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>
        <f t="shared" si="0"/>
        <v>10</v>
      </c>
      <c r="D14" t="s">
        <v>49</v>
      </c>
      <c r="E14">
        <v>1</v>
      </c>
      <c r="F14">
        <v>20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>
        <f t="shared" si="0"/>
        <v>11</v>
      </c>
      <c r="D15" t="s">
        <v>101</v>
      </c>
      <c r="E15">
        <v>1</v>
      </c>
      <c r="F15">
        <v>350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87</v>
      </c>
      <c r="N27" s="15">
        <v>1100</v>
      </c>
      <c r="O27" s="39" t="s">
        <v>88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71</v>
      </c>
      <c r="N28" s="15">
        <v>10</v>
      </c>
      <c r="O28" s="39" t="s">
        <v>90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89</v>
      </c>
      <c r="N29" s="15">
        <v>1200</v>
      </c>
      <c r="O29" s="39" t="s">
        <v>91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92</v>
      </c>
      <c r="N30" s="15">
        <v>2310</v>
      </c>
      <c r="O30" s="39" t="s">
        <v>93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105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SUM(Tabla114[Importa])</f>
        <v>3061.5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19</v>
      </c>
      <c r="M4" s="36" t="s">
        <v>124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46025.793555555552</v>
      </c>
      <c r="C5">
        <f t="shared" ref="C5:C68" si="0">IF(ISNUMBER(E5), IF(ISNUMBER(C4), C4+1, 1), "")</f>
        <v>1</v>
      </c>
      <c r="D5" t="s">
        <v>106</v>
      </c>
      <c r="E5">
        <v>1</v>
      </c>
      <c r="F5">
        <v>290</v>
      </c>
      <c r="G5" t="s">
        <v>30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261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>
        <f t="shared" si="0"/>
        <v>2</v>
      </c>
      <c r="D6" t="s">
        <v>107</v>
      </c>
      <c r="E6">
        <v>1</v>
      </c>
      <c r="F6">
        <v>45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45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>
        <f t="shared" si="0"/>
        <v>3</v>
      </c>
      <c r="D7" t="s">
        <v>108</v>
      </c>
      <c r="E7">
        <v>1</v>
      </c>
      <c r="F7">
        <v>90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90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>
        <f t="shared" si="0"/>
        <v>4</v>
      </c>
      <c r="D8" t="s">
        <v>109</v>
      </c>
      <c r="E8">
        <v>1</v>
      </c>
      <c r="F8">
        <v>1250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1250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>
        <f t="shared" si="0"/>
        <v>5</v>
      </c>
      <c r="D9" t="s">
        <v>110</v>
      </c>
      <c r="E9">
        <v>23</v>
      </c>
      <c r="F9">
        <v>1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>
        <f t="shared" si="0"/>
        <v>6</v>
      </c>
      <c r="D10" t="s">
        <v>111</v>
      </c>
      <c r="E10">
        <v>1</v>
      </c>
      <c r="F10">
        <v>20</v>
      </c>
      <c r="G10" t="s">
        <v>30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>
        <f t="shared" si="0"/>
        <v>7</v>
      </c>
      <c r="D11" t="s">
        <v>112</v>
      </c>
      <c r="E11">
        <v>1</v>
      </c>
      <c r="F11">
        <v>115</v>
      </c>
      <c r="G11" t="s">
        <v>30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103.5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>
        <f t="shared" si="0"/>
        <v>8</v>
      </c>
      <c r="D12" t="s">
        <v>113</v>
      </c>
      <c r="E12">
        <v>1</v>
      </c>
      <c r="F12">
        <v>120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>
        <f t="shared" si="0"/>
        <v>9</v>
      </c>
      <c r="D13" t="s">
        <v>114</v>
      </c>
      <c r="E13">
        <v>1</v>
      </c>
      <c r="F13">
        <v>88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88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>
        <f t="shared" si="0"/>
        <v>10</v>
      </c>
      <c r="D14" t="s">
        <v>115</v>
      </c>
      <c r="E14">
        <v>1</v>
      </c>
      <c r="F14">
        <v>105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105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>
        <f t="shared" si="0"/>
        <v>11</v>
      </c>
      <c r="D15" t="s">
        <v>116</v>
      </c>
      <c r="E15">
        <v>1</v>
      </c>
      <c r="F15">
        <v>123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123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>
        <f t="shared" si="0"/>
        <v>12</v>
      </c>
      <c r="D16" t="s">
        <v>117</v>
      </c>
      <c r="E16">
        <v>1</v>
      </c>
      <c r="F16">
        <v>85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85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>
        <f t="shared" si="0"/>
        <v>13</v>
      </c>
      <c r="D17" t="s">
        <v>42</v>
      </c>
      <c r="E17">
        <v>1</v>
      </c>
      <c r="F17">
        <v>123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123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>
        <f t="shared" si="0"/>
        <v>14</v>
      </c>
      <c r="D18" t="s">
        <v>118</v>
      </c>
      <c r="E18">
        <v>1</v>
      </c>
      <c r="F18">
        <v>96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96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>
        <f t="shared" si="0"/>
        <v>15</v>
      </c>
      <c r="D19" t="s">
        <v>119</v>
      </c>
      <c r="E19">
        <v>1</v>
      </c>
      <c r="F19">
        <v>22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22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>
        <f t="shared" si="0"/>
        <v>16</v>
      </c>
      <c r="D20" t="s">
        <v>120</v>
      </c>
      <c r="E20">
        <v>1</v>
      </c>
      <c r="F20">
        <v>150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>
        <f t="shared" si="0"/>
        <v>17</v>
      </c>
      <c r="D21" t="s">
        <v>121</v>
      </c>
      <c r="E21">
        <v>1</v>
      </c>
      <c r="F21">
        <v>85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85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122</v>
      </c>
      <c r="E22">
        <v>1</v>
      </c>
      <c r="F22">
        <v>60</v>
      </c>
      <c r="G22" t="s">
        <v>30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54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123</v>
      </c>
      <c r="E23">
        <v>1</v>
      </c>
      <c r="F23">
        <v>220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220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46025.793555555552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46025.793555555552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46025.793555555552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46025.793555555552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46025.793555555552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46025.793555555552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46025.793555555552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46025.793555555552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46025.793555555552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46025.793555555552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46025.793555555552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46025.793555555552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46025.793555555552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46025.793555555552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46025.793555555552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46025.793555555552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9</v>
      </c>
      <c r="C3" t="s">
        <v>10</v>
      </c>
      <c r="D3" t="s">
        <v>11</v>
      </c>
    </row>
    <row r="4" spans="2:5" ht="30" x14ac:dyDescent="0.25">
      <c r="B4" s="4" t="s">
        <v>13</v>
      </c>
      <c r="C4" s="2">
        <v>45576</v>
      </c>
      <c r="D4" s="3">
        <v>1.1000000000000001</v>
      </c>
      <c r="E4" s="3"/>
    </row>
    <row r="5" spans="2:5" ht="45" x14ac:dyDescent="0.25">
      <c r="B5" s="7" t="s">
        <v>17</v>
      </c>
      <c r="C5" s="3" t="s">
        <v>14</v>
      </c>
      <c r="D5" s="3">
        <v>1.2</v>
      </c>
      <c r="E5" s="3"/>
    </row>
    <row r="6" spans="2:5" ht="30" x14ac:dyDescent="0.25">
      <c r="B6" s="7" t="s">
        <v>25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29-12-25</vt:lpstr>
      <vt:lpstr>Martes 30-12-25</vt:lpstr>
      <vt:lpstr>Miercoles 31-12-25</vt:lpstr>
      <vt:lpstr>Jueves</vt:lpstr>
      <vt:lpstr>Viernes 02-01-26</vt:lpstr>
      <vt:lpstr>Sabado 03-01-26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2026-01-04T01:07:13Z</dcterms:modified>
</cp:coreProperties>
</file>