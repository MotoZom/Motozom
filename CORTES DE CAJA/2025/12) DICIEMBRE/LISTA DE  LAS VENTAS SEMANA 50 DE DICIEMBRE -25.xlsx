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31769C33-FA9F-4DF8-BA90-FA357A53F0AD}" xr6:coauthVersionLast="47" xr6:coauthVersionMax="47" xr10:uidLastSave="{00000000-0000-0000-0000-000000000000}"/>
  <bookViews>
    <workbookView xWindow="-120" yWindow="-120" windowWidth="29040" windowHeight="17640" activeTab="3" xr2:uid="{00000000-000D-0000-FFFF-FFFF00000000}"/>
  </bookViews>
  <sheets>
    <sheet name="Lunes 08-12-25" sheetId="1" r:id="rId1"/>
    <sheet name="Martes 09-12-25" sheetId="2" r:id="rId2"/>
    <sheet name="Miercoles 10-12-25" sheetId="3" r:id="rId3"/>
    <sheet name="Jueves 11-12-25" sheetId="4" r:id="rId4"/>
    <sheet name="Viernes" sheetId="5" r:id="rId5"/>
    <sheet name="Sabado" sheetId="6" r:id="rId6"/>
    <sheet name="Domingo" sheetId="8" r:id="rId7"/>
    <sheet name="Cambios" sheetId="7" r:id="rId8"/>
  </sheets>
  <definedNames>
    <definedName name="_xlnm._FilterDatabase" localSheetId="0" hidden="1">'Lunes 08-12-25'!$B$4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17" i="1"/>
  <c r="C18" i="1"/>
  <c r="C19" i="1"/>
  <c r="C20" i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C7" i="1" l="1"/>
  <c r="K4" i="8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6" i="1"/>
  <c r="B6" i="6"/>
  <c r="B6" i="8"/>
  <c r="B6" i="3"/>
  <c r="B6" i="4"/>
  <c r="B6" i="5"/>
  <c r="B5" i="1"/>
  <c r="K3" i="2"/>
  <c r="K4" i="2"/>
  <c r="K3" i="6"/>
  <c r="K4" i="5"/>
  <c r="K3" i="4"/>
  <c r="K3" i="3"/>
  <c r="K4" i="3"/>
  <c r="K4" i="6"/>
  <c r="B7" i="2" l="1"/>
  <c r="C8" i="1"/>
  <c r="K3" i="1"/>
  <c r="B8" i="4" l="1"/>
  <c r="B8" i="6"/>
  <c r="B8" i="8"/>
  <c r="B8" i="5"/>
  <c r="B8" i="3"/>
  <c r="B8" i="1"/>
  <c r="B8" i="2"/>
  <c r="C9" i="1"/>
  <c r="B9" i="5" l="1"/>
  <c r="B9" i="4"/>
  <c r="B9" i="3"/>
  <c r="B9" i="6"/>
  <c r="B9" i="1"/>
  <c r="B9" i="8"/>
  <c r="B9" i="2"/>
  <c r="C10" i="1"/>
  <c r="B10" i="3" l="1"/>
  <c r="B10" i="6"/>
  <c r="B10" i="4"/>
  <c r="B10" i="8"/>
  <c r="B10" i="5"/>
  <c r="B10" i="1"/>
  <c r="B10" i="2"/>
  <c r="C11" i="1"/>
  <c r="B11" i="1" l="1"/>
  <c r="B11" i="6"/>
  <c r="B11" i="8"/>
  <c r="B11" i="5"/>
  <c r="B11" i="3"/>
  <c r="B11" i="4"/>
  <c r="B11" i="2"/>
  <c r="C12" i="1"/>
  <c r="B12" i="1" l="1"/>
  <c r="B12" i="4"/>
  <c r="B12" i="8"/>
  <c r="B12" i="5"/>
  <c r="B12" i="6"/>
  <c r="B12" i="3"/>
  <c r="B12" i="2"/>
  <c r="C13" i="1"/>
  <c r="B13" i="6" l="1"/>
  <c r="B13" i="3"/>
  <c r="B13" i="8"/>
  <c r="B13" i="4"/>
  <c r="B13" i="5"/>
  <c r="B13" i="1"/>
  <c r="B13" i="2"/>
  <c r="B17" i="2"/>
  <c r="B17" i="1"/>
  <c r="B17" i="4"/>
  <c r="C14" i="1"/>
  <c r="B17" i="5"/>
  <c r="B17" i="3"/>
  <c r="B17" i="6"/>
  <c r="B17" i="8"/>
  <c r="B14" i="5" l="1"/>
  <c r="B14" i="3"/>
  <c r="B14" i="4"/>
  <c r="B14" i="2"/>
  <c r="B14" i="6"/>
  <c r="B14" i="1"/>
  <c r="B14" i="8"/>
  <c r="B18" i="5"/>
  <c r="B18" i="2"/>
  <c r="B18" i="1"/>
  <c r="B18" i="3"/>
  <c r="B18" i="6"/>
  <c r="B18" i="4"/>
  <c r="B18" i="8"/>
  <c r="C15" i="1"/>
  <c r="B15" i="1" l="1"/>
  <c r="B15" i="3"/>
  <c r="B15" i="8"/>
  <c r="B15" i="5"/>
  <c r="B15" i="2"/>
  <c r="B15" i="4"/>
  <c r="B15" i="6"/>
  <c r="B19" i="2"/>
  <c r="B19" i="3"/>
  <c r="B19" i="1"/>
  <c r="B19" i="4"/>
  <c r="B19" i="8"/>
  <c r="B19" i="6"/>
  <c r="B19" i="5"/>
  <c r="C16" i="1"/>
  <c r="B16" i="2" l="1"/>
  <c r="B16" i="4"/>
  <c r="B16" i="1"/>
  <c r="B16" i="3"/>
  <c r="B16" i="6"/>
  <c r="B16" i="5"/>
  <c r="B16" i="8"/>
  <c r="B20" i="6"/>
  <c r="B20" i="4"/>
  <c r="B20" i="5"/>
  <c r="B20" i="2"/>
  <c r="B20" i="1"/>
  <c r="B20" i="8"/>
  <c r="B20" i="3"/>
  <c r="K4" i="1"/>
</calcChain>
</file>

<file path=xl/sharedStrings.xml><?xml version="1.0" encoding="utf-8"?>
<sst xmlns="http://schemas.openxmlformats.org/spreadsheetml/2006/main" count="221" uniqueCount="90">
  <si>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</si>
  <si>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</si>
  <si>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</si>
  <si>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</si>
  <si>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</si>
  <si>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</si>
  <si>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</si>
  <si>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</si>
  <si>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Viernes 01-02-03</t>
  </si>
  <si>
    <t>Sabado 01-02-03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</si>
  <si>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</si>
  <si>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</si>
  <si>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</si>
  <si>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</si>
  <si>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</si>
  <si>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</si>
  <si>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</si>
  <si>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</si>
  <si>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</si>
  <si>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</si>
  <si>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</si>
  <si>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</si>
  <si>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</si>
  <si>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</si>
  <si>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</si>
  <si>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</si>
  <si>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</si>
  <si>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08 DE DICIEMBRE-25</t>
  </si>
  <si>
    <t>ACEITE AKRON</t>
  </si>
  <si>
    <t>X</t>
  </si>
  <si>
    <t>PILA NASAKI YTX12-7</t>
  </si>
  <si>
    <t xml:space="preserve">FOC DE STOP </t>
  </si>
  <si>
    <t>CADENA DISTRIBUCCION DS150</t>
  </si>
  <si>
    <t>PILA 6.5 BS QLINK</t>
  </si>
  <si>
    <t xml:space="preserve">PEDIDO MERCADO CASCOS GUANTES ALARMAS </t>
  </si>
  <si>
    <t>CALCULADORA ,NOTAS,Y CINTA</t>
  </si>
  <si>
    <t>CHCOTE DE FRENO TRASERO DE150</t>
  </si>
  <si>
    <t>TERMINAL DE BACTERIA ROJO</t>
  </si>
  <si>
    <t>TERMINAL DE BACTERIA NEGRO</t>
  </si>
  <si>
    <t>FUSIBLES</t>
  </si>
  <si>
    <t>LLANTA 120-90-10</t>
  </si>
  <si>
    <t>CUENTA SEMANA PASADA $ 26474 MENOS $ 5403 DE PEDIDO MERCADO LIBRE QUEDA $ 21071 MENOS $ 150 DE CALCULADORA NOTAS Y CINTA QUEDA $ 20921</t>
  </si>
  <si>
    <t>Martes 09 DE DICIEMBRE-25</t>
  </si>
  <si>
    <t>LUBRICANTE DE CADENA LUBER</t>
  </si>
  <si>
    <t xml:space="preserve">ABRAZADERA DE GASOLINA </t>
  </si>
  <si>
    <t>KID DE ARRSTRE FT180</t>
  </si>
  <si>
    <t>PASTAS DE CLUTH DS150</t>
  </si>
  <si>
    <t>BALATA DE DISCO RC150</t>
  </si>
  <si>
    <t>CAMARA 3.00.18</t>
  </si>
  <si>
    <t>FILTRO DE AIRE WS175</t>
  </si>
  <si>
    <t>BALATA DE DISCO DS150</t>
  </si>
  <si>
    <t xml:space="preserve">MANGUERA DE GASOLINA </t>
  </si>
  <si>
    <t>FILTRO DE GASOLINA PIEDRA</t>
  </si>
  <si>
    <t>FILTRO DE GASOLINA CARTON</t>
  </si>
  <si>
    <t>BUJIA C7</t>
  </si>
  <si>
    <t xml:space="preserve">CADENA 520 ITALIKA </t>
  </si>
  <si>
    <t xml:space="preserve">TOTNILLOS </t>
  </si>
  <si>
    <t xml:space="preserve">TORNILLOS </t>
  </si>
  <si>
    <t>FOCO LED H4</t>
  </si>
  <si>
    <t>PEDAL DE ARRANQUE DT150</t>
  </si>
  <si>
    <t xml:space="preserve">CDI DE YAMAHA CORRIENTE ALTERNNA </t>
  </si>
  <si>
    <t>LLANTA 3.50.10</t>
  </si>
  <si>
    <t>Miercoles 10 DE DICIEMBRE-25</t>
  </si>
  <si>
    <t>EJE DE ORQUILLA ATV</t>
  </si>
  <si>
    <t>CAMARA 110-90-17</t>
  </si>
  <si>
    <t>FILTRO DE ACEI FZ16</t>
  </si>
  <si>
    <t>,MANGUERA DE FRENO AT110</t>
  </si>
  <si>
    <t xml:space="preserve">LIQUIDO DE FRENO </t>
  </si>
  <si>
    <t xml:space="preserve">CHICOTE DE CLUTH UNIVERSAL </t>
  </si>
  <si>
    <t xml:space="preserve">DIRECCIONALES UNIVERSALES </t>
  </si>
  <si>
    <t>TIRA LED ROSA</t>
  </si>
  <si>
    <t>TORNILLO</t>
  </si>
  <si>
    <t>SEGURO PARA MASA</t>
  </si>
  <si>
    <t xml:space="preserve">BALATA DE TAMBOR CHICO </t>
  </si>
  <si>
    <t>ROLLO Y JABON</t>
  </si>
  <si>
    <t>CUENTA SEMANA PASADA $ 20921 MENOS 69 DE ROLLO Y JABON QUEDA $ 20852</t>
  </si>
  <si>
    <t>Jueves 11 DE DICIEMBRE-25</t>
  </si>
  <si>
    <t>SELLO DE ESCAPE DS150</t>
  </si>
  <si>
    <t xml:space="preserve">FILTROS </t>
  </si>
  <si>
    <t>CENTRIFUJO DE DS150</t>
  </si>
  <si>
    <t>BANDA POWER LINK 743-20-30</t>
  </si>
  <si>
    <t>AFLOJATODO AXPRO</t>
  </si>
  <si>
    <t>AUXILIAR LED</t>
  </si>
  <si>
    <t>FILTRO DE AIRE DS150</t>
  </si>
  <si>
    <t>STIKER</t>
  </si>
  <si>
    <t>MANIJA DE CLUTH DM200</t>
  </si>
  <si>
    <t>BALATA DE TAMBOR DS150</t>
  </si>
  <si>
    <t xml:space="preserve">RESORTE DE  LA PATA </t>
  </si>
  <si>
    <t>ACEITE LUBER</t>
  </si>
  <si>
    <t xml:space="preserve">CUENTA DE LA SEMANA PASADA $ 20852 MENOS $ 520 DE PIEZS QUE LLEVO DANIEL QUEDA $ 20332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</si>
</sst>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1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17" sqref="D17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27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2" t="s">
        <v>19</v>
      </c>
      <c r="K3" s="6">
        <f>SUM(Tabla1[Importa])</f>
        <v>2377</v>
      </c>
      <c r="M3" s="37" t="s">
        <v>6</v>
      </c>
      <c r="N3" s="37"/>
      <c r="O3" s="37"/>
      <c r="P3" s="37"/>
      <c r="Q3" s="37"/>
      <c r="R3" s="37"/>
    </row>
    <row r="4" spans="2:18" ht="31.5" x14ac:dyDescent="0.5">
      <c r="B4" s="17" t="s">
        <v>25</v>
      </c>
      <c r="C4" t="s">
        <v>17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20</v>
      </c>
      <c r="K4" s="10">
        <f>COUNTIF(C5:C103,"&gt;0")</f>
        <v>12</v>
      </c>
      <c r="M4" s="36" t="s">
        <v>41</v>
      </c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46002.793628587962</v>
      </c>
      <c r="C5">
        <f>IF(ISNUMBER(E5), IF(ISNUMBER(C4), C4+1, 1), "")</f>
        <v>1</v>
      </c>
      <c r="D5" t="s">
        <v>28</v>
      </c>
      <c r="E5">
        <v>1</v>
      </c>
      <c r="F5">
        <v>123</v>
      </c>
      <c r="G5" t="s">
        <v>29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117</v>
      </c>
      <c r="J5" s="38" t="s">
        <v>13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46002.793628587962</v>
      </c>
      <c r="C6">
        <f t="shared" ref="C6:C36" si="0">IF(ISNUMBER(E6), IF(ISNUMBER(C5), C5+1, 1), "")</f>
        <v>2</v>
      </c>
      <c r="D6" t="s">
        <v>28</v>
      </c>
      <c r="E6">
        <v>1</v>
      </c>
      <c r="F6">
        <v>123</v>
      </c>
      <c r="G6" t="s">
        <v>29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117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46002.793628587962</v>
      </c>
      <c r="C7">
        <f t="shared" si="0"/>
        <v>3</v>
      </c>
      <c r="D7" t="s">
        <v>30</v>
      </c>
      <c r="E7">
        <v>1</v>
      </c>
      <c r="F7">
        <v>550</v>
      </c>
      <c r="G7" t="s">
        <v>29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495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46002.793628587962</v>
      </c>
      <c r="C8">
        <f t="shared" si="0"/>
        <v>4</v>
      </c>
      <c r="D8" t="s">
        <v>31</v>
      </c>
      <c r="E8">
        <v>1</v>
      </c>
      <c r="F8">
        <v>160</v>
      </c>
      <c r="G8" t="s">
        <v>29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144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46002.793628587962</v>
      </c>
      <c r="C9">
        <f t="shared" si="0"/>
        <v>5</v>
      </c>
      <c r="D9" t="s">
        <v>32</v>
      </c>
      <c r="E9">
        <v>1</v>
      </c>
      <c r="F9">
        <v>68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68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46002.793628587962</v>
      </c>
      <c r="C10">
        <f t="shared" si="0"/>
        <v>6</v>
      </c>
      <c r="D10" t="s">
        <v>33</v>
      </c>
      <c r="E10">
        <v>1</v>
      </c>
      <c r="F10">
        <v>645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645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46002.793628587962</v>
      </c>
      <c r="C11">
        <f t="shared" si="0"/>
        <v>7</v>
      </c>
      <c r="D11" t="s">
        <v>36</v>
      </c>
      <c r="E11">
        <v>1</v>
      </c>
      <c r="F11">
        <v>68</v>
      </c>
      <c r="G11" t="s">
        <v>29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61.5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46002.793628587962</v>
      </c>
      <c r="C12">
        <f t="shared" si="0"/>
        <v>8</v>
      </c>
      <c r="D12" t="s">
        <v>28</v>
      </c>
      <c r="E12">
        <v>1</v>
      </c>
      <c r="F12">
        <v>123</v>
      </c>
      <c r="G12" t="s">
        <v>29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117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46002.793628587962</v>
      </c>
      <c r="C13">
        <f t="shared" si="0"/>
        <v>9</v>
      </c>
      <c r="D13" t="s">
        <v>40</v>
      </c>
      <c r="E13">
        <v>1</v>
      </c>
      <c r="F13">
        <v>621</v>
      </c>
      <c r="G13" t="s">
        <v>29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559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46002.793628587962</v>
      </c>
      <c r="C14">
        <f t="shared" si="0"/>
        <v>10</v>
      </c>
      <c r="D14" t="s">
        <v>37</v>
      </c>
      <c r="E14">
        <v>1</v>
      </c>
      <c r="F14">
        <v>20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20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46002.793628587962</v>
      </c>
      <c r="C15">
        <f t="shared" si="0"/>
        <v>11</v>
      </c>
      <c r="D15" t="s">
        <v>38</v>
      </c>
      <c r="E15">
        <v>1</v>
      </c>
      <c r="F15">
        <v>20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20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46002.793628587962</v>
      </c>
      <c r="C16">
        <f t="shared" si="0"/>
        <v>12</v>
      </c>
      <c r="D16" t="s">
        <v>39</v>
      </c>
      <c r="E16">
        <v>5</v>
      </c>
      <c r="F16">
        <v>3</v>
      </c>
      <c r="G16" t="s">
        <v>29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13.5</v>
      </c>
      <c r="M16" s="36"/>
      <c r="N16" s="36"/>
      <c r="O16" s="36"/>
      <c r="P16" s="36"/>
      <c r="Q16" s="36"/>
      <c r="R16" s="36"/>
    </row>
    <row r="17" spans="2:18" x14ac:dyDescent="0.25">
      <c r="B17" s="18" t="str">
        <f ca="1">IF(Tabla1[[#This Row],['#]]&lt;&gt;"", NOW(), "")</f>
        <v/>
      </c>
      <c r="C17" t="str">
        <f t="shared" si="0"/>
        <v/>
      </c>
      <c r="H17" s="5" t="str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 t="str">
        <f ca="1">IF(Tabla1[[#This Row],['#]]&lt;&gt;"", NOW(), "")</f>
        <v/>
      </c>
      <c r="C18" t="str">
        <f t="shared" si="0"/>
        <v/>
      </c>
      <c r="H18" s="5" t="str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 t="str">
        <f ca="1">IF(Tabla1[[#This Row],['#]]&lt;&gt;"", NOW(), "")</f>
        <v/>
      </c>
      <c r="C19" t="str">
        <f t="shared" si="0"/>
        <v/>
      </c>
      <c r="H19" s="5" t="str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/>
      </c>
      <c r="M24" s="32" t="s">
        <v>21</v>
      </c>
      <c r="N24" s="32"/>
      <c r="O24" s="32"/>
      <c r="P24" s="32"/>
      <c r="Q24" s="32"/>
      <c r="R24" s="32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/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/>
      </c>
      <c r="M26" s="31" t="s">
        <v>22</v>
      </c>
      <c r="N26" s="31"/>
      <c r="O26" s="14" t="s">
        <v>23</v>
      </c>
      <c r="P26" s="31" t="s">
        <v>24</v>
      </c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19" t="s">
        <v>34</v>
      </c>
      <c r="N27" s="20"/>
      <c r="O27" s="23">
        <v>5403</v>
      </c>
      <c r="P27" s="25"/>
      <c r="Q27" s="26"/>
      <c r="R27" s="27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1"/>
      <c r="N28" s="22"/>
      <c r="O28" s="24"/>
      <c r="P28" s="28"/>
      <c r="Q28" s="29"/>
      <c r="R28" s="30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19" t="s">
        <v>35</v>
      </c>
      <c r="N29" s="20"/>
      <c r="O29" s="23">
        <v>150</v>
      </c>
      <c r="P29" s="25"/>
      <c r="Q29" s="26"/>
      <c r="R29" s="27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1"/>
      <c r="N30" s="22"/>
      <c r="O30" s="24"/>
      <c r="P30" s="28"/>
      <c r="Q30" s="29"/>
      <c r="R30" s="30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19"/>
      <c r="N31" s="20"/>
      <c r="O31" s="23"/>
      <c r="P31" s="25"/>
      <c r="Q31" s="26"/>
      <c r="R31" s="27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1"/>
      <c r="N32" s="22"/>
      <c r="O32" s="24"/>
      <c r="P32" s="28"/>
      <c r="Q32" s="29"/>
      <c r="R32" s="30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19"/>
      <c r="N33" s="20"/>
      <c r="O33" s="23"/>
      <c r="P33" s="25"/>
      <c r="Q33" s="26"/>
      <c r="R33" s="27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1"/>
      <c r="N34" s="22"/>
      <c r="O34" s="24"/>
      <c r="P34" s="28"/>
      <c r="Q34" s="29"/>
      <c r="R34" s="30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19"/>
      <c r="N35" s="20"/>
      <c r="O35" s="23"/>
      <c r="P35" s="25"/>
      <c r="Q35" s="26"/>
      <c r="R35" s="27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1"/>
      <c r="N36" s="22"/>
      <c r="O36" s="24"/>
      <c r="P36" s="28"/>
      <c r="Q36" s="29"/>
      <c r="R36" s="30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19"/>
      <c r="N37" s="20"/>
      <c r="O37" s="23"/>
      <c r="P37" s="25"/>
      <c r="Q37" s="26"/>
      <c r="R37" s="27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1"/>
      <c r="N38" s="22"/>
      <c r="O38" s="24"/>
      <c r="P38" s="28"/>
      <c r="Q38" s="29"/>
      <c r="R38" s="30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19"/>
      <c r="N39" s="20"/>
      <c r="O39" s="23"/>
      <c r="P39" s="25"/>
      <c r="Q39" s="26"/>
      <c r="R39" s="27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25" sqref="D25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42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19</v>
      </c>
      <c r="K3" s="6">
        <f>SUM(Tabla110[Importa])</f>
        <v>2364.5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25</v>
      </c>
      <c r="C4" t="s">
        <v>17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20</v>
      </c>
      <c r="K4" s="10">
        <f>COUNTIF(C5:C103,"&gt;0")</f>
        <v>20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46002.793628587962</v>
      </c>
      <c r="C5">
        <f t="shared" ref="C5:C68" si="0">IF(ISNUMBER(E5), IF(ISNUMBER(C4), C4+1, 1), "")</f>
        <v>1</v>
      </c>
      <c r="D5" t="s">
        <v>43</v>
      </c>
      <c r="E5">
        <v>1</v>
      </c>
      <c r="F5">
        <v>90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90</v>
      </c>
      <c r="J5" s="38" t="s">
        <v>13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46002.793628587962</v>
      </c>
      <c r="C6">
        <f t="shared" si="0"/>
        <v>2</v>
      </c>
      <c r="D6" t="s">
        <v>44</v>
      </c>
      <c r="E6">
        <v>4</v>
      </c>
      <c r="F6">
        <v>4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16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46002.793628587962</v>
      </c>
      <c r="C7">
        <f t="shared" si="0"/>
        <v>3</v>
      </c>
      <c r="D7" t="s">
        <v>45</v>
      </c>
      <c r="E7">
        <v>1</v>
      </c>
      <c r="F7">
        <v>327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327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46002.793628587962</v>
      </c>
      <c r="C8">
        <f t="shared" si="0"/>
        <v>4</v>
      </c>
      <c r="D8" t="s">
        <v>46</v>
      </c>
      <c r="E8">
        <v>1</v>
      </c>
      <c r="F8">
        <v>291</v>
      </c>
      <c r="G8" t="s">
        <v>29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262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46002.793628587962</v>
      </c>
      <c r="C9">
        <f t="shared" si="0"/>
        <v>5</v>
      </c>
      <c r="D9" t="s">
        <v>47</v>
      </c>
      <c r="E9">
        <v>1</v>
      </c>
      <c r="F9">
        <v>45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45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46002.793628587962</v>
      </c>
      <c r="C10">
        <f t="shared" si="0"/>
        <v>6</v>
      </c>
      <c r="D10" t="s">
        <v>48</v>
      </c>
      <c r="E10">
        <v>1</v>
      </c>
      <c r="F10">
        <v>65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65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46002.793628587962</v>
      </c>
      <c r="C11">
        <f t="shared" si="0"/>
        <v>7</v>
      </c>
      <c r="D11" t="s">
        <v>49</v>
      </c>
      <c r="E11">
        <v>1</v>
      </c>
      <c r="F11">
        <v>70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70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46002.793628587962</v>
      </c>
      <c r="C12">
        <f t="shared" si="0"/>
        <v>8</v>
      </c>
      <c r="D12" t="s">
        <v>50</v>
      </c>
      <c r="E12">
        <v>1</v>
      </c>
      <c r="F12">
        <v>42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42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46002.793628587962</v>
      </c>
      <c r="C13">
        <f t="shared" si="0"/>
        <v>9</v>
      </c>
      <c r="D13" t="s">
        <v>44</v>
      </c>
      <c r="E13">
        <v>5</v>
      </c>
      <c r="F13">
        <v>4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20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46002.793628587962</v>
      </c>
      <c r="C14">
        <f t="shared" si="0"/>
        <v>10</v>
      </c>
      <c r="D14" t="s">
        <v>51</v>
      </c>
      <c r="E14">
        <v>1</v>
      </c>
      <c r="F14">
        <v>30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30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46002.793628587962</v>
      </c>
      <c r="C15">
        <f t="shared" si="0"/>
        <v>11</v>
      </c>
      <c r="D15" t="s">
        <v>52</v>
      </c>
      <c r="E15">
        <v>1</v>
      </c>
      <c r="F15">
        <v>20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20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46002.793628587962</v>
      </c>
      <c r="C16">
        <f t="shared" si="0"/>
        <v>12</v>
      </c>
      <c r="D16" t="s">
        <v>53</v>
      </c>
      <c r="E16">
        <v>1</v>
      </c>
      <c r="F16">
        <v>15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15</v>
      </c>
      <c r="M16" s="36"/>
      <c r="N16" s="36"/>
      <c r="O16" s="36"/>
      <c r="P16" s="36"/>
      <c r="Q16" s="36"/>
      <c r="R16" s="36"/>
    </row>
    <row r="17" spans="2:18" x14ac:dyDescent="0.25">
      <c r="B17" s="18" t="str">
        <f ca="1">IF(Tabla1[[#This Row],['#]]&lt;&gt;"", NOW(), "")</f>
        <v/>
      </c>
      <c r="C17">
        <f t="shared" si="0"/>
        <v>13</v>
      </c>
      <c r="D17" t="s">
        <v>54</v>
      </c>
      <c r="E17">
        <v>1</v>
      </c>
      <c r="F17">
        <v>57</v>
      </c>
      <c r="G17" t="s">
        <v>29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51.5</v>
      </c>
      <c r="M17" s="36"/>
      <c r="N17" s="36"/>
      <c r="O17" s="36"/>
      <c r="P17" s="36"/>
      <c r="Q17" s="36"/>
      <c r="R17" s="36"/>
    </row>
    <row r="18" spans="2:18" x14ac:dyDescent="0.25">
      <c r="B18" s="18" t="str">
        <f ca="1">IF(Tabla1[[#This Row],['#]]&lt;&gt;"", NOW(), "")</f>
        <v/>
      </c>
      <c r="C18">
        <f t="shared" si="0"/>
        <v>14</v>
      </c>
      <c r="D18" t="s">
        <v>55</v>
      </c>
      <c r="E18">
        <v>1</v>
      </c>
      <c r="F18">
        <v>290</v>
      </c>
      <c r="G18" t="s">
        <v>29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261</v>
      </c>
      <c r="M18" s="36"/>
      <c r="N18" s="36"/>
      <c r="O18" s="36"/>
      <c r="P18" s="36"/>
      <c r="Q18" s="36"/>
      <c r="R18" s="36"/>
    </row>
    <row r="19" spans="2:18" x14ac:dyDescent="0.25">
      <c r="B19" s="18" t="str">
        <f ca="1">IF(Tabla1[[#This Row],['#]]&lt;&gt;"", NOW(), "")</f>
        <v/>
      </c>
      <c r="C19">
        <f t="shared" si="0"/>
        <v>15</v>
      </c>
      <c r="D19" t="s">
        <v>56</v>
      </c>
      <c r="E19">
        <v>4</v>
      </c>
      <c r="F19">
        <v>4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16</v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>
        <f t="shared" si="0"/>
        <v>16</v>
      </c>
      <c r="D20" t="s">
        <v>57</v>
      </c>
      <c r="E20">
        <v>4</v>
      </c>
      <c r="F20">
        <v>6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24</v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58</v>
      </c>
      <c r="E21">
        <v>1</v>
      </c>
      <c r="F21">
        <v>135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135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59</v>
      </c>
      <c r="E22">
        <v>1</v>
      </c>
      <c r="F22">
        <v>155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155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60</v>
      </c>
      <c r="E23">
        <v>1</v>
      </c>
      <c r="F23">
        <v>270</v>
      </c>
      <c r="H23" s="5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>270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61</v>
      </c>
      <c r="E24">
        <v>1</v>
      </c>
      <c r="F24">
        <v>450</v>
      </c>
      <c r="H24" s="5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>450</v>
      </c>
      <c r="M24" s="32" t="s">
        <v>21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22</v>
      </c>
      <c r="N26" s="14" t="s">
        <v>23</v>
      </c>
      <c r="O26" s="31" t="s">
        <v>24</v>
      </c>
      <c r="P26" s="31"/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18" sqref="D1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62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19</v>
      </c>
      <c r="K3" s="6">
        <f>SUM(Tabla111[Importa])</f>
        <v>1075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25</v>
      </c>
      <c r="C4" t="s">
        <v>17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20</v>
      </c>
      <c r="K4" s="10">
        <f>COUNTIF(C5:C103,"&gt;0")</f>
        <v>13</v>
      </c>
      <c r="M4" s="36" t="s">
        <v>75</v>
      </c>
      <c r="N4" s="36"/>
      <c r="O4" s="36"/>
      <c r="P4" s="36"/>
      <c r="Q4" s="36"/>
      <c r="R4" s="36"/>
    </row>
    <row r="5" spans="2:18" x14ac:dyDescent="0.25">
      <c r="B5" s="18">
        <f ca="1">IF(Tabla111[[#This Row],['#]]&lt;&gt;"", NOW(), "")</f>
        <v>46002.793628472224</v>
      </c>
      <c r="C5">
        <f>IF(ISNUMBER(E5), IF(ISNUMBER(C4), C4+1, 1), "")</f>
        <v>1</v>
      </c>
      <c r="D5" t="s">
        <v>63</v>
      </c>
      <c r="E5">
        <v>1</v>
      </c>
      <c r="F5">
        <v>210</v>
      </c>
      <c r="G5" t="s">
        <v>29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189</v>
      </c>
      <c r="J5" s="38" t="s">
        <v>13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46002.793628587962</v>
      </c>
      <c r="C6">
        <f t="shared" ref="C6" si="0">IF(ISNUMBER(E6), IF(ISNUMBER(C5), C5+1, 1), "")</f>
        <v>2</v>
      </c>
      <c r="D6" t="s">
        <v>64</v>
      </c>
      <c r="E6">
        <v>1</v>
      </c>
      <c r="F6">
        <v>99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99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46002.793628587962</v>
      </c>
      <c r="C7">
        <f>IF(ISNUMBER(E7), IF(ISNUMBER(C6), C6+1, 1), "")</f>
        <v>3</v>
      </c>
      <c r="D7" t="s">
        <v>65</v>
      </c>
      <c r="E7">
        <v>1</v>
      </c>
      <c r="F7">
        <v>32</v>
      </c>
      <c r="G7" t="s">
        <v>29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29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46002.793628587962</v>
      </c>
      <c r="C8">
        <f t="shared" ref="C8:C68" si="1">IF(ISNUMBER(E8), IF(ISNUMBER(C7), C7+1, 1), "")</f>
        <v>4</v>
      </c>
      <c r="D8" t="s">
        <v>28</v>
      </c>
      <c r="E8">
        <v>1</v>
      </c>
      <c r="F8">
        <v>123</v>
      </c>
      <c r="G8" t="s">
        <v>29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117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46002.793628587962</v>
      </c>
      <c r="C9">
        <f t="shared" si="1"/>
        <v>5</v>
      </c>
      <c r="D9" t="s">
        <v>66</v>
      </c>
      <c r="E9">
        <v>1</v>
      </c>
      <c r="F9">
        <v>130</v>
      </c>
      <c r="G9" t="s">
        <v>29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117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46002.793628587962</v>
      </c>
      <c r="C10">
        <f t="shared" si="1"/>
        <v>6</v>
      </c>
      <c r="D10" t="s">
        <v>67</v>
      </c>
      <c r="E10">
        <v>1</v>
      </c>
      <c r="F10">
        <v>55</v>
      </c>
      <c r="G10" t="s">
        <v>29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49.5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46002.793628587962</v>
      </c>
      <c r="C11">
        <f t="shared" si="1"/>
        <v>7</v>
      </c>
      <c r="D11" t="s">
        <v>68</v>
      </c>
      <c r="E11">
        <v>1</v>
      </c>
      <c r="F11">
        <v>20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20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46002.793628587962</v>
      </c>
      <c r="C12">
        <f t="shared" si="1"/>
        <v>8</v>
      </c>
      <c r="D12" t="s">
        <v>69</v>
      </c>
      <c r="E12">
        <v>2</v>
      </c>
      <c r="F12">
        <v>120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240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46002.793628587962</v>
      </c>
      <c r="C13">
        <f t="shared" si="1"/>
        <v>9</v>
      </c>
      <c r="D13" t="s">
        <v>70</v>
      </c>
      <c r="E13">
        <v>2</v>
      </c>
      <c r="F13">
        <v>15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30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46002.793628587962</v>
      </c>
      <c r="C14">
        <f t="shared" si="1"/>
        <v>10</v>
      </c>
      <c r="D14" t="s">
        <v>71</v>
      </c>
      <c r="E14">
        <v>1</v>
      </c>
      <c r="F14">
        <v>4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4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46002.793628587962</v>
      </c>
      <c r="C15">
        <f t="shared" si="1"/>
        <v>11</v>
      </c>
      <c r="D15" t="s">
        <v>72</v>
      </c>
      <c r="E15">
        <v>2</v>
      </c>
      <c r="F15">
        <v>10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20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46002.793628587962</v>
      </c>
      <c r="C16">
        <f t="shared" si="1"/>
        <v>12</v>
      </c>
      <c r="D16" t="s">
        <v>73</v>
      </c>
      <c r="E16">
        <v>2</v>
      </c>
      <c r="F16">
        <v>78</v>
      </c>
      <c r="G16" t="s">
        <v>29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140.5</v>
      </c>
      <c r="M16" s="36"/>
      <c r="N16" s="36"/>
      <c r="O16" s="36"/>
      <c r="P16" s="36"/>
      <c r="Q16" s="36"/>
      <c r="R16" s="36"/>
    </row>
    <row r="17" spans="2:18" x14ac:dyDescent="0.25">
      <c r="B17" s="18" t="str">
        <f ca="1">IF(Tabla1[[#This Row],['#]]&lt;&gt;"", NOW(), "")</f>
        <v/>
      </c>
      <c r="C17">
        <f t="shared" si="1"/>
        <v>13</v>
      </c>
      <c r="D17" t="s">
        <v>68</v>
      </c>
      <c r="E17">
        <v>1</v>
      </c>
      <c r="F17">
        <v>20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20</v>
      </c>
      <c r="M17" s="36"/>
      <c r="N17" s="36"/>
      <c r="O17" s="36"/>
      <c r="P17" s="36"/>
      <c r="Q17" s="36"/>
      <c r="R17" s="36"/>
    </row>
    <row r="18" spans="2:18" x14ac:dyDescent="0.25">
      <c r="B18" s="18" t="str">
        <f ca="1">IF(Tabla1[[#This Row],['#]]&lt;&gt;"", NOW(), "")</f>
        <v/>
      </c>
      <c r="C18" t="str">
        <f t="shared" si="1"/>
        <v/>
      </c>
      <c r="H18" s="5" t="str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 t="str">
        <f ca="1">IF(Tabla1[[#This Row],['#]]&lt;&gt;"", NOW(), "")</f>
        <v/>
      </c>
      <c r="C19" t="str">
        <f t="shared" si="1"/>
        <v/>
      </c>
      <c r="H19" s="5" t="str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 t="str">
        <f t="shared" si="1"/>
        <v/>
      </c>
      <c r="H20" s="5" t="str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 t="str">
        <f t="shared" si="1"/>
        <v/>
      </c>
      <c r="H21" s="5" t="str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1"/>
        <v/>
      </c>
      <c r="H22" s="5" t="str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1"/>
        <v/>
      </c>
      <c r="H23" s="5" t="str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1"/>
        <v/>
      </c>
      <c r="H24" s="5" t="str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/>
      </c>
      <c r="M24" s="32" t="s">
        <v>21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 t="str">
        <f t="shared" si="1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1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22</v>
      </c>
      <c r="N26" s="14" t="s">
        <v>23</v>
      </c>
      <c r="O26" s="31" t="s">
        <v>24</v>
      </c>
      <c r="P26" s="31"/>
      <c r="Q26" s="31"/>
      <c r="R26" s="31"/>
    </row>
    <row r="27" spans="2:18" ht="30" x14ac:dyDescent="0.25">
      <c r="B27" s="18" t="str">
        <f ca="1">IF(Tabla1[[#This Row],['#]]&lt;&gt;"", NOW(), "")</f>
        <v/>
      </c>
      <c r="C27" t="str">
        <f t="shared" si="1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 t="s">
        <v>74</v>
      </c>
      <c r="N27" s="15">
        <v>69</v>
      </c>
      <c r="O27" s="39"/>
      <c r="P27" s="40"/>
      <c r="Q27" s="40"/>
      <c r="R27" s="41"/>
    </row>
    <row r="28" spans="2:18" x14ac:dyDescent="0.25">
      <c r="B28" s="18" t="str">
        <f ca="1">IF(Tabla1[[#This Row],['#]]&lt;&gt;"", NOW(), "")</f>
        <v/>
      </c>
      <c r="C28" t="str">
        <f t="shared" si="1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1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1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1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1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tabSelected="1" workbookViewId="0">
      <selection activeCell="D19" sqref="D19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76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19</v>
      </c>
      <c r="K3" s="6">
        <f>SUM(Tabla112[Importa])</f>
        <v>1430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25</v>
      </c>
      <c r="C4" t="s">
        <v>17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20</v>
      </c>
      <c r="K4" s="10">
        <f>COUNTIF(C5:C103,"&gt;0")</f>
        <v>14</v>
      </c>
      <c r="M4" s="36" t="s">
        <v>89</v>
      </c>
      <c r="N4" s="36"/>
      <c r="O4" s="36"/>
      <c r="P4" s="36"/>
      <c r="Q4" s="36"/>
      <c r="R4" s="36"/>
    </row>
    <row r="5" spans="2:18" x14ac:dyDescent="0.25">
      <c r="B5" s="18">
        <f ca="1">IF(Tabla112[[#This Row],['#]]&lt;&gt;"", NOW(), "")</f>
        <v>46002.793628587962</v>
      </c>
      <c r="C5">
        <f t="shared" ref="C5:C68" si="0">IF(ISNUMBER(E5), IF(ISNUMBER(C4), C4+1, 1), "")</f>
        <v>1</v>
      </c>
      <c r="D5" t="s">
        <v>77</v>
      </c>
      <c r="E5">
        <v>1</v>
      </c>
      <c r="F5">
        <v>10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10</v>
      </c>
      <c r="J5" s="38" t="s">
        <v>13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46002.793628587962</v>
      </c>
      <c r="C6">
        <f t="shared" si="0"/>
        <v>2</v>
      </c>
      <c r="D6" t="s">
        <v>79</v>
      </c>
      <c r="E6">
        <v>1</v>
      </c>
      <c r="F6">
        <v>280</v>
      </c>
      <c r="G6" t="s">
        <v>29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252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46002.793628587962</v>
      </c>
      <c r="C7">
        <f t="shared" si="0"/>
        <v>3</v>
      </c>
      <c r="D7" t="s">
        <v>80</v>
      </c>
      <c r="E7">
        <v>1</v>
      </c>
      <c r="F7">
        <v>350</v>
      </c>
      <c r="G7" t="s">
        <v>29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315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46002.793628587962</v>
      </c>
      <c r="C8">
        <f t="shared" si="0"/>
        <v>4</v>
      </c>
      <c r="D8" t="s">
        <v>81</v>
      </c>
      <c r="E8">
        <v>1</v>
      </c>
      <c r="F8">
        <v>75</v>
      </c>
      <c r="G8" t="s">
        <v>29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67.5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46002.793628587962</v>
      </c>
      <c r="C9">
        <f t="shared" si="0"/>
        <v>5</v>
      </c>
      <c r="D9" t="s">
        <v>82</v>
      </c>
      <c r="E9">
        <v>1</v>
      </c>
      <c r="F9">
        <v>280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280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46002.793628587962</v>
      </c>
      <c r="C10">
        <f t="shared" si="0"/>
        <v>6</v>
      </c>
      <c r="D10" t="s">
        <v>83</v>
      </c>
      <c r="E10">
        <v>1</v>
      </c>
      <c r="F10">
        <v>70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70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46002.793628587962</v>
      </c>
      <c r="C11">
        <f t="shared" si="0"/>
        <v>7</v>
      </c>
      <c r="D11" t="s">
        <v>84</v>
      </c>
      <c r="E11">
        <v>2</v>
      </c>
      <c r="F11">
        <v>5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10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46002.793628587962</v>
      </c>
      <c r="C12">
        <f t="shared" si="0"/>
        <v>8</v>
      </c>
      <c r="D12" t="s">
        <v>84</v>
      </c>
      <c r="E12">
        <v>2</v>
      </c>
      <c r="F12">
        <v>5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10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46002.793628587962</v>
      </c>
      <c r="C13">
        <f t="shared" si="0"/>
        <v>9</v>
      </c>
      <c r="D13" t="s">
        <v>85</v>
      </c>
      <c r="E13">
        <v>1</v>
      </c>
      <c r="F13">
        <v>120</v>
      </c>
      <c r="G13" t="s">
        <v>29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108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46002.793628587962</v>
      </c>
      <c r="C14">
        <f t="shared" si="0"/>
        <v>10</v>
      </c>
      <c r="D14" t="s">
        <v>86</v>
      </c>
      <c r="E14">
        <v>1</v>
      </c>
      <c r="F14">
        <v>96</v>
      </c>
      <c r="G14" t="s">
        <v>29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86.5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46002.793628587962</v>
      </c>
      <c r="C15">
        <f t="shared" si="0"/>
        <v>11</v>
      </c>
      <c r="D15" t="s">
        <v>87</v>
      </c>
      <c r="E15">
        <v>1</v>
      </c>
      <c r="F15">
        <v>15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15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46002.793628587962</v>
      </c>
      <c r="C16">
        <f t="shared" si="0"/>
        <v>12</v>
      </c>
      <c r="D16" t="s">
        <v>86</v>
      </c>
      <c r="E16">
        <v>1</v>
      </c>
      <c r="F16">
        <v>96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96</v>
      </c>
      <c r="M16" s="36"/>
      <c r="N16" s="36"/>
      <c r="O16" s="36"/>
      <c r="P16" s="36"/>
      <c r="Q16" s="36"/>
      <c r="R16" s="36"/>
    </row>
    <row r="17" spans="2:18" x14ac:dyDescent="0.25">
      <c r="B17" s="18" t="str">
        <f ca="1">IF(Tabla1[[#This Row],['#]]&lt;&gt;"", NOW(), "")</f>
        <v/>
      </c>
      <c r="C17">
        <f t="shared" si="0"/>
        <v>13</v>
      </c>
      <c r="D17" t="s">
        <v>88</v>
      </c>
      <c r="E17">
        <v>1</v>
      </c>
      <c r="F17">
        <v>90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90</v>
      </c>
      <c r="M17" s="36"/>
      <c r="N17" s="36"/>
      <c r="O17" s="36"/>
      <c r="P17" s="36"/>
      <c r="Q17" s="36"/>
      <c r="R17" s="36"/>
    </row>
    <row r="18" spans="2:18" x14ac:dyDescent="0.25">
      <c r="B18" s="18" t="str">
        <f ca="1">IF(Tabla1[[#This Row],['#]]&lt;&gt;"", NOW(), "")</f>
        <v/>
      </c>
      <c r="C18">
        <f t="shared" si="0"/>
        <v>14</v>
      </c>
      <c r="D18" t="s">
        <v>68</v>
      </c>
      <c r="E18">
        <v>1</v>
      </c>
      <c r="F18">
        <v>20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20</v>
      </c>
      <c r="M18" s="36"/>
      <c r="N18" s="36"/>
      <c r="O18" s="36"/>
      <c r="P18" s="36"/>
      <c r="Q18" s="36"/>
      <c r="R18" s="36"/>
    </row>
    <row r="19" spans="2:18" x14ac:dyDescent="0.25">
      <c r="B19" s="18" t="str">
        <f ca="1">IF(Tabla1[[#This Row],['#]]&lt;&gt;"", NOW(), "")</f>
        <v/>
      </c>
      <c r="C19" t="str">
        <f t="shared" si="0"/>
        <v/>
      </c>
      <c r="H19" s="5" t="str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32" t="s">
        <v>21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22</v>
      </c>
      <c r="N26" s="14" t="s">
        <v>23</v>
      </c>
      <c r="O26" s="31" t="s">
        <v>24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 t="s">
        <v>78</v>
      </c>
      <c r="N27" s="15">
        <v>520</v>
      </c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B1" sqref="B1:B104857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8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19</v>
      </c>
      <c r="K3" s="6">
        <f>SUM(Tabla113[Importa])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25</v>
      </c>
      <c r="C4" t="s">
        <v>17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20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IF(Tabla113[[#This Row],['#]]&lt;&gt;"", NOW(), "")</f>
        <v/>
      </c>
      <c r="C5" t="str">
        <f t="shared" ref="C5:C68" si="0">IF(ISNUMBER(E5), IF(ISNUMBER(C4), C4+1, 1), "")</f>
        <v/>
      </c>
      <c r="H5" s="5" t="str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/>
      </c>
      <c r="J5" s="38" t="s">
        <v>13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46002.793628587962</v>
      </c>
      <c r="C6" t="str">
        <f t="shared" si="0"/>
        <v/>
      </c>
      <c r="H6" s="5" t="str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46002.793628587962</v>
      </c>
      <c r="C7" t="str">
        <f t="shared" si="0"/>
        <v/>
      </c>
      <c r="H7" s="5" t="str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46002.793628587962</v>
      </c>
      <c r="C8" t="str">
        <f t="shared" si="0"/>
        <v/>
      </c>
      <c r="H8" s="5" t="str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46002.793628587962</v>
      </c>
      <c r="C9" t="str">
        <f t="shared" si="0"/>
        <v/>
      </c>
      <c r="H9" s="5" t="str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46002.793628587962</v>
      </c>
      <c r="C10" t="str">
        <f t="shared" si="0"/>
        <v/>
      </c>
      <c r="H10" s="5" t="str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46002.793628587962</v>
      </c>
      <c r="C11" t="str">
        <f t="shared" si="0"/>
        <v/>
      </c>
      <c r="H11" s="5" t="str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46002.793628587962</v>
      </c>
      <c r="C12" t="str">
        <f t="shared" si="0"/>
        <v/>
      </c>
      <c r="H12" s="5" t="str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46002.793628587962</v>
      </c>
      <c r="C13" t="str">
        <f t="shared" si="0"/>
        <v/>
      </c>
      <c r="H13" s="5" t="str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46002.793628587962</v>
      </c>
      <c r="C14" t="str">
        <f t="shared" si="0"/>
        <v/>
      </c>
      <c r="H14" s="5" t="str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46002.793628587962</v>
      </c>
      <c r="C15" t="str">
        <f t="shared" si="0"/>
        <v/>
      </c>
      <c r="H15" s="5" t="str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46002.793628587962</v>
      </c>
      <c r="C16" t="str">
        <f t="shared" si="0"/>
        <v/>
      </c>
      <c r="H16" s="5" t="str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 t="str">
        <f ca="1">IF(Tabla1[[#This Row],['#]]&lt;&gt;"", NOW(), "")</f>
        <v/>
      </c>
      <c r="C17" t="str">
        <f t="shared" si="0"/>
        <v/>
      </c>
      <c r="H17" s="5" t="str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 t="str">
        <f ca="1">IF(Tabla1[[#This Row],['#]]&lt;&gt;"", NOW(), "")</f>
        <v/>
      </c>
      <c r="C18" t="str">
        <f t="shared" si="0"/>
        <v/>
      </c>
      <c r="H18" s="5" t="str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 t="str">
        <f ca="1">IF(Tabla1[[#This Row],['#]]&lt;&gt;"", NOW(), "")</f>
        <v/>
      </c>
      <c r="C19" t="str">
        <f t="shared" si="0"/>
        <v/>
      </c>
      <c r="H19" s="5" t="str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32" t="s">
        <v>21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22</v>
      </c>
      <c r="N26" s="14" t="s">
        <v>23</v>
      </c>
      <c r="O26" s="31" t="s">
        <v>24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workbookViewId="0">
      <selection activeCell="D5" sqref="D5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9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19</v>
      </c>
      <c r="K3" s="6">
        <f>SUM(Tabla114[Importa])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25</v>
      </c>
      <c r="C4" t="s">
        <v>17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20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IF(Tabla114[[#This Row],['#]]&lt;&gt;"", NOW(), "")</f>
        <v/>
      </c>
      <c r="C5" t="str">
        <f t="shared" ref="C5:C68" si="0">IF(ISNUMBER(E5), IF(ISNUMBER(C4), C4+1, 1), "")</f>
        <v/>
      </c>
      <c r="H5" s="5" t="str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/>
      </c>
      <c r="J5" s="38" t="s">
        <v>13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46002.793628587962</v>
      </c>
      <c r="C6" t="str">
        <f t="shared" si="0"/>
        <v/>
      </c>
      <c r="H6" s="5" t="str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46002.793628587962</v>
      </c>
      <c r="C7" t="str">
        <f t="shared" si="0"/>
        <v/>
      </c>
      <c r="H7" s="5" t="str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46002.793628587962</v>
      </c>
      <c r="C8" t="str">
        <f t="shared" si="0"/>
        <v/>
      </c>
      <c r="H8" s="5" t="str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46002.793628587962</v>
      </c>
      <c r="C9" t="str">
        <f t="shared" si="0"/>
        <v/>
      </c>
      <c r="H9" s="5" t="str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46002.793628587962</v>
      </c>
      <c r="C10" t="str">
        <f t="shared" si="0"/>
        <v/>
      </c>
      <c r="H10" s="5" t="str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46002.793628587962</v>
      </c>
      <c r="C11" t="str">
        <f t="shared" si="0"/>
        <v/>
      </c>
      <c r="H11" s="5" t="str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46002.793628587962</v>
      </c>
      <c r="C12" t="str">
        <f t="shared" si="0"/>
        <v/>
      </c>
      <c r="H12" s="5" t="str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46002.793628587962</v>
      </c>
      <c r="C13" t="str">
        <f t="shared" si="0"/>
        <v/>
      </c>
      <c r="H13" s="5" t="str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46002.793628587962</v>
      </c>
      <c r="C14" t="str">
        <f t="shared" si="0"/>
        <v/>
      </c>
      <c r="H14" s="5" t="str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46002.793628587962</v>
      </c>
      <c r="C15" t="str">
        <f t="shared" si="0"/>
        <v/>
      </c>
      <c r="H15" s="5" t="str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46002.793628587962</v>
      </c>
      <c r="C16" t="str">
        <f t="shared" si="0"/>
        <v/>
      </c>
      <c r="H16" s="5" t="str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 t="str">
        <f ca="1">IF(Tabla1[[#This Row],['#]]&lt;&gt;"", NOW(), "")</f>
        <v/>
      </c>
      <c r="C17" t="str">
        <f t="shared" si="0"/>
        <v/>
      </c>
      <c r="H17" s="5" t="str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 t="str">
        <f ca="1">IF(Tabla1[[#This Row],['#]]&lt;&gt;"", NOW(), "")</f>
        <v/>
      </c>
      <c r="C18" t="str">
        <f t="shared" si="0"/>
        <v/>
      </c>
      <c r="H18" s="5" t="str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 t="str">
        <f ca="1">IF(Tabla1[[#This Row],['#]]&lt;&gt;"", NOW(), "")</f>
        <v/>
      </c>
      <c r="C19" t="str">
        <f t="shared" si="0"/>
        <v/>
      </c>
      <c r="H19" s="5" t="str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/>
      </c>
      <c r="M24" s="32" t="s">
        <v>21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/>
      </c>
      <c r="M26" s="14" t="s">
        <v>22</v>
      </c>
      <c r="N26" s="14" t="s">
        <v>23</v>
      </c>
      <c r="O26" s="31" t="s">
        <v>24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16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19</v>
      </c>
      <c r="K3" s="6">
        <f>SUM(Tabla115[Importa])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25</v>
      </c>
      <c r="C4" t="s">
        <v>17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20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13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46002.793628587962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46002.793628587962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46002.793628587962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46002.793628587962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46002.793628587962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46002.793628587962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46002.793628587962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46002.793628587962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46002.793628587962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46002.793628587962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46002.793628587962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 t="str">
        <f ca="1">IF(Tabla1[[#This Row],['#]]&lt;&gt;"", NOW(), "")</f>
        <v/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 t="str">
        <f ca="1">IF(Tabla1[[#This Row],['#]]&lt;&gt;"", NOW(), "")</f>
        <v/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 t="str">
        <f ca="1">IF(Tabla1[[#This Row],['#]]&lt;&gt;"", NOW(), "")</f>
        <v/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21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22</v>
      </c>
      <c r="N26" s="14" t="s">
        <v>23</v>
      </c>
      <c r="O26" s="31" t="s">
        <v>24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10</v>
      </c>
      <c r="C3" t="s">
        <v>11</v>
      </c>
      <c r="D3" t="s">
        <v>12</v>
      </c>
    </row>
    <row r="4" spans="2:5" ht="30" x14ac:dyDescent="0.25">
      <c r="B4" s="4" t="s">
        <v>14</v>
      </c>
      <c r="C4" s="2">
        <v>45576</v>
      </c>
      <c r="D4" s="3">
        <v>1.1000000000000001</v>
      </c>
      <c r="E4" s="3"/>
    </row>
    <row r="5" spans="2:5" ht="45" x14ac:dyDescent="0.25">
      <c r="B5" s="7" t="s">
        <v>18</v>
      </c>
      <c r="C5" s="3" t="s">
        <v>15</v>
      </c>
      <c r="D5" s="3">
        <v>1.2</v>
      </c>
      <c r="E5" s="3"/>
    </row>
    <row r="6" spans="2:5" ht="30" x14ac:dyDescent="0.25">
      <c r="B6" s="7" t="s">
        <v>26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08-12-25</vt:lpstr>
      <vt:lpstr>Martes 09-12-25</vt:lpstr>
      <vt:lpstr>Miercoles 10-12-25</vt:lpstr>
      <vt:lpstr>Jueves 11-12-25</vt:lpstr>
      <vt:lpstr>Viernes</vt:lpstr>
      <vt:lpstr>Sabado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2025-12-12T01:03:32Z</dcterms:modified>
</cp:coreProperties>
</file>