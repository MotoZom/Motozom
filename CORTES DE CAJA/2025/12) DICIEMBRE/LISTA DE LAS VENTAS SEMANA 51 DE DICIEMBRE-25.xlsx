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8830FDC6-BF00-4A51-B356-968E509F48B5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2-12-25" sheetId="1" r:id="rId1"/>
    <sheet name="Martes 23-12-25" sheetId="2" r:id="rId2"/>
    <sheet name="Miercoles 24-12--25" sheetId="3" r:id="rId3"/>
    <sheet name="Jueves" sheetId="4" r:id="rId4"/>
    <sheet name="Viernes 26-12-25" sheetId="5" r:id="rId5"/>
    <sheet name="Sabado" sheetId="6" r:id="rId6"/>
    <sheet name="Domingo" sheetId="8" r:id="rId7"/>
    <sheet name="Cambios" sheetId="7" r:id="rId8"/>
  </sheets>
  <definedNames>
    <definedName name="_xlnm._FilterDatabase" localSheetId="0" hidden="1">'Lunes 22-12-25'!$B$4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<sst xmlns="http://schemas.openxmlformats.org/spreadsheetml/2006/main" count="308" uniqueCount="126">
  <si>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</si>
  <si>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</si>
  <si>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</si>
  <si>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</si>
  <si>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</si>
  <si>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</si>
  <si>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</si>
  <si>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</si>
  <si>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Jueves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</si>
  <si>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</si>
  <si>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</si>
  <si>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</si>
  <si>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</si>
  <si>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</si>
  <si>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</si>
  <si>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</si>
  <si>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</si>
  <si>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</si>
  <si>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</si>
  <si>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</si>
  <si>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</si>
  <si>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</si>
  <si>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</si>
  <si>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</si>
  <si>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</si>
  <si>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</si>
  <si>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22 DE DICIEMBRE-25</t>
  </si>
  <si>
    <t>ARNES CDI FT150</t>
  </si>
  <si>
    <t>X</t>
  </si>
  <si>
    <t xml:space="preserve"> MANIJA DE FT125 CON BASE</t>
  </si>
  <si>
    <t xml:space="preserve">FOCO H4 </t>
  </si>
  <si>
    <t>RETEN DE VALVULA FT150</t>
  </si>
  <si>
    <t>STIKJER</t>
  </si>
  <si>
    <t>FILTRO DE GASOLINA CARTON</t>
  </si>
  <si>
    <t>RELLEE DE ENCENDICO FT150</t>
  </si>
  <si>
    <t xml:space="preserve">RELLEE DE ENCENDICO MOTONETA </t>
  </si>
  <si>
    <t xml:space="preserve">TERMINAL DE BACTERIA </t>
  </si>
  <si>
    <t xml:space="preserve">ABRAZADERA DE MANGUERA GASOLINA </t>
  </si>
  <si>
    <t xml:space="preserve">CINTA PARA BACTERIA </t>
  </si>
  <si>
    <t>ACEITE REPSOL</t>
  </si>
  <si>
    <t>PASTAS DE FT150</t>
  </si>
  <si>
    <t>BALERO 6004</t>
  </si>
  <si>
    <t>ACEITE AKRON</t>
  </si>
  <si>
    <t>GOMAS DE IMPACTO RC200</t>
  </si>
  <si>
    <t xml:space="preserve">DIRECCIONALES UNIVERSALES </t>
  </si>
  <si>
    <t>CINTA DE AISLAR MEDIANA</t>
  </si>
  <si>
    <t>BALATA DELANTERO RC200</t>
  </si>
  <si>
    <t>REGULADOR DS150 NASAKI</t>
  </si>
  <si>
    <t>CADENA 428 SENCILLA</t>
  </si>
  <si>
    <t>BOMBA DE FRENO TRASERA UNIVERSAL</t>
  </si>
  <si>
    <t>FOCO H4 LED</t>
  </si>
  <si>
    <t>ARNES H4</t>
  </si>
  <si>
    <t>JUNTA DE PULSAR</t>
  </si>
  <si>
    <t>SPROKET DE FT125</t>
  </si>
  <si>
    <t>AFLOJATODO AXPRO</t>
  </si>
  <si>
    <t>CARBUCLIN AXPRO</t>
  </si>
  <si>
    <t>Martes 23 DE DICIEMBRE-25</t>
  </si>
  <si>
    <t>ACEITE YAMALUBE</t>
  </si>
  <si>
    <t xml:space="preserve">RESORTE DE LA PATA </t>
  </si>
  <si>
    <t>PILA 12N5 YOG</t>
  </si>
  <si>
    <t>PASTAS DE CLUTH FZ16</t>
  </si>
  <si>
    <t>KID DE CILINDRO 250Z</t>
  </si>
  <si>
    <t>COSAS QUE DANIEL ENCARGO EN ITALIKA</t>
  </si>
  <si>
    <t xml:space="preserve">FOCO DE BUHOS </t>
  </si>
  <si>
    <t>STIKER</t>
  </si>
  <si>
    <t>FILTRO DE AIRE DM200</t>
  </si>
  <si>
    <t>RETEN DE BARRAS 31-10-</t>
  </si>
  <si>
    <t>CADENA 428X 136</t>
  </si>
  <si>
    <t>CAMARA 140-70-17</t>
  </si>
  <si>
    <t xml:space="preserve">TIRA LED </t>
  </si>
  <si>
    <t>LUBRICANTE DE CADENA LUBER</t>
  </si>
  <si>
    <t>CINTA DE AISLAR GRANDE</t>
  </si>
  <si>
    <t>Miercoles 24 DE DICIEMBRE-25</t>
  </si>
  <si>
    <t>BUJE DE SPROKET PLASTICO</t>
  </si>
  <si>
    <t>BALATA DE DISCO FT150</t>
  </si>
  <si>
    <t>CAMARA 3.00.18</t>
  </si>
  <si>
    <t>BALATA DE DISCO DS150</t>
  </si>
  <si>
    <t>PILA 6.5 YOG</t>
  </si>
  <si>
    <t>REGULADOR DE FT150</t>
  </si>
  <si>
    <t>MANIJA DE LUJO NEGRA</t>
  </si>
  <si>
    <t>FILTRO DE ACEITE YAMAHA</t>
  </si>
  <si>
    <t>BUJIAS D8</t>
  </si>
  <si>
    <t xml:space="preserve">PEGAMENTO DE WURTH </t>
  </si>
  <si>
    <t>GRASA PARA BALERO</t>
  </si>
  <si>
    <t>ACEITE LUBER</t>
  </si>
  <si>
    <t>Viernes 26 DE DICIEMBRE-25</t>
  </si>
  <si>
    <t xml:space="preserve">AGUA DE BACTERIA </t>
  </si>
  <si>
    <t>ESPEJOS DM200</t>
  </si>
  <si>
    <t>FILTRO DE AIRE DS150</t>
  </si>
  <si>
    <t>BENDIX DE FT150</t>
  </si>
  <si>
    <t>RELEVADOR DE FT150</t>
  </si>
  <si>
    <t>DIRECCIONAL UNIVERSAL</t>
  </si>
  <si>
    <t>BUJIA C7</t>
  </si>
  <si>
    <t>BUJIA D8</t>
  </si>
  <si>
    <t>CADENA SENCILLA 428</t>
  </si>
  <si>
    <t>PILA 12N9-4 NASAKI</t>
  </si>
  <si>
    <t>CHICOTE DE CLUTH 250Z</t>
  </si>
  <si>
    <t>RED DE ACIENTO</t>
  </si>
  <si>
    <t>PORTA CELULAR</t>
  </si>
  <si>
    <t>ESPEJOS AT110 ITALIKA</t>
  </si>
  <si>
    <t>MANDO IZQUIERDO DE ATV</t>
  </si>
  <si>
    <t>CABLE SUELTO</t>
  </si>
  <si>
    <t>MANIJA IZQUIERDA DE FT125</t>
  </si>
  <si>
    <t>BALERO 6301</t>
  </si>
  <si>
    <t>FILTRO DE ACEI FZ2.0</t>
  </si>
  <si>
    <t>BALATA DE DICO DS</t>
  </si>
  <si>
    <t>PAGOYAS</t>
  </si>
  <si>
    <r>
      <rPr>
        <b/>
        <sz val="14"/>
        <color theme="1"/>
        <rFont val="Calibri"/>
        <family val="2"/>
        <scheme val="minor"/>
      </rPr>
      <t xml:space="preserve">CORTES DE LA SEMANA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22 DE DICIEMBRE-25       4544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$ 2250                         1200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23 DE DICIEMBRE-25   3344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$ 5582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24 DE DICIEMBRE-25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$ 1760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26 DE DICIEMBRE-25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$ 3071.5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$ 12663.6
TOTAL EN CAJA $ 16007.5  </t>
    </r>
  </si>
  <si>
    <t>Sabado 27 DE DICIEMBRE-25</t>
  </si>
  <si>
    <t>ACEITE MOTUL 7100-20-W-50</t>
  </si>
  <si>
    <t>CHICOTE DE CLUTH UNIVERSAL</t>
  </si>
  <si>
    <t>AORCADOR UNIVERSAL</t>
  </si>
  <si>
    <t>FILTRO DE ACEI GN125</t>
  </si>
  <si>
    <t>BALATA DE TAMBOR DS150</t>
  </si>
  <si>
    <t>ROLLO</t>
  </si>
  <si>
    <t>LUBRICANTE DE CADENA AXPRO</t>
  </si>
  <si>
    <t>AMORTIGUADOR ATV</t>
  </si>
  <si>
    <t>BALATA DE DISCO ATV</t>
  </si>
  <si>
    <t>PILA 12N9 4B NASAKI</t>
  </si>
  <si>
    <t>JUNTA DE CLUTH DM200</t>
  </si>
  <si>
    <t>CLUTH COMPLETO DM200</t>
  </si>
  <si>
    <t>RETEN DE SUSPENCIN 27-20-30</t>
  </si>
  <si>
    <t>PEDIDO MERCADO</t>
  </si>
  <si>
    <t>BALATA DE DISCI ATV</t>
  </si>
  <si>
    <t>ACEITE MOTUL 5100-15W-50</t>
  </si>
  <si>
    <r>
      <t xml:space="preserve">CUENTA DE AYER $ 16007.5 MENOS $ 65 DE ROLLO Y FABULOSO QUEDA $15942.5 MENOS $ 2963 COSAS DE MERCADO QUEDA $ 12979.5 
CUENTA DE HOY $ 3847 MENOS $ 300 PAGO DE YAS QUEDA $ 3547 
</t>
    </r>
    <r>
      <rPr>
        <b/>
        <sz val="22"/>
        <color theme="1"/>
        <rFont val="Calibri"/>
        <family val="2"/>
        <scheme val="minor"/>
      </rPr>
      <t xml:space="preserve">TOTAL EN CAJA $ 16526.5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</si>
</sst>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18</v>
      </c>
      <c r="K3" s="6">
        <f>SUM(Tabla1[Importa])</f>
        <v>2250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19</v>
      </c>
      <c r="K4" s="10">
        <f>COUNTIF(C5:C103,"&gt;0")</f>
        <v>31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46018.798324189818</v>
      </c>
      <c r="C5">
        <f>IF(ISNUMBER(E5), IF(ISNUMBER(C4), C4+1, 1), "")</f>
        <v>1</v>
      </c>
      <c r="D5" t="s">
        <v>27</v>
      </c>
      <c r="E5">
        <v>1</v>
      </c>
      <c r="F5">
        <v>20</v>
      </c>
      <c r="G5" t="s">
        <v>28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18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46018.798324189818</v>
      </c>
      <c r="C6">
        <f t="shared" ref="C6:C36" si="0">IF(ISNUMBER(E6), IF(ISNUMBER(C5), C5+1, 1), "")</f>
        <v>2</v>
      </c>
      <c r="D6" t="s">
        <v>29</v>
      </c>
      <c r="E6">
        <v>1</v>
      </c>
      <c r="F6">
        <v>75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75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46018.798324189818</v>
      </c>
      <c r="C7">
        <f t="shared" si="0"/>
        <v>3</v>
      </c>
      <c r="D7" t="s">
        <v>30</v>
      </c>
      <c r="E7">
        <v>1</v>
      </c>
      <c r="F7">
        <v>20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46018.798324189818</v>
      </c>
      <c r="C8">
        <f t="shared" si="0"/>
        <v>4</v>
      </c>
      <c r="D8" t="s">
        <v>31</v>
      </c>
      <c r="E8">
        <v>2</v>
      </c>
      <c r="F8">
        <v>10</v>
      </c>
      <c r="G8" t="s">
        <v>28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18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46018.798324189818</v>
      </c>
      <c r="C9">
        <f t="shared" si="0"/>
        <v>5</v>
      </c>
      <c r="D9" t="s">
        <v>31</v>
      </c>
      <c r="E9">
        <v>2</v>
      </c>
      <c r="F9">
        <v>10</v>
      </c>
      <c r="G9" t="s">
        <v>28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46018.798324189818</v>
      </c>
      <c r="C10">
        <f t="shared" si="0"/>
        <v>6</v>
      </c>
      <c r="D10" t="s">
        <v>32</v>
      </c>
      <c r="E10">
        <v>1</v>
      </c>
      <c r="F10">
        <v>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46018.798324189818</v>
      </c>
      <c r="C11">
        <f t="shared" si="0"/>
        <v>7</v>
      </c>
      <c r="D11" t="s">
        <v>33</v>
      </c>
      <c r="E11">
        <v>1</v>
      </c>
      <c r="F11">
        <v>15</v>
      </c>
      <c r="G11" t="s">
        <v>28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46018.798324189818</v>
      </c>
      <c r="C12">
        <f t="shared" si="0"/>
        <v>8</v>
      </c>
      <c r="D12" t="s">
        <v>34</v>
      </c>
      <c r="E12">
        <v>1</v>
      </c>
      <c r="F12">
        <v>180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180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46018.798324189818</v>
      </c>
      <c r="C13">
        <f t="shared" si="0"/>
        <v>9</v>
      </c>
      <c r="D13" t="s">
        <v>35</v>
      </c>
      <c r="E13">
        <v>1</v>
      </c>
      <c r="F13">
        <v>172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172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46018.798324189818</v>
      </c>
      <c r="C14">
        <f t="shared" si="0"/>
        <v>10</v>
      </c>
      <c r="D14" t="s">
        <v>33</v>
      </c>
      <c r="E14">
        <v>1</v>
      </c>
      <c r="F14">
        <v>15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46018.798324189818</v>
      </c>
      <c r="C15">
        <f t="shared" si="0"/>
        <v>11</v>
      </c>
      <c r="D15" t="s">
        <v>36</v>
      </c>
      <c r="E15">
        <v>2</v>
      </c>
      <c r="F15">
        <v>5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46018.798324189818</v>
      </c>
      <c r="C16">
        <f t="shared" si="0"/>
        <v>12</v>
      </c>
      <c r="D16" t="s">
        <v>37</v>
      </c>
      <c r="E16">
        <v>2</v>
      </c>
      <c r="F16">
        <v>4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46018.798324189818</v>
      </c>
      <c r="C17">
        <f t="shared" si="0"/>
        <v>13</v>
      </c>
      <c r="D17" t="s">
        <v>38</v>
      </c>
      <c r="E17">
        <v>1</v>
      </c>
      <c r="F17">
        <v>18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46018.798324189818</v>
      </c>
      <c r="C18">
        <f t="shared" si="0"/>
        <v>14</v>
      </c>
      <c r="D18" t="s">
        <v>39</v>
      </c>
      <c r="E18">
        <v>1</v>
      </c>
      <c r="F18">
        <v>142</v>
      </c>
      <c r="G18" t="s">
        <v>28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135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46018.798324189818</v>
      </c>
      <c r="C19">
        <f t="shared" si="0"/>
        <v>15</v>
      </c>
      <c r="D19" t="s">
        <v>40</v>
      </c>
      <c r="E19">
        <v>1</v>
      </c>
      <c r="F19">
        <v>70</v>
      </c>
      <c r="G19" t="s">
        <v>28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63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46018.798324189818</v>
      </c>
      <c r="C20">
        <f t="shared" si="0"/>
        <v>16</v>
      </c>
      <c r="D20" t="s">
        <v>41</v>
      </c>
      <c r="E20">
        <v>1</v>
      </c>
      <c r="F20">
        <v>48</v>
      </c>
      <c r="G20" t="s">
        <v>28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43.5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46018.798324189818</v>
      </c>
      <c r="C21">
        <f t="shared" si="0"/>
        <v>17</v>
      </c>
      <c r="D21" t="s">
        <v>42</v>
      </c>
      <c r="E21">
        <v>1</v>
      </c>
      <c r="F21">
        <v>123</v>
      </c>
      <c r="G21" t="s">
        <v>28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117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46018.798324189818</v>
      </c>
      <c r="C22">
        <f t="shared" si="0"/>
        <v>18</v>
      </c>
      <c r="D22" t="s">
        <v>40</v>
      </c>
      <c r="E22">
        <v>1</v>
      </c>
      <c r="F22">
        <v>70</v>
      </c>
      <c r="G22" t="s">
        <v>28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63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46018.798324189818</v>
      </c>
      <c r="C23">
        <f t="shared" si="0"/>
        <v>19</v>
      </c>
      <c r="D23" t="s">
        <v>43</v>
      </c>
      <c r="E23">
        <v>1</v>
      </c>
      <c r="F23">
        <v>70</v>
      </c>
      <c r="G23" t="s">
        <v>28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63</v>
      </c>
    </row>
    <row r="24" spans="2:18" ht="15" customHeight="1" x14ac:dyDescent="0.25">
      <c r="B24" s="18">
        <f ca="1">IF(Tabla1[[#This Row],['#]]&lt;&gt;"", NOW(), "")</f>
        <v>46018.798324189818</v>
      </c>
      <c r="C24">
        <f t="shared" si="0"/>
        <v>20</v>
      </c>
      <c r="D24" t="s">
        <v>44</v>
      </c>
      <c r="E24">
        <v>1</v>
      </c>
      <c r="F24">
        <v>90</v>
      </c>
      <c r="G24" t="s">
        <v>28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81</v>
      </c>
      <c r="M24" s="32" t="s">
        <v>20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46018.798324189818</v>
      </c>
      <c r="C25">
        <f t="shared" si="0"/>
        <v>21</v>
      </c>
      <c r="D25" t="s">
        <v>45</v>
      </c>
      <c r="E25">
        <v>1</v>
      </c>
      <c r="F25">
        <v>15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15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46018.798324189818</v>
      </c>
      <c r="C26">
        <f t="shared" si="0"/>
        <v>22</v>
      </c>
      <c r="D26" t="s">
        <v>46</v>
      </c>
      <c r="E26">
        <v>1</v>
      </c>
      <c r="F26">
        <v>45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45</v>
      </c>
      <c r="M26" s="31" t="s">
        <v>21</v>
      </c>
      <c r="N26" s="31"/>
      <c r="O26" s="14" t="s">
        <v>22</v>
      </c>
      <c r="P26" s="31" t="s">
        <v>23</v>
      </c>
      <c r="Q26" s="31"/>
      <c r="R26" s="31"/>
    </row>
    <row r="27" spans="2:18" x14ac:dyDescent="0.25">
      <c r="B27" s="18">
        <f ca="1">IF(Tabla1[[#This Row],['#]]&lt;&gt;"", NOW(), "")</f>
        <v>46018.798324189818</v>
      </c>
      <c r="C27">
        <f t="shared" si="0"/>
        <v>23</v>
      </c>
      <c r="D27" t="s">
        <v>47</v>
      </c>
      <c r="E27">
        <v>1</v>
      </c>
      <c r="F27">
        <v>113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113</v>
      </c>
      <c r="M27" s="19"/>
      <c r="N27" s="20"/>
      <c r="O27" s="23"/>
      <c r="P27" s="25"/>
      <c r="Q27" s="26"/>
      <c r="R27" s="27"/>
    </row>
    <row r="28" spans="2:18" x14ac:dyDescent="0.25">
      <c r="B28" s="18">
        <f ca="1">IF(Tabla1[[#This Row],['#]]&lt;&gt;"", NOW(), "")</f>
        <v>46018.798324189818</v>
      </c>
      <c r="C28">
        <f t="shared" si="0"/>
        <v>24</v>
      </c>
      <c r="D28" t="s">
        <v>48</v>
      </c>
      <c r="E28">
        <v>1</v>
      </c>
      <c r="F28">
        <v>220</v>
      </c>
      <c r="G28" t="s">
        <v>28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198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46018.798324189818</v>
      </c>
      <c r="C29">
        <f t="shared" si="0"/>
        <v>25</v>
      </c>
      <c r="D29" t="s">
        <v>49</v>
      </c>
      <c r="E29">
        <v>1</v>
      </c>
      <c r="F29">
        <v>280</v>
      </c>
      <c r="G29" t="s">
        <v>28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252</v>
      </c>
      <c r="M29" s="19"/>
      <c r="N29" s="20"/>
      <c r="O29" s="23"/>
      <c r="P29" s="25"/>
      <c r="Q29" s="26"/>
      <c r="R29" s="27"/>
    </row>
    <row r="30" spans="2:18" x14ac:dyDescent="0.25">
      <c r="B30" s="18">
        <f ca="1">IF(Tabla1[[#This Row],['#]]&lt;&gt;"", NOW(), "")</f>
        <v>46018.798324189818</v>
      </c>
      <c r="C30">
        <f t="shared" si="0"/>
        <v>26</v>
      </c>
      <c r="D30" t="s">
        <v>50</v>
      </c>
      <c r="E30">
        <v>1</v>
      </c>
      <c r="F30">
        <v>135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135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46018.798324189818</v>
      </c>
      <c r="C31">
        <f t="shared" si="0"/>
        <v>27</v>
      </c>
      <c r="D31" t="s">
        <v>51</v>
      </c>
      <c r="E31">
        <v>1</v>
      </c>
      <c r="F31">
        <v>22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22</v>
      </c>
      <c r="M31" s="19"/>
      <c r="N31" s="20"/>
      <c r="O31" s="23"/>
      <c r="P31" s="25"/>
      <c r="Q31" s="26"/>
      <c r="R31" s="27"/>
    </row>
    <row r="32" spans="2:18" x14ac:dyDescent="0.25">
      <c r="B32" s="18">
        <f ca="1">IF(Tabla1[[#This Row],['#]]&lt;&gt;"", NOW(), "")</f>
        <v>46018.798324189818</v>
      </c>
      <c r="C32">
        <f t="shared" si="0"/>
        <v>28</v>
      </c>
      <c r="D32" t="s">
        <v>52</v>
      </c>
      <c r="E32">
        <v>1</v>
      </c>
      <c r="F32">
        <v>20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20</v>
      </c>
      <c r="M32" s="21"/>
      <c r="N32" s="22"/>
      <c r="O32" s="24"/>
      <c r="P32" s="28"/>
      <c r="Q32" s="29"/>
      <c r="R32" s="30"/>
    </row>
    <row r="33" spans="2:18" x14ac:dyDescent="0.25">
      <c r="B33" s="18">
        <f ca="1">IF(Tabla1[[#This Row],['#]]&lt;&gt;"", NOW(), "")</f>
        <v>46018.798324189818</v>
      </c>
      <c r="C33">
        <f t="shared" si="0"/>
        <v>29</v>
      </c>
      <c r="D33" t="s">
        <v>53</v>
      </c>
      <c r="E33">
        <v>1</v>
      </c>
      <c r="F33">
        <v>144</v>
      </c>
      <c r="H33" s="5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>144</v>
      </c>
      <c r="M33" s="19"/>
      <c r="N33" s="20"/>
      <c r="O33" s="23"/>
      <c r="P33" s="25"/>
      <c r="Q33" s="26"/>
      <c r="R33" s="27"/>
    </row>
    <row r="34" spans="2:18" x14ac:dyDescent="0.25">
      <c r="B34" s="18">
        <f ca="1">IF(Tabla1[[#This Row],['#]]&lt;&gt;"", NOW(), "")</f>
        <v>46018.798324189818</v>
      </c>
      <c r="C34">
        <f t="shared" si="0"/>
        <v>30</v>
      </c>
      <c r="D34" t="s">
        <v>54</v>
      </c>
      <c r="E34">
        <v>1</v>
      </c>
      <c r="F34">
        <v>95</v>
      </c>
      <c r="H34" s="5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>95</v>
      </c>
      <c r="M34" s="21"/>
      <c r="N34" s="22"/>
      <c r="O34" s="24"/>
      <c r="P34" s="28"/>
      <c r="Q34" s="29"/>
      <c r="R34" s="30"/>
    </row>
    <row r="35" spans="2:18" x14ac:dyDescent="0.25">
      <c r="B35" s="18">
        <f ca="1">IF(Tabla1[[#This Row],['#]]&lt;&gt;"", NOW(), "")</f>
        <v>46018.798324189818</v>
      </c>
      <c r="C35">
        <f t="shared" si="0"/>
        <v>31</v>
      </c>
      <c r="D35" t="s">
        <v>55</v>
      </c>
      <c r="E35">
        <v>1</v>
      </c>
      <c r="F35">
        <v>75</v>
      </c>
      <c r="H35" s="5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>75</v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56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SUM(Tabla110[Importa])</f>
        <v>5582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19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46018.798324189818</v>
      </c>
      <c r="C5">
        <f t="shared" ref="C5:C68" si="0">IF(ISNUMBER(E5), IF(ISNUMBER(C4), C4+1, 1), "")</f>
        <v>1</v>
      </c>
      <c r="D5" t="s">
        <v>57</v>
      </c>
      <c r="E5">
        <v>2</v>
      </c>
      <c r="F5">
        <v>150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300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46018.798324189818</v>
      </c>
      <c r="C6">
        <f t="shared" si="0"/>
        <v>2</v>
      </c>
      <c r="D6" t="s">
        <v>58</v>
      </c>
      <c r="E6">
        <v>1</v>
      </c>
      <c r="F6">
        <v>20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46018.798324189818</v>
      </c>
      <c r="C7">
        <f t="shared" si="0"/>
        <v>3</v>
      </c>
      <c r="D7" t="s">
        <v>44</v>
      </c>
      <c r="E7">
        <v>1</v>
      </c>
      <c r="F7">
        <v>120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46018.798324189818</v>
      </c>
      <c r="C8">
        <f t="shared" si="0"/>
        <v>4</v>
      </c>
      <c r="D8" t="s">
        <v>59</v>
      </c>
      <c r="E8">
        <v>1</v>
      </c>
      <c r="F8">
        <v>485</v>
      </c>
      <c r="G8" t="s">
        <v>28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436.5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46018.798324189818</v>
      </c>
      <c r="C9">
        <f t="shared" si="0"/>
        <v>5</v>
      </c>
      <c r="D9" t="s">
        <v>36</v>
      </c>
      <c r="E9">
        <v>2</v>
      </c>
      <c r="F9">
        <v>5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9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46018.798324189818</v>
      </c>
      <c r="C10">
        <f t="shared" si="0"/>
        <v>6</v>
      </c>
      <c r="D10" t="s">
        <v>60</v>
      </c>
      <c r="E10">
        <v>2</v>
      </c>
      <c r="F10">
        <v>96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192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46018.798324189818</v>
      </c>
      <c r="C11">
        <f t="shared" si="0"/>
        <v>7</v>
      </c>
      <c r="D11" t="s">
        <v>61</v>
      </c>
      <c r="E11">
        <v>1</v>
      </c>
      <c r="F11">
        <v>800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800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46018.798324189818</v>
      </c>
      <c r="C12">
        <f t="shared" si="0"/>
        <v>8</v>
      </c>
      <c r="D12" t="s">
        <v>62</v>
      </c>
      <c r="E12">
        <v>1</v>
      </c>
      <c r="F12">
        <v>2882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2882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46018.798324189818</v>
      </c>
      <c r="C13">
        <f t="shared" si="0"/>
        <v>9</v>
      </c>
      <c r="D13" t="s">
        <v>63</v>
      </c>
      <c r="E13">
        <v>1</v>
      </c>
      <c r="F13">
        <v>240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240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46018.798324189818</v>
      </c>
      <c r="C14">
        <f t="shared" si="0"/>
        <v>10</v>
      </c>
      <c r="D14" t="s">
        <v>64</v>
      </c>
      <c r="E14">
        <v>1</v>
      </c>
      <c r="F14">
        <v>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46018.798324189818</v>
      </c>
      <c r="C15">
        <f t="shared" si="0"/>
        <v>11</v>
      </c>
      <c r="D15" t="s">
        <v>33</v>
      </c>
      <c r="E15">
        <v>1</v>
      </c>
      <c r="F15">
        <v>15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13.5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46018.798324189818</v>
      </c>
      <c r="C16">
        <f t="shared" si="0"/>
        <v>12</v>
      </c>
      <c r="D16" t="s">
        <v>65</v>
      </c>
      <c r="E16">
        <v>1</v>
      </c>
      <c r="F16">
        <v>70</v>
      </c>
      <c r="G16" t="s">
        <v>28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63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46018.798324189818</v>
      </c>
      <c r="C17">
        <f t="shared" si="0"/>
        <v>13</v>
      </c>
      <c r="D17" t="s">
        <v>66</v>
      </c>
      <c r="E17">
        <v>1</v>
      </c>
      <c r="F17">
        <v>38</v>
      </c>
      <c r="G17" t="s">
        <v>28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34.5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46018.798324189818</v>
      </c>
      <c r="C18">
        <f t="shared" si="0"/>
        <v>14</v>
      </c>
      <c r="D18" t="s">
        <v>67</v>
      </c>
      <c r="E18">
        <v>1</v>
      </c>
      <c r="F18">
        <v>190</v>
      </c>
      <c r="G18" t="s">
        <v>28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171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46018.798324189818</v>
      </c>
      <c r="C19">
        <f t="shared" si="0"/>
        <v>15</v>
      </c>
      <c r="D19" t="s">
        <v>36</v>
      </c>
      <c r="E19">
        <v>3</v>
      </c>
      <c r="F19">
        <v>5</v>
      </c>
      <c r="G19" t="s">
        <v>28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13.5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46018.798324189818</v>
      </c>
      <c r="C20">
        <f t="shared" si="0"/>
        <v>16</v>
      </c>
      <c r="D20" t="s">
        <v>68</v>
      </c>
      <c r="E20">
        <v>1</v>
      </c>
      <c r="F20">
        <v>100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100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46018.798324189818</v>
      </c>
      <c r="C21">
        <f t="shared" si="0"/>
        <v>17</v>
      </c>
      <c r="D21" t="s">
        <v>69</v>
      </c>
      <c r="E21">
        <v>1</v>
      </c>
      <c r="F21">
        <v>70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70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46018.798324189818</v>
      </c>
      <c r="C22">
        <f t="shared" si="0"/>
        <v>18</v>
      </c>
      <c r="D22" t="s">
        <v>70</v>
      </c>
      <c r="E22">
        <v>1</v>
      </c>
      <c r="F22">
        <v>90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90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46018.798324189818</v>
      </c>
      <c r="C23">
        <f t="shared" si="0"/>
        <v>19</v>
      </c>
      <c r="D23" t="s">
        <v>71</v>
      </c>
      <c r="E23">
        <v>1</v>
      </c>
      <c r="F23">
        <v>22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22</v>
      </c>
    </row>
    <row r="24" spans="2:18" ht="15" customHeight="1" x14ac:dyDescent="0.25">
      <c r="B24" s="18">
        <f ca="1">IF(Tabla1[[#This Row],['#]]&lt;&gt;"", NOW(), "")</f>
        <v>46018.798324189818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46018.798324189818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46018.798324189818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x14ac:dyDescent="0.25">
      <c r="B27" s="18">
        <f ca="1">IF(Tabla1[[#This Row],['#]]&lt;&gt;"", NOW(), "")</f>
        <v>46018.798324189818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46018.798324189818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46018.798324189818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46018.798324189818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46018.798324189818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46018.798324189818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46018.798324189818</v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46018.798324189818</v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46018.798324189818</v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SUM(Tabla111[Importa])</f>
        <v>1760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15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46018.798324189818</v>
      </c>
      <c r="C5">
        <f>IF(ISNUMBER(E5), IF(ISNUMBER(C4), C4+1, 1), "")</f>
        <v>1</v>
      </c>
      <c r="D5" t="s">
        <v>64</v>
      </c>
      <c r="E5">
        <v>2</v>
      </c>
      <c r="F5">
        <v>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46018.798324189818</v>
      </c>
      <c r="C6">
        <f t="shared" ref="C6" si="0">IF(ISNUMBER(E6), IF(ISNUMBER(C5), C5+1, 1), "")</f>
        <v>2</v>
      </c>
      <c r="D6" t="s">
        <v>73</v>
      </c>
      <c r="E6">
        <v>1</v>
      </c>
      <c r="F6">
        <v>20</v>
      </c>
      <c r="G6" t="s">
        <v>28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46018.798324189818</v>
      </c>
      <c r="C7">
        <f>IF(ISNUMBER(E7), IF(ISNUMBER(C6), C6+1, 1), "")</f>
        <v>3</v>
      </c>
      <c r="D7" t="s">
        <v>74</v>
      </c>
      <c r="E7">
        <v>1</v>
      </c>
      <c r="F7">
        <v>42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42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46018.798324189818</v>
      </c>
      <c r="C8">
        <f t="shared" ref="C8:C68" si="1">IF(ISNUMBER(E8), IF(ISNUMBER(C7), C7+1, 1), "")</f>
        <v>4</v>
      </c>
      <c r="D8" t="s">
        <v>75</v>
      </c>
      <c r="E8">
        <v>2</v>
      </c>
      <c r="F8">
        <v>65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130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46018.798324189818</v>
      </c>
      <c r="C9">
        <f t="shared" si="1"/>
        <v>5</v>
      </c>
      <c r="D9" t="s">
        <v>76</v>
      </c>
      <c r="E9">
        <v>2</v>
      </c>
      <c r="F9">
        <v>36</v>
      </c>
      <c r="G9" t="s">
        <v>28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65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46018.798324189818</v>
      </c>
      <c r="C10">
        <f t="shared" si="1"/>
        <v>6</v>
      </c>
      <c r="D10" t="s">
        <v>77</v>
      </c>
      <c r="E10">
        <v>1</v>
      </c>
      <c r="F10">
        <v>550</v>
      </c>
      <c r="G10" t="s">
        <v>28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495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46018.798324189818</v>
      </c>
      <c r="C11">
        <f t="shared" si="1"/>
        <v>7</v>
      </c>
      <c r="D11" t="s">
        <v>39</v>
      </c>
      <c r="E11">
        <v>1</v>
      </c>
      <c r="F11">
        <v>142</v>
      </c>
      <c r="G11" t="s">
        <v>28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135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46018.798324189818</v>
      </c>
      <c r="C12">
        <f t="shared" si="1"/>
        <v>8</v>
      </c>
      <c r="D12" t="s">
        <v>78</v>
      </c>
      <c r="E12">
        <v>1</v>
      </c>
      <c r="F12">
        <v>220</v>
      </c>
      <c r="G12" t="s">
        <v>28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198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46018.798324189818</v>
      </c>
      <c r="C13">
        <f t="shared" si="1"/>
        <v>9</v>
      </c>
      <c r="D13" t="s">
        <v>79</v>
      </c>
      <c r="E13">
        <v>1</v>
      </c>
      <c r="F13">
        <v>350</v>
      </c>
      <c r="G13" t="s">
        <v>28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46018.798324189818</v>
      </c>
      <c r="C14">
        <f t="shared" si="1"/>
        <v>10</v>
      </c>
      <c r="D14" t="s">
        <v>80</v>
      </c>
      <c r="E14">
        <v>1</v>
      </c>
      <c r="F14">
        <v>60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60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46018.798324189818</v>
      </c>
      <c r="C15">
        <f t="shared" si="1"/>
        <v>11</v>
      </c>
      <c r="D15" t="s">
        <v>81</v>
      </c>
      <c r="E15">
        <v>2</v>
      </c>
      <c r="F15">
        <v>57</v>
      </c>
      <c r="G15" t="s">
        <v>28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103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46018.798324189818</v>
      </c>
      <c r="C16">
        <f t="shared" si="1"/>
        <v>12</v>
      </c>
      <c r="D16" t="s">
        <v>82</v>
      </c>
      <c r="E16">
        <v>1</v>
      </c>
      <c r="F16">
        <v>25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46018.798324189818</v>
      </c>
      <c r="C17">
        <f t="shared" si="1"/>
        <v>13</v>
      </c>
      <c r="D17" t="s">
        <v>83</v>
      </c>
      <c r="E17">
        <v>1</v>
      </c>
      <c r="F17">
        <v>37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37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46018.798324189818</v>
      </c>
      <c r="C18">
        <f t="shared" si="1"/>
        <v>14</v>
      </c>
      <c r="D18" t="s">
        <v>83</v>
      </c>
      <c r="E18">
        <v>1</v>
      </c>
      <c r="F18">
        <v>37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37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46018.798324189818</v>
      </c>
      <c r="C19">
        <f t="shared" si="1"/>
        <v>15</v>
      </c>
      <c r="D19" t="s">
        <v>84</v>
      </c>
      <c r="E19">
        <v>1</v>
      </c>
      <c r="F19">
        <v>90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90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46018.798324189818</v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46018.798324189818</v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46018.798324189818</v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46018.798324189818</v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46018.798324189818</v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46018.798324189818</v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46018.798324189818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x14ac:dyDescent="0.25">
      <c r="B27" s="18">
        <f ca="1">IF(Tabla1[[#This Row],['#]]&lt;&gt;"", NOW(), "")</f>
        <v>46018.798324189818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46018.798324189818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46018.798324189818</v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46018.798324189818</v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46018.798324189818</v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46018.798324189818</v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46018.798324189818</v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46018.798324189818</v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46018.798324189818</v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SUM(Tabla112[Importa])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IF(Tabla112[[#This Row],['#]]&lt;&gt;"", NOW(), "")</f>
        <v/>
      </c>
      <c r="C5" t="str">
        <f t="shared" ref="C5:C68" si="0">IF(ISNUMBER(E5), IF(ISNUMBER(C4), C4+1, 1), "")</f>
        <v/>
      </c>
      <c r="H5" s="5" t="str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/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46018.798324189818</v>
      </c>
      <c r="C6" t="str">
        <f t="shared" si="0"/>
        <v/>
      </c>
      <c r="H6" s="5" t="str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46018.798324189818</v>
      </c>
      <c r="C7" t="str">
        <f t="shared" si="0"/>
        <v/>
      </c>
      <c r="H7" s="5" t="str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46018.798324189818</v>
      </c>
      <c r="C8" t="str">
        <f t="shared" si="0"/>
        <v/>
      </c>
      <c r="H8" s="5" t="str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46018.798324189818</v>
      </c>
      <c r="C9" t="str">
        <f t="shared" si="0"/>
        <v/>
      </c>
      <c r="H9" s="5" t="str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46018.798324189818</v>
      </c>
      <c r="C10" t="str">
        <f t="shared" si="0"/>
        <v/>
      </c>
      <c r="H10" s="5" t="str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46018.798324189818</v>
      </c>
      <c r="C11" t="str">
        <f t="shared" si="0"/>
        <v/>
      </c>
      <c r="H11" s="5" t="str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46018.798324189818</v>
      </c>
      <c r="C12" t="str">
        <f t="shared" si="0"/>
        <v/>
      </c>
      <c r="H12" s="5" t="str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46018.798324189818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46018.798324189818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46018.798324189818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46018.798324189818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46018.798324189818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46018.798324189818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46018.798324189818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46018.798324189818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46018.798324189818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46018.798324189818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46018.798324189818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46018.798324189818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46018.798324189818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46018.798324189818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46018.798324189818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46018.798324189818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46018.798324189818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46018.798324189818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46018.798324189818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46018.798324189818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46018.798324189818</v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46018.798324189818</v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46018.798324189818</v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topLeftCell="A2"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85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SUM(Tabla113[Importa])</f>
        <v>3071.5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24</v>
      </c>
      <c r="M4" s="36" t="s">
        <v>107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46018.798324189818</v>
      </c>
      <c r="C5">
        <f t="shared" ref="C5:C68" si="0">IF(ISNUMBER(E5), IF(ISNUMBER(C4), C4+1, 1), "")</f>
        <v>1</v>
      </c>
      <c r="D5" t="s">
        <v>86</v>
      </c>
      <c r="E5">
        <v>2</v>
      </c>
      <c r="F5">
        <v>28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56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46018.798324189818</v>
      </c>
      <c r="C6">
        <f t="shared" si="0"/>
        <v>2</v>
      </c>
      <c r="D6" t="s">
        <v>87</v>
      </c>
      <c r="E6">
        <v>1</v>
      </c>
      <c r="F6">
        <v>150</v>
      </c>
      <c r="G6" t="s">
        <v>28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135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46018.798324189818</v>
      </c>
      <c r="C7">
        <f t="shared" si="0"/>
        <v>3</v>
      </c>
      <c r="D7" t="s">
        <v>88</v>
      </c>
      <c r="E7">
        <v>1</v>
      </c>
      <c r="F7">
        <v>70</v>
      </c>
      <c r="G7" t="s">
        <v>28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63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46018.798324189818</v>
      </c>
      <c r="C8">
        <f t="shared" si="0"/>
        <v>4</v>
      </c>
      <c r="D8" t="s">
        <v>89</v>
      </c>
      <c r="E8">
        <v>1</v>
      </c>
      <c r="F8">
        <v>246</v>
      </c>
      <c r="G8" t="s">
        <v>28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221.5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46018.798324189818</v>
      </c>
      <c r="C9">
        <f t="shared" si="0"/>
        <v>5</v>
      </c>
      <c r="D9" t="s">
        <v>90</v>
      </c>
      <c r="E9">
        <v>1</v>
      </c>
      <c r="F9">
        <v>25</v>
      </c>
      <c r="G9" t="s">
        <v>28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22.5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46018.798324189818</v>
      </c>
      <c r="C10">
        <f t="shared" si="0"/>
        <v>6</v>
      </c>
      <c r="D10" t="s">
        <v>91</v>
      </c>
      <c r="E10">
        <v>1</v>
      </c>
      <c r="F10">
        <v>90</v>
      </c>
      <c r="G10" t="s">
        <v>28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81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46018.798324189818</v>
      </c>
      <c r="C11">
        <f t="shared" si="0"/>
        <v>7</v>
      </c>
      <c r="D11" t="s">
        <v>91</v>
      </c>
      <c r="E11">
        <v>1</v>
      </c>
      <c r="F11">
        <v>90</v>
      </c>
      <c r="G11" t="s">
        <v>28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81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46018.798324189818</v>
      </c>
      <c r="C12">
        <f t="shared" si="0"/>
        <v>8</v>
      </c>
      <c r="D12" t="s">
        <v>92</v>
      </c>
      <c r="E12">
        <v>2</v>
      </c>
      <c r="F12">
        <v>57</v>
      </c>
      <c r="G12" t="s">
        <v>28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103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46018.798324189818</v>
      </c>
      <c r="C13">
        <f t="shared" si="0"/>
        <v>9</v>
      </c>
      <c r="D13" t="s">
        <v>93</v>
      </c>
      <c r="E13">
        <v>1</v>
      </c>
      <c r="F13">
        <v>57</v>
      </c>
      <c r="G13" t="s">
        <v>28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51.5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46018.798324189818</v>
      </c>
      <c r="C14">
        <f t="shared" si="0"/>
        <v>10</v>
      </c>
      <c r="D14" t="s">
        <v>33</v>
      </c>
      <c r="E14">
        <v>1</v>
      </c>
      <c r="F14">
        <v>15</v>
      </c>
      <c r="G14" t="s">
        <v>28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46018.798324189818</v>
      </c>
      <c r="C15">
        <f t="shared" si="0"/>
        <v>11</v>
      </c>
      <c r="D15" t="s">
        <v>94</v>
      </c>
      <c r="E15">
        <v>1</v>
      </c>
      <c r="F15">
        <v>185</v>
      </c>
      <c r="G15" t="s">
        <v>28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166.5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46018.798324189818</v>
      </c>
      <c r="C16">
        <f t="shared" si="0"/>
        <v>12</v>
      </c>
      <c r="D16" t="s">
        <v>95</v>
      </c>
      <c r="E16">
        <v>1</v>
      </c>
      <c r="F16">
        <v>590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590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46018.798324189818</v>
      </c>
      <c r="C17">
        <f t="shared" si="0"/>
        <v>13</v>
      </c>
      <c r="D17" t="s">
        <v>96</v>
      </c>
      <c r="E17">
        <v>1</v>
      </c>
      <c r="F17">
        <v>50</v>
      </c>
      <c r="G17" t="s">
        <v>28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45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46018.798324189818</v>
      </c>
      <c r="C18">
        <f t="shared" si="0"/>
        <v>14</v>
      </c>
      <c r="D18" t="s">
        <v>97</v>
      </c>
      <c r="E18">
        <v>1</v>
      </c>
      <c r="F18">
        <v>115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115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46018.798324189818</v>
      </c>
      <c r="C19">
        <f t="shared" si="0"/>
        <v>15</v>
      </c>
      <c r="D19" t="s">
        <v>98</v>
      </c>
      <c r="E19">
        <v>1</v>
      </c>
      <c r="F19">
        <v>250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250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46018.798324189818</v>
      </c>
      <c r="C20">
        <f t="shared" si="0"/>
        <v>16</v>
      </c>
      <c r="D20" t="s">
        <v>99</v>
      </c>
      <c r="E20">
        <v>1</v>
      </c>
      <c r="F20">
        <v>185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185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46018.798324189818</v>
      </c>
      <c r="C21">
        <f t="shared" si="0"/>
        <v>17</v>
      </c>
      <c r="D21" t="s">
        <v>42</v>
      </c>
      <c r="E21">
        <v>1</v>
      </c>
      <c r="F21">
        <v>123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123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46018.798324189818</v>
      </c>
      <c r="C22">
        <f t="shared" si="0"/>
        <v>18</v>
      </c>
      <c r="D22" t="s">
        <v>100</v>
      </c>
      <c r="E22">
        <v>1</v>
      </c>
      <c r="F22">
        <v>350</v>
      </c>
      <c r="G22" t="s">
        <v>28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315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46018.798324189818</v>
      </c>
      <c r="C23">
        <f t="shared" si="0"/>
        <v>19</v>
      </c>
      <c r="D23" t="s">
        <v>101</v>
      </c>
      <c r="E23">
        <v>10</v>
      </c>
      <c r="F23">
        <v>8</v>
      </c>
      <c r="G23" t="s">
        <v>28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72</v>
      </c>
    </row>
    <row r="24" spans="2:18" ht="15" customHeight="1" x14ac:dyDescent="0.25">
      <c r="B24" s="18">
        <f ca="1">IF(Tabla1[[#This Row],['#]]&lt;&gt;"", NOW(), "")</f>
        <v>46018.798324189818</v>
      </c>
      <c r="C24">
        <f t="shared" si="0"/>
        <v>20</v>
      </c>
      <c r="D24" t="s">
        <v>102</v>
      </c>
      <c r="E24">
        <v>1</v>
      </c>
      <c r="F24">
        <v>48</v>
      </c>
      <c r="G24" t="s">
        <v>28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43.5</v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46018.798324189818</v>
      </c>
      <c r="C25">
        <f t="shared" si="0"/>
        <v>21</v>
      </c>
      <c r="D25" t="s">
        <v>103</v>
      </c>
      <c r="E25">
        <v>3</v>
      </c>
      <c r="F25">
        <v>30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90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46018.798324189818</v>
      </c>
      <c r="C26">
        <f t="shared" si="0"/>
        <v>22</v>
      </c>
      <c r="D26" t="s">
        <v>104</v>
      </c>
      <c r="E26">
        <v>1</v>
      </c>
      <c r="F26">
        <v>90</v>
      </c>
      <c r="G26" t="s">
        <v>28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81</v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46018.798324189818</v>
      </c>
      <c r="C27">
        <f t="shared" si="0"/>
        <v>23</v>
      </c>
      <c r="D27" t="s">
        <v>105</v>
      </c>
      <c r="E27">
        <v>1</v>
      </c>
      <c r="F27">
        <v>36</v>
      </c>
      <c r="G27" t="s">
        <v>28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32.5</v>
      </c>
      <c r="M27" s="13" t="s">
        <v>106</v>
      </c>
      <c r="N27" s="15">
        <v>1200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46018.798324189818</v>
      </c>
      <c r="C28">
        <f t="shared" si="0"/>
        <v>24</v>
      </c>
      <c r="D28" t="s">
        <v>39</v>
      </c>
      <c r="E28">
        <v>1</v>
      </c>
      <c r="F28">
        <v>142</v>
      </c>
      <c r="G28" t="s">
        <v>28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135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46018.798324189818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46018.798324189818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46018.798324189818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46018.798324189818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46018.798324189818</v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46018.798324189818</v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46018.798324189818</v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108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SUM(Tabla114[Importa])</f>
        <v>3847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22</v>
      </c>
      <c r="M4" s="36" t="s">
        <v>125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46018.798324189818</v>
      </c>
      <c r="C5">
        <f t="shared" ref="C5:C68" si="0">IF(ISNUMBER(E5), IF(ISNUMBER(C4), C4+1, 1), "")</f>
        <v>1</v>
      </c>
      <c r="D5" t="s">
        <v>109</v>
      </c>
      <c r="E5">
        <v>1</v>
      </c>
      <c r="F5">
        <v>320</v>
      </c>
      <c r="G5" t="s">
        <v>28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304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46018.798324189818</v>
      </c>
      <c r="C6">
        <f t="shared" si="0"/>
        <v>2</v>
      </c>
      <c r="D6" t="s">
        <v>110</v>
      </c>
      <c r="E6">
        <v>1</v>
      </c>
      <c r="F6">
        <v>20</v>
      </c>
      <c r="G6" t="s">
        <v>28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46018.798324189818</v>
      </c>
      <c r="C7">
        <f t="shared" si="0"/>
        <v>3</v>
      </c>
      <c r="D7" t="s">
        <v>111</v>
      </c>
      <c r="E7">
        <v>1</v>
      </c>
      <c r="F7">
        <v>5</v>
      </c>
      <c r="G7" t="s">
        <v>28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46018.798324189818</v>
      </c>
      <c r="C8">
        <f t="shared" si="0"/>
        <v>4</v>
      </c>
      <c r="D8" t="s">
        <v>112</v>
      </c>
      <c r="E8">
        <v>1</v>
      </c>
      <c r="F8">
        <v>25</v>
      </c>
      <c r="G8" t="s">
        <v>28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22.5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46018.798324189818</v>
      </c>
      <c r="C9">
        <f t="shared" si="0"/>
        <v>5</v>
      </c>
      <c r="D9" t="s">
        <v>113</v>
      </c>
      <c r="E9">
        <v>1</v>
      </c>
      <c r="F9">
        <v>96</v>
      </c>
      <c r="G9" t="s">
        <v>28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86.5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46018.798324189818</v>
      </c>
      <c r="C10">
        <f t="shared" si="0"/>
        <v>6</v>
      </c>
      <c r="D10" t="s">
        <v>115</v>
      </c>
      <c r="E10">
        <v>1</v>
      </c>
      <c r="F10">
        <v>125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125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46018.798324189818</v>
      </c>
      <c r="C11">
        <f t="shared" si="0"/>
        <v>7</v>
      </c>
      <c r="D11" t="s">
        <v>116</v>
      </c>
      <c r="E11">
        <v>1</v>
      </c>
      <c r="F11">
        <v>1000</v>
      </c>
      <c r="G11" t="s">
        <v>28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900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46018.798324189818</v>
      </c>
      <c r="C12">
        <f t="shared" si="0"/>
        <v>8</v>
      </c>
      <c r="D12" t="s">
        <v>33</v>
      </c>
      <c r="E12">
        <v>1</v>
      </c>
      <c r="F12">
        <v>15</v>
      </c>
      <c r="G12" t="s">
        <v>28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46018.798324189818</v>
      </c>
      <c r="C13">
        <f t="shared" si="0"/>
        <v>9</v>
      </c>
      <c r="D13" t="s">
        <v>92</v>
      </c>
      <c r="E13">
        <v>1</v>
      </c>
      <c r="F13">
        <v>57</v>
      </c>
      <c r="G13" t="s">
        <v>28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51.5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46018.798324189818</v>
      </c>
      <c r="C14">
        <f t="shared" si="0"/>
        <v>10</v>
      </c>
      <c r="D14" t="s">
        <v>117</v>
      </c>
      <c r="E14">
        <v>2</v>
      </c>
      <c r="F14">
        <v>42</v>
      </c>
      <c r="G14" t="s">
        <v>28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76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46018.798324189818</v>
      </c>
      <c r="C15">
        <f t="shared" si="0"/>
        <v>11</v>
      </c>
      <c r="D15" t="s">
        <v>118</v>
      </c>
      <c r="E15">
        <v>1</v>
      </c>
      <c r="F15">
        <v>590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590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46018.798324189818</v>
      </c>
      <c r="C16">
        <f t="shared" si="0"/>
        <v>12</v>
      </c>
      <c r="D16" t="s">
        <v>109</v>
      </c>
      <c r="E16">
        <v>1</v>
      </c>
      <c r="F16">
        <v>320</v>
      </c>
      <c r="G16" t="s">
        <v>28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304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46018.798324189818</v>
      </c>
      <c r="C17">
        <f t="shared" si="0"/>
        <v>13</v>
      </c>
      <c r="D17" t="s">
        <v>51</v>
      </c>
      <c r="E17">
        <v>1</v>
      </c>
      <c r="F17">
        <v>22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22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46018.798324189818</v>
      </c>
      <c r="C18">
        <f t="shared" si="0"/>
        <v>14</v>
      </c>
      <c r="D18" t="s">
        <v>50</v>
      </c>
      <c r="E18">
        <v>2</v>
      </c>
      <c r="F18">
        <v>135</v>
      </c>
      <c r="G18" t="s">
        <v>28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243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46018.798324189818</v>
      </c>
      <c r="C19">
        <f t="shared" si="0"/>
        <v>15</v>
      </c>
      <c r="D19" t="s">
        <v>51</v>
      </c>
      <c r="E19">
        <v>1</v>
      </c>
      <c r="F19">
        <v>22</v>
      </c>
      <c r="G19" t="s">
        <v>28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20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46018.798324189818</v>
      </c>
      <c r="C20">
        <f t="shared" si="0"/>
        <v>16</v>
      </c>
      <c r="D20" t="s">
        <v>119</v>
      </c>
      <c r="E20">
        <v>1</v>
      </c>
      <c r="F20">
        <v>20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20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46018.798324189818</v>
      </c>
      <c r="C21">
        <f t="shared" si="0"/>
        <v>17</v>
      </c>
      <c r="D21" t="s">
        <v>119</v>
      </c>
      <c r="E21">
        <v>1</v>
      </c>
      <c r="F21">
        <v>20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20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46018.798324189818</v>
      </c>
      <c r="C22">
        <f t="shared" si="0"/>
        <v>18</v>
      </c>
      <c r="D22" t="s">
        <v>120</v>
      </c>
      <c r="E22">
        <v>1</v>
      </c>
      <c r="F22">
        <v>580</v>
      </c>
      <c r="G22" t="s">
        <v>28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522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46018.798324189818</v>
      </c>
      <c r="C23">
        <f t="shared" si="0"/>
        <v>19</v>
      </c>
      <c r="D23" t="s">
        <v>121</v>
      </c>
      <c r="E23">
        <v>1</v>
      </c>
      <c r="F23">
        <v>35</v>
      </c>
      <c r="G23" t="s">
        <v>28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31.5</v>
      </c>
    </row>
    <row r="24" spans="2:18" ht="15" customHeight="1" x14ac:dyDescent="0.25">
      <c r="B24" s="18">
        <f ca="1">IF(Tabla1[[#This Row],['#]]&lt;&gt;"", NOW(), "")</f>
        <v>46018.798324189818</v>
      </c>
      <c r="C24">
        <f t="shared" si="0"/>
        <v>20</v>
      </c>
      <c r="D24" t="s">
        <v>99</v>
      </c>
      <c r="E24">
        <v>1</v>
      </c>
      <c r="F24">
        <v>185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185</v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46018.798324189818</v>
      </c>
      <c r="C25">
        <f t="shared" si="0"/>
        <v>21</v>
      </c>
      <c r="D25" t="s">
        <v>123</v>
      </c>
      <c r="E25">
        <v>1</v>
      </c>
      <c r="F25">
        <v>42</v>
      </c>
      <c r="G25" t="s">
        <v>28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38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46018.798324189818</v>
      </c>
      <c r="C26">
        <f t="shared" si="0"/>
        <v>22</v>
      </c>
      <c r="D26" t="s">
        <v>124</v>
      </c>
      <c r="E26">
        <v>1</v>
      </c>
      <c r="F26">
        <v>250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250</v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46018.798324189818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114</v>
      </c>
      <c r="N27" s="15">
        <v>65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46018.798324189818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 t="s">
        <v>122</v>
      </c>
      <c r="N28" s="15">
        <v>2963</v>
      </c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46018.798324189818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46018.798324189818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46018.798324189818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46018.798324189818</v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46018.798324189818</v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46018.798324189818</v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46018.798324189818</v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46018.798324189818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46018.798324189818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46018.798324189818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46018.798324189818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46018.798324189818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46018.798324189818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46018.798324189818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46018.798324189818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46018.798324189818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46018.798324189818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46018.798324189818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46018.798324189818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46018.798324189818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46018.798324189818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46018.798324189818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46018.798324189818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46018.798324189818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46018.798324189818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46018.798324189818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46018.798324189818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46018.798324189818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46018.798324189818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46018.798324189818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46018.798324189818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46018.798324189818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46018.798324189818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46018.798324189818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46018.798324189818</v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46018.798324189818</v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46018.798324189818</v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9</v>
      </c>
      <c r="C3" t="s">
        <v>10</v>
      </c>
      <c r="D3" t="s">
        <v>11</v>
      </c>
    </row>
    <row r="4" spans="2:5" ht="30" x14ac:dyDescent="0.25">
      <c r="B4" s="4" t="s">
        <v>13</v>
      </c>
      <c r="C4" s="2">
        <v>45576</v>
      </c>
      <c r="D4" s="3">
        <v>1.1000000000000001</v>
      </c>
      <c r="E4" s="3"/>
    </row>
    <row r="5" spans="2:5" ht="45" x14ac:dyDescent="0.25">
      <c r="B5" s="7" t="s">
        <v>17</v>
      </c>
      <c r="C5" s="3" t="s">
        <v>14</v>
      </c>
      <c r="D5" s="3">
        <v>1.2</v>
      </c>
      <c r="E5" s="3"/>
    </row>
    <row r="6" spans="2:5" ht="30" x14ac:dyDescent="0.25">
      <c r="B6" s="7" t="s">
        <v>25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22-12-25</vt:lpstr>
      <vt:lpstr>Martes 23-12-25</vt:lpstr>
      <vt:lpstr>Miercoles 24-12--25</vt:lpstr>
      <vt:lpstr>Jueves</vt:lpstr>
      <vt:lpstr>Viernes 26-12-25</vt:lpstr>
      <vt:lpstr>Sabado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2025-12-28T01:09:36Z</dcterms:modified>
</cp:coreProperties>
</file>