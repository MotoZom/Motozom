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BAF12FBF-A928-4F5C-8B6A-479F31B8B195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Lunes 22-12-25" sheetId="1" r:id="rId1"/>
    <sheet name="Martes 23-12-25" sheetId="2" r:id="rId2"/>
    <sheet name="Miercoles" sheetId="3" r:id="rId3"/>
    <sheet name="Jueves" sheetId="4" r:id="rId4"/>
    <sheet name="Viernes" sheetId="5" r:id="rId5"/>
    <sheet name="Sabado" sheetId="6" r:id="rId6"/>
    <sheet name="Domingo" sheetId="8" r:id="rId7"/>
    <sheet name="Cambios" sheetId="7" r:id="rId8"/>
  </sheets>
  <definedNames>
    <definedName name="_xlnm._FilterDatabase" localSheetId="0" hidden="1">'Lunes 22-12-25'!$B$4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<sst xmlns="http://schemas.openxmlformats.org/spreadsheetml/2006/main" count="203" uniqueCount="75">
  <si>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</si>
  <si>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</si>
  <si>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</si>
  <si>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</si>
  <si>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</si>
  <si>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</si>
  <si>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</si>
  <si>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</si>
  <si>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Miercoles 01-02-03</t>
  </si>
  <si>
    <t>Jueves 01-02-03</t>
  </si>
  <si>
    <t>Viernes 01-02-03</t>
  </si>
  <si>
    <t>Sabado 01-02-03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</si>
  <si>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</si>
  <si>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</si>
  <si>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</si>
  <si>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</si>
  <si>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</si>
  <si>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</si>
  <si>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</si>
  <si>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</si>
  <si>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</si>
  <si>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</si>
  <si>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</si>
  <si>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</si>
  <si>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</si>
  <si>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</si>
  <si>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</si>
  <si>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</si>
  <si>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</si>
  <si>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22 DE DICIEMBRE-25</t>
  </si>
  <si>
    <t>ARNES CDI FT150</t>
  </si>
  <si>
    <t>X</t>
  </si>
  <si>
    <t xml:space="preserve"> MANIJA DE FT125 CON BASE</t>
  </si>
  <si>
    <t xml:space="preserve">FOCO H4 </t>
  </si>
  <si>
    <t>RETEN DE VALVULA FT150</t>
  </si>
  <si>
    <t>STIKJER</t>
  </si>
  <si>
    <t>FILTRO DE GASOLINA CARTON</t>
  </si>
  <si>
    <t>RELLEE DE ENCENDICO FT150</t>
  </si>
  <si>
    <t xml:space="preserve">RELLEE DE ENCENDICO MOTONETA </t>
  </si>
  <si>
    <t xml:space="preserve">TERMINAL DE BACTERIA </t>
  </si>
  <si>
    <t xml:space="preserve">ABRAZADERA DE MANGUERA GASOLINA </t>
  </si>
  <si>
    <t xml:space="preserve">CINTA PARA BACTERIA </t>
  </si>
  <si>
    <t>ACEITE REPSOL</t>
  </si>
  <si>
    <t>PASTAS DE FT150</t>
  </si>
  <si>
    <t>BALERO 6004</t>
  </si>
  <si>
    <t>ACEITE AKRON</t>
  </si>
  <si>
    <t>GOMAS DE IMPACTO RC200</t>
  </si>
  <si>
    <t xml:space="preserve">DIRECCIONALES UNIVERSALES </t>
  </si>
  <si>
    <t>CINTA DE AISLAR MEDIANA</t>
  </si>
  <si>
    <t>BALATA DELANTERO RC200</t>
  </si>
  <si>
    <t>REGULADOR DS150 NASAKI</t>
  </si>
  <si>
    <t>CADENA 428 SENCILLA</t>
  </si>
  <si>
    <t>BOMBA DE FRENO TRASERA UNIVERSAL</t>
  </si>
  <si>
    <t>FOCO H4 LED</t>
  </si>
  <si>
    <t>ARNES H4</t>
  </si>
  <si>
    <t>JUNTA DE PULSAR</t>
  </si>
  <si>
    <t>SPROKET DE FT125</t>
  </si>
  <si>
    <t>AFLOJATODO AXPRO</t>
  </si>
  <si>
    <t>CARBUCLIN AXPRO</t>
  </si>
  <si>
    <t>Martes 23 DE DICIEMBRE-25</t>
  </si>
  <si>
    <t>ACEITE YAMALUBE</t>
  </si>
  <si>
    <t xml:space="preserve">RESORTE DE LA PATA </t>
  </si>
  <si>
    <t>PILA 12N5 YOG</t>
  </si>
  <si>
    <t>PASTAS DE CLUTH FZ16</t>
  </si>
  <si>
    <t>KID DE CILINDRO 250Z</t>
  </si>
  <si>
    <t>COSAS QUE DANIEL ENCARGO EN ITALIKA</t>
  </si>
  <si>
    <t xml:space="preserve">FOCO DE BUHOS </t>
  </si>
  <si>
    <t>STIKER</t>
  </si>
  <si>
    <t>FILTRO DE AIRE DM200</t>
  </si>
  <si>
    <t>RETEN DE BARRAS 31-10-</t>
  </si>
  <si>
    <t>CADENA 428X 136</t>
  </si>
  <si>
    <t>CAMARA 140-70-17</t>
  </si>
  <si>
    <t xml:space="preserve">TIRA LED </t>
  </si>
  <si>
    <t>LUBRICANTE DE CADENA LUBER</t>
  </si>
  <si>
    <t>CINTA DE AISLAR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</si>
</sst>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1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36" sqref="D3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34" t="s">
        <v>29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2" t="s">
        <v>21</v>
      </c>
      <c r="K3" s="6">
        <f>SUM(Tabla1[Importa])</f>
        <v>2250</v>
      </c>
      <c r="M3" s="37" t="s">
        <v>6</v>
      </c>
      <c r="N3" s="37"/>
      <c r="O3" s="37"/>
      <c r="P3" s="37"/>
      <c r="Q3" s="37"/>
      <c r="R3" s="37"/>
    </row>
    <row r="4" spans="2:18" ht="31.5" x14ac:dyDescent="0.5">
      <c r="B4" s="17" t="s">
        <v>27</v>
      </c>
      <c r="C4" t="s">
        <v>19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22</v>
      </c>
      <c r="K4" s="10">
        <f>COUNTIF(C5:C103,"&gt;0")</f>
        <v>31</v>
      </c>
      <c r="M4" s="36"/>
      <c r="N4" s="36"/>
      <c r="O4" s="36"/>
      <c r="P4" s="36"/>
      <c r="Q4" s="36"/>
      <c r="R4" s="36"/>
    </row>
    <row r="5" spans="2:18" x14ac:dyDescent="0.25">
      <c r="B5" s="18">
        <f ca="1">IF(Tabla1[[#This Row],['#]]&lt;&gt;"", NOW(), "")</f>
        <v>46014.789969560188</v>
      </c>
      <c r="C5">
        <f>IF(ISNUMBER(E5), IF(ISNUMBER(C4), C4+1, 1), "")</f>
        <v>1</v>
      </c>
      <c r="D5" t="s">
        <v>30</v>
      </c>
      <c r="E5">
        <v>1</v>
      </c>
      <c r="F5">
        <v>20</v>
      </c>
      <c r="G5" t="s">
        <v>31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18</v>
      </c>
      <c r="J5" s="38" t="s">
        <v>15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46014.789969560188</v>
      </c>
      <c r="C6">
        <f t="shared" ref="C6:C36" si="0">IF(ISNUMBER(E6), IF(ISNUMBER(C5), C5+1, 1), "")</f>
        <v>2</v>
      </c>
      <c r="D6" t="s">
        <v>32</v>
      </c>
      <c r="E6">
        <v>1</v>
      </c>
      <c r="F6">
        <v>75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75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46014.789969560188</v>
      </c>
      <c r="C7">
        <f t="shared" si="0"/>
        <v>3</v>
      </c>
      <c r="D7" t="s">
        <v>33</v>
      </c>
      <c r="E7">
        <v>1</v>
      </c>
      <c r="F7">
        <v>20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20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46014.789969560188</v>
      </c>
      <c r="C8">
        <f t="shared" si="0"/>
        <v>4</v>
      </c>
      <c r="D8" t="s">
        <v>34</v>
      </c>
      <c r="E8">
        <v>2</v>
      </c>
      <c r="F8">
        <v>10</v>
      </c>
      <c r="G8" t="s">
        <v>31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18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46014.789969560188</v>
      </c>
      <c r="C9">
        <f t="shared" si="0"/>
        <v>5</v>
      </c>
      <c r="D9" t="s">
        <v>34</v>
      </c>
      <c r="E9">
        <v>2</v>
      </c>
      <c r="F9">
        <v>10</v>
      </c>
      <c r="G9" t="s">
        <v>31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18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46014.789969560188</v>
      </c>
      <c r="C10">
        <f t="shared" si="0"/>
        <v>6</v>
      </c>
      <c r="D10" t="s">
        <v>35</v>
      </c>
      <c r="E10">
        <v>1</v>
      </c>
      <c r="F10">
        <v>5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46014.789969560188</v>
      </c>
      <c r="C11">
        <f t="shared" si="0"/>
        <v>7</v>
      </c>
      <c r="D11" t="s">
        <v>36</v>
      </c>
      <c r="E11">
        <v>1</v>
      </c>
      <c r="F11">
        <v>15</v>
      </c>
      <c r="G11" t="s">
        <v>31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13.5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46014.789969560188</v>
      </c>
      <c r="C12">
        <f t="shared" si="0"/>
        <v>8</v>
      </c>
      <c r="D12" t="s">
        <v>37</v>
      </c>
      <c r="E12">
        <v>1</v>
      </c>
      <c r="F12">
        <v>180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180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46014.789969560188</v>
      </c>
      <c r="C13">
        <f t="shared" si="0"/>
        <v>9</v>
      </c>
      <c r="D13" t="s">
        <v>38</v>
      </c>
      <c r="E13">
        <v>1</v>
      </c>
      <c r="F13">
        <v>172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172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46014.789969560188</v>
      </c>
      <c r="C14">
        <f t="shared" si="0"/>
        <v>10</v>
      </c>
      <c r="D14" t="s">
        <v>36</v>
      </c>
      <c r="E14">
        <v>1</v>
      </c>
      <c r="F14">
        <v>15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46014.789969560188</v>
      </c>
      <c r="C15">
        <f t="shared" si="0"/>
        <v>11</v>
      </c>
      <c r="D15" t="s">
        <v>39</v>
      </c>
      <c r="E15">
        <v>2</v>
      </c>
      <c r="F15">
        <v>5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10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46014.789969560188</v>
      </c>
      <c r="C16">
        <f t="shared" si="0"/>
        <v>12</v>
      </c>
      <c r="D16" t="s">
        <v>40</v>
      </c>
      <c r="E16">
        <v>2</v>
      </c>
      <c r="F16">
        <v>4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8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46014.789969560188</v>
      </c>
      <c r="C17">
        <f t="shared" si="0"/>
        <v>13</v>
      </c>
      <c r="D17" t="s">
        <v>41</v>
      </c>
      <c r="E17">
        <v>1</v>
      </c>
      <c r="F17">
        <v>18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18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46014.789969560188</v>
      </c>
      <c r="C18">
        <f t="shared" si="0"/>
        <v>14</v>
      </c>
      <c r="D18" t="s">
        <v>42</v>
      </c>
      <c r="E18">
        <v>1</v>
      </c>
      <c r="F18">
        <v>142</v>
      </c>
      <c r="G18" t="s">
        <v>31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135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46014.789969560188</v>
      </c>
      <c r="C19">
        <f t="shared" si="0"/>
        <v>15</v>
      </c>
      <c r="D19" t="s">
        <v>43</v>
      </c>
      <c r="E19">
        <v>1</v>
      </c>
      <c r="F19">
        <v>70</v>
      </c>
      <c r="G19" t="s">
        <v>31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63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46014.789969560188</v>
      </c>
      <c r="C20">
        <f t="shared" si="0"/>
        <v>16</v>
      </c>
      <c r="D20" t="s">
        <v>44</v>
      </c>
      <c r="E20">
        <v>1</v>
      </c>
      <c r="F20">
        <v>48</v>
      </c>
      <c r="G20" t="s">
        <v>31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43.5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46014.789969560188</v>
      </c>
      <c r="C21">
        <f t="shared" si="0"/>
        <v>17</v>
      </c>
      <c r="D21" t="s">
        <v>45</v>
      </c>
      <c r="E21">
        <v>1</v>
      </c>
      <c r="F21">
        <v>123</v>
      </c>
      <c r="G21" t="s">
        <v>31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117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46014.789969560188</v>
      </c>
      <c r="C22">
        <f t="shared" si="0"/>
        <v>18</v>
      </c>
      <c r="D22" t="s">
        <v>43</v>
      </c>
      <c r="E22">
        <v>1</v>
      </c>
      <c r="F22">
        <v>70</v>
      </c>
      <c r="G22" t="s">
        <v>31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63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46014.789969560188</v>
      </c>
      <c r="C23">
        <f t="shared" si="0"/>
        <v>19</v>
      </c>
      <c r="D23" t="s">
        <v>46</v>
      </c>
      <c r="E23">
        <v>1</v>
      </c>
      <c r="F23">
        <v>70</v>
      </c>
      <c r="G23" t="s">
        <v>31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63</v>
      </c>
    </row>
    <row r="24" spans="2:18" ht="15" customHeight="1" x14ac:dyDescent="0.25">
      <c r="B24" s="18">
        <f ca="1">IF(Tabla1[[#This Row],['#]]&lt;&gt;"", NOW(), "")</f>
        <v>46014.789969560188</v>
      </c>
      <c r="C24">
        <f t="shared" si="0"/>
        <v>20</v>
      </c>
      <c r="D24" t="s">
        <v>47</v>
      </c>
      <c r="E24">
        <v>1</v>
      </c>
      <c r="F24">
        <v>90</v>
      </c>
      <c r="G24" t="s">
        <v>31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81</v>
      </c>
      <c r="M24" s="32" t="s">
        <v>23</v>
      </c>
      <c r="N24" s="32"/>
      <c r="O24" s="32"/>
      <c r="P24" s="32"/>
      <c r="Q24" s="32"/>
      <c r="R24" s="32"/>
    </row>
    <row r="25" spans="2:18" x14ac:dyDescent="0.25">
      <c r="B25" s="18">
        <f ca="1">IF(Tabla1[[#This Row],['#]]&lt;&gt;"", NOW(), "")</f>
        <v>46014.789969560188</v>
      </c>
      <c r="C25">
        <f t="shared" si="0"/>
        <v>21</v>
      </c>
      <c r="D25" t="s">
        <v>48</v>
      </c>
      <c r="E25">
        <v>1</v>
      </c>
      <c r="F25">
        <v>15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15</v>
      </c>
      <c r="M25" s="33"/>
      <c r="N25" s="33"/>
      <c r="O25" s="33"/>
      <c r="P25" s="33"/>
      <c r="Q25" s="33"/>
      <c r="R25" s="33"/>
    </row>
    <row r="26" spans="2:18" ht="15" customHeight="1" x14ac:dyDescent="0.25">
      <c r="B26" s="18">
        <f ca="1">IF(Tabla1[[#This Row],['#]]&lt;&gt;"", NOW(), "")</f>
        <v>46014.789969560188</v>
      </c>
      <c r="C26">
        <f t="shared" si="0"/>
        <v>22</v>
      </c>
      <c r="D26" t="s">
        <v>49</v>
      </c>
      <c r="E26">
        <v>1</v>
      </c>
      <c r="F26">
        <v>45</v>
      </c>
      <c r="H26" s="5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>45</v>
      </c>
      <c r="M26" s="31" t="s">
        <v>24</v>
      </c>
      <c r="N26" s="31"/>
      <c r="O26" s="14" t="s">
        <v>25</v>
      </c>
      <c r="P26" s="31" t="s">
        <v>26</v>
      </c>
      <c r="Q26" s="31"/>
      <c r="R26" s="31"/>
    </row>
    <row r="27" spans="2:18" x14ac:dyDescent="0.25">
      <c r="B27" s="18">
        <f ca="1">IF(Tabla1[[#This Row],['#]]&lt;&gt;"", NOW(), "")</f>
        <v>46014.789969560188</v>
      </c>
      <c r="C27">
        <f t="shared" si="0"/>
        <v>23</v>
      </c>
      <c r="D27" t="s">
        <v>50</v>
      </c>
      <c r="E27">
        <v>1</v>
      </c>
      <c r="F27">
        <v>113</v>
      </c>
      <c r="H27" s="5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>113</v>
      </c>
      <c r="M27" s="19"/>
      <c r="N27" s="20"/>
      <c r="O27" s="23"/>
      <c r="P27" s="25"/>
      <c r="Q27" s="26"/>
      <c r="R27" s="27"/>
    </row>
    <row r="28" spans="2:18" x14ac:dyDescent="0.25">
      <c r="B28" s="18">
        <f ca="1">IF(Tabla1[[#This Row],['#]]&lt;&gt;"", NOW(), "")</f>
        <v>46014.789969560188</v>
      </c>
      <c r="C28">
        <f t="shared" si="0"/>
        <v>24</v>
      </c>
      <c r="D28" t="s">
        <v>51</v>
      </c>
      <c r="E28">
        <v>1</v>
      </c>
      <c r="F28">
        <v>220</v>
      </c>
      <c r="G28" t="s">
        <v>31</v>
      </c>
      <c r="H28" s="5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>198</v>
      </c>
      <c r="M28" s="21"/>
      <c r="N28" s="22"/>
      <c r="O28" s="24"/>
      <c r="P28" s="28"/>
      <c r="Q28" s="29"/>
      <c r="R28" s="30"/>
    </row>
    <row r="29" spans="2:18" x14ac:dyDescent="0.25">
      <c r="B29" s="18">
        <f ca="1">IF(Tabla1[[#This Row],['#]]&lt;&gt;"", NOW(), "")</f>
        <v>46014.789969560188</v>
      </c>
      <c r="C29">
        <f t="shared" si="0"/>
        <v>25</v>
      </c>
      <c r="D29" t="s">
        <v>52</v>
      </c>
      <c r="E29">
        <v>1</v>
      </c>
      <c r="F29">
        <v>280</v>
      </c>
      <c r="G29" t="s">
        <v>31</v>
      </c>
      <c r="H29" s="5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>252</v>
      </c>
      <c r="M29" s="19"/>
      <c r="N29" s="20"/>
      <c r="O29" s="23"/>
      <c r="P29" s="25"/>
      <c r="Q29" s="26"/>
      <c r="R29" s="27"/>
    </row>
    <row r="30" spans="2:18" x14ac:dyDescent="0.25">
      <c r="B30" s="18">
        <f ca="1">IF(Tabla1[[#This Row],['#]]&lt;&gt;"", NOW(), "")</f>
        <v>46014.789969560188</v>
      </c>
      <c r="C30">
        <f t="shared" si="0"/>
        <v>26</v>
      </c>
      <c r="D30" t="s">
        <v>53</v>
      </c>
      <c r="E30">
        <v>1</v>
      </c>
      <c r="F30">
        <v>135</v>
      </c>
      <c r="H30" s="5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>135</v>
      </c>
      <c r="M30" s="21"/>
      <c r="N30" s="22"/>
      <c r="O30" s="24"/>
      <c r="P30" s="28"/>
      <c r="Q30" s="29"/>
      <c r="R30" s="30"/>
    </row>
    <row r="31" spans="2:18" x14ac:dyDescent="0.25">
      <c r="B31" s="18">
        <f ca="1">IF(Tabla1[[#This Row],['#]]&lt;&gt;"", NOW(), "")</f>
        <v>46014.789969560188</v>
      </c>
      <c r="C31">
        <f t="shared" si="0"/>
        <v>27</v>
      </c>
      <c r="D31" t="s">
        <v>54</v>
      </c>
      <c r="E31">
        <v>1</v>
      </c>
      <c r="F31">
        <v>22</v>
      </c>
      <c r="H31" s="5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>22</v>
      </c>
      <c r="M31" s="19"/>
      <c r="N31" s="20"/>
      <c r="O31" s="23"/>
      <c r="P31" s="25"/>
      <c r="Q31" s="26"/>
      <c r="R31" s="27"/>
    </row>
    <row r="32" spans="2:18" x14ac:dyDescent="0.25">
      <c r="B32" s="18">
        <f ca="1">IF(Tabla1[[#This Row],['#]]&lt;&gt;"", NOW(), "")</f>
        <v>46014.789969560188</v>
      </c>
      <c r="C32">
        <f t="shared" si="0"/>
        <v>28</v>
      </c>
      <c r="D32" t="s">
        <v>55</v>
      </c>
      <c r="E32">
        <v>1</v>
      </c>
      <c r="F32">
        <v>20</v>
      </c>
      <c r="H32" s="5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>20</v>
      </c>
      <c r="M32" s="21"/>
      <c r="N32" s="22"/>
      <c r="O32" s="24"/>
      <c r="P32" s="28"/>
      <c r="Q32" s="29"/>
      <c r="R32" s="30"/>
    </row>
    <row r="33" spans="2:18" x14ac:dyDescent="0.25">
      <c r="B33" s="18">
        <f ca="1">IF(Tabla1[[#This Row],['#]]&lt;&gt;"", NOW(), "")</f>
        <v>46014.789969560188</v>
      </c>
      <c r="C33">
        <f t="shared" si="0"/>
        <v>29</v>
      </c>
      <c r="D33" t="s">
        <v>56</v>
      </c>
      <c r="E33">
        <v>1</v>
      </c>
      <c r="F33">
        <v>144</v>
      </c>
      <c r="H33" s="5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>144</v>
      </c>
      <c r="M33" s="19"/>
      <c r="N33" s="20"/>
      <c r="O33" s="23"/>
      <c r="P33" s="25"/>
      <c r="Q33" s="26"/>
      <c r="R33" s="27"/>
    </row>
    <row r="34" spans="2:18" x14ac:dyDescent="0.25">
      <c r="B34" s="18">
        <f ca="1">IF(Tabla1[[#This Row],['#]]&lt;&gt;"", NOW(), "")</f>
        <v>46014.789969560188</v>
      </c>
      <c r="C34">
        <f t="shared" si="0"/>
        <v>30</v>
      </c>
      <c r="D34" t="s">
        <v>57</v>
      </c>
      <c r="E34">
        <v>1</v>
      </c>
      <c r="F34">
        <v>95</v>
      </c>
      <c r="H34" s="5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>95</v>
      </c>
      <c r="M34" s="21"/>
      <c r="N34" s="22"/>
      <c r="O34" s="24"/>
      <c r="P34" s="28"/>
      <c r="Q34" s="29"/>
      <c r="R34" s="30"/>
    </row>
    <row r="35" spans="2:18" x14ac:dyDescent="0.25">
      <c r="B35" s="18">
        <f ca="1">IF(Tabla1[[#This Row],['#]]&lt;&gt;"", NOW(), "")</f>
        <v>46014.789969560188</v>
      </c>
      <c r="C35">
        <f t="shared" si="0"/>
        <v>31</v>
      </c>
      <c r="D35" t="s">
        <v>58</v>
      </c>
      <c r="E35">
        <v>1</v>
      </c>
      <c r="F35">
        <v>75</v>
      </c>
      <c r="H35" s="5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>75</v>
      </c>
      <c r="M35" s="19"/>
      <c r="N35" s="20"/>
      <c r="O35" s="23"/>
      <c r="P35" s="25"/>
      <c r="Q35" s="26"/>
      <c r="R35" s="27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1"/>
      <c r="N36" s="22"/>
      <c r="O36" s="24"/>
      <c r="P36" s="28"/>
      <c r="Q36" s="29"/>
      <c r="R36" s="30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19"/>
      <c r="N37" s="20"/>
      <c r="O37" s="23"/>
      <c r="P37" s="25"/>
      <c r="Q37" s="26"/>
      <c r="R37" s="27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1"/>
      <c r="N38" s="22"/>
      <c r="O38" s="24"/>
      <c r="P38" s="28"/>
      <c r="Q38" s="29"/>
      <c r="R38" s="30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19"/>
      <c r="N39" s="20"/>
      <c r="O39" s="23"/>
      <c r="P39" s="25"/>
      <c r="Q39" s="26"/>
      <c r="R39" s="27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1"/>
      <c r="N40" s="22"/>
      <c r="O40" s="24"/>
      <c r="P40" s="28"/>
      <c r="Q40" s="29"/>
      <c r="R40" s="30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19"/>
      <c r="N41" s="20"/>
      <c r="O41" s="23"/>
      <c r="P41" s="25"/>
      <c r="Q41" s="26"/>
      <c r="R41" s="27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1"/>
      <c r="N42" s="22"/>
      <c r="O42" s="24"/>
      <c r="P42" s="28"/>
      <c r="Q42" s="29"/>
      <c r="R42" s="30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19"/>
      <c r="N43" s="20"/>
      <c r="O43" s="23"/>
      <c r="P43" s="25"/>
      <c r="Q43" s="26"/>
      <c r="R43" s="27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1"/>
      <c r="N44" s="22"/>
      <c r="O44" s="24"/>
      <c r="P44" s="28"/>
      <c r="Q44" s="29"/>
      <c r="R44" s="30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19"/>
      <c r="N45" s="20"/>
      <c r="O45" s="23"/>
      <c r="P45" s="25"/>
      <c r="Q45" s="26"/>
      <c r="R45" s="27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1"/>
      <c r="N46" s="22"/>
      <c r="O46" s="24"/>
      <c r="P46" s="28"/>
      <c r="Q46" s="29"/>
      <c r="R46" s="30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19"/>
      <c r="N47" s="20"/>
      <c r="O47" s="23"/>
      <c r="P47" s="25"/>
      <c r="Q47" s="26"/>
      <c r="R47" s="27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1"/>
      <c r="N48" s="22"/>
      <c r="O48" s="24"/>
      <c r="P48" s="28"/>
      <c r="Q48" s="29"/>
      <c r="R48" s="30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19"/>
      <c r="N49" s="20"/>
      <c r="O49" s="23"/>
      <c r="P49" s="25"/>
      <c r="Q49" s="26"/>
      <c r="R49" s="27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1"/>
      <c r="N50" s="22"/>
      <c r="O50" s="24"/>
      <c r="P50" s="28"/>
      <c r="Q50" s="29"/>
      <c r="R50" s="30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19"/>
      <c r="N51" s="20"/>
      <c r="O51" s="23"/>
      <c r="P51" s="25"/>
      <c r="Q51" s="26"/>
      <c r="R51" s="27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1"/>
      <c r="N52" s="22"/>
      <c r="O52" s="24"/>
      <c r="P52" s="28"/>
      <c r="Q52" s="29"/>
      <c r="R52" s="30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24:R24"/>
    <mergeCell ref="M25:R25"/>
    <mergeCell ref="C2:H2"/>
    <mergeCell ref="M4:R22"/>
    <mergeCell ref="M2:R2"/>
    <mergeCell ref="M3:R3"/>
    <mergeCell ref="J5:K14"/>
    <mergeCell ref="M41:N42"/>
    <mergeCell ref="M43:N44"/>
    <mergeCell ref="O41:O42"/>
    <mergeCell ref="O43:O44"/>
    <mergeCell ref="P41:R42"/>
    <mergeCell ref="P43:R44"/>
    <mergeCell ref="P26:R26"/>
    <mergeCell ref="M26:N26"/>
    <mergeCell ref="M27:N28"/>
    <mergeCell ref="M29:N30"/>
    <mergeCell ref="O27:O28"/>
    <mergeCell ref="O29:O30"/>
    <mergeCell ref="P27:R28"/>
    <mergeCell ref="P29:R30"/>
    <mergeCell ref="M31:N32"/>
    <mergeCell ref="M33:N34"/>
    <mergeCell ref="M35:N36"/>
    <mergeCell ref="M37:N38"/>
    <mergeCell ref="M39:N40"/>
    <mergeCell ref="O31:O32"/>
    <mergeCell ref="O33:O34"/>
    <mergeCell ref="O35:O36"/>
    <mergeCell ref="O37:O38"/>
    <mergeCell ref="O39:O40"/>
    <mergeCell ref="P31:R32"/>
    <mergeCell ref="P33:R34"/>
    <mergeCell ref="P35:R36"/>
    <mergeCell ref="P37:R38"/>
    <mergeCell ref="P39:R40"/>
    <mergeCell ref="M45:N46"/>
    <mergeCell ref="O45:O46"/>
    <mergeCell ref="P45:R46"/>
    <mergeCell ref="M47:N48"/>
    <mergeCell ref="O47:O48"/>
    <mergeCell ref="P47:R48"/>
    <mergeCell ref="M49:N50"/>
    <mergeCell ref="O49:O50"/>
    <mergeCell ref="P49:R50"/>
    <mergeCell ref="M51:N52"/>
    <mergeCell ref="O51:O52"/>
    <mergeCell ref="P51:R52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tabSelected="1" workbookViewId="0">
      <selection activeCell="D24" sqref="D2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59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21</v>
      </c>
      <c r="K3" s="6">
        <f>SUM(Tabla110[Importa])</f>
        <v>5582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27</v>
      </c>
      <c r="C4" t="s">
        <v>19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22</v>
      </c>
      <c r="K4" s="10">
        <f>COUNTIF(C5:C103,"&gt;0")</f>
        <v>19</v>
      </c>
      <c r="M4" s="36"/>
      <c r="N4" s="36"/>
      <c r="O4" s="36"/>
      <c r="P4" s="36"/>
      <c r="Q4" s="36"/>
      <c r="R4" s="36"/>
    </row>
    <row r="5" spans="2:18" x14ac:dyDescent="0.25">
      <c r="B5" s="18">
        <f ca="1">IF(Tabla110[[#This Row],['#]]&lt;&gt;"", NOW(), "")</f>
        <v>46014.789969560188</v>
      </c>
      <c r="C5">
        <f t="shared" ref="C5:C68" si="0">IF(ISNUMBER(E5), IF(ISNUMBER(C4), C4+1, 1), "")</f>
        <v>1</v>
      </c>
      <c r="D5" t="s">
        <v>60</v>
      </c>
      <c r="E5">
        <v>2</v>
      </c>
      <c r="F5">
        <v>150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300</v>
      </c>
      <c r="J5" s="38" t="s">
        <v>15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46014.789969560188</v>
      </c>
      <c r="C6">
        <f t="shared" si="0"/>
        <v>2</v>
      </c>
      <c r="D6" t="s">
        <v>61</v>
      </c>
      <c r="E6">
        <v>1</v>
      </c>
      <c r="F6">
        <v>20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20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46014.789969560188</v>
      </c>
      <c r="C7">
        <f t="shared" si="0"/>
        <v>3</v>
      </c>
      <c r="D7" t="s">
        <v>47</v>
      </c>
      <c r="E7">
        <v>1</v>
      </c>
      <c r="F7">
        <v>120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120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46014.789969560188</v>
      </c>
      <c r="C8">
        <f t="shared" si="0"/>
        <v>4</v>
      </c>
      <c r="D8" t="s">
        <v>62</v>
      </c>
      <c r="E8">
        <v>1</v>
      </c>
      <c r="F8">
        <v>485</v>
      </c>
      <c r="G8" t="s">
        <v>31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436.5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46014.789969560188</v>
      </c>
      <c r="C9">
        <f t="shared" si="0"/>
        <v>5</v>
      </c>
      <c r="D9" t="s">
        <v>39</v>
      </c>
      <c r="E9">
        <v>2</v>
      </c>
      <c r="F9">
        <v>5</v>
      </c>
      <c r="G9" t="s">
        <v>31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9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46014.789969560188</v>
      </c>
      <c r="C10">
        <f t="shared" si="0"/>
        <v>6</v>
      </c>
      <c r="D10" t="s">
        <v>63</v>
      </c>
      <c r="E10">
        <v>2</v>
      </c>
      <c r="F10">
        <v>96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192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46014.789969560188</v>
      </c>
      <c r="C11">
        <f t="shared" si="0"/>
        <v>7</v>
      </c>
      <c r="D11" t="s">
        <v>64</v>
      </c>
      <c r="E11">
        <v>1</v>
      </c>
      <c r="F11">
        <v>800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800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46014.789969560188</v>
      </c>
      <c r="C12">
        <f t="shared" si="0"/>
        <v>8</v>
      </c>
      <c r="D12" t="s">
        <v>65</v>
      </c>
      <c r="E12">
        <v>1</v>
      </c>
      <c r="F12">
        <v>2882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2882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46014.789969560188</v>
      </c>
      <c r="C13">
        <f t="shared" si="0"/>
        <v>9</v>
      </c>
      <c r="D13" t="s">
        <v>66</v>
      </c>
      <c r="E13">
        <v>1</v>
      </c>
      <c r="F13">
        <v>240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240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46014.789969560188</v>
      </c>
      <c r="C14">
        <f t="shared" si="0"/>
        <v>10</v>
      </c>
      <c r="D14" t="s">
        <v>67</v>
      </c>
      <c r="E14">
        <v>1</v>
      </c>
      <c r="F14">
        <v>5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46014.789969560188</v>
      </c>
      <c r="C15">
        <f t="shared" si="0"/>
        <v>11</v>
      </c>
      <c r="D15" t="s">
        <v>36</v>
      </c>
      <c r="E15">
        <v>1</v>
      </c>
      <c r="F15">
        <v>15</v>
      </c>
      <c r="G15" t="s">
        <v>31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13.5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46014.789969560188</v>
      </c>
      <c r="C16">
        <f t="shared" si="0"/>
        <v>12</v>
      </c>
      <c r="D16" t="s">
        <v>68</v>
      </c>
      <c r="E16">
        <v>1</v>
      </c>
      <c r="F16">
        <v>70</v>
      </c>
      <c r="G16" t="s">
        <v>31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63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46014.789969560188</v>
      </c>
      <c r="C17">
        <f t="shared" si="0"/>
        <v>13</v>
      </c>
      <c r="D17" t="s">
        <v>69</v>
      </c>
      <c r="E17">
        <v>1</v>
      </c>
      <c r="F17">
        <v>38</v>
      </c>
      <c r="G17" t="s">
        <v>31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34.5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46014.789969560188</v>
      </c>
      <c r="C18">
        <f t="shared" si="0"/>
        <v>14</v>
      </c>
      <c r="D18" t="s">
        <v>70</v>
      </c>
      <c r="E18">
        <v>1</v>
      </c>
      <c r="F18">
        <v>190</v>
      </c>
      <c r="G18" t="s">
        <v>31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171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46014.789969560188</v>
      </c>
      <c r="C19">
        <f t="shared" si="0"/>
        <v>15</v>
      </c>
      <c r="D19" t="s">
        <v>39</v>
      </c>
      <c r="E19">
        <v>3</v>
      </c>
      <c r="F19">
        <v>5</v>
      </c>
      <c r="G19" t="s">
        <v>31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13.5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46014.789969560188</v>
      </c>
      <c r="C20">
        <f t="shared" si="0"/>
        <v>16</v>
      </c>
      <c r="D20" t="s">
        <v>71</v>
      </c>
      <c r="E20">
        <v>1</v>
      </c>
      <c r="F20">
        <v>100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100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46014.789969560188</v>
      </c>
      <c r="C21">
        <f t="shared" si="0"/>
        <v>17</v>
      </c>
      <c r="D21" t="s">
        <v>72</v>
      </c>
      <c r="E21">
        <v>1</v>
      </c>
      <c r="F21">
        <v>70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70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46014.789969560188</v>
      </c>
      <c r="C22">
        <f t="shared" si="0"/>
        <v>18</v>
      </c>
      <c r="D22" t="s">
        <v>73</v>
      </c>
      <c r="E22">
        <v>1</v>
      </c>
      <c r="F22">
        <v>90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90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46014.789969560188</v>
      </c>
      <c r="C23">
        <f t="shared" si="0"/>
        <v>19</v>
      </c>
      <c r="D23" t="s">
        <v>74</v>
      </c>
      <c r="E23">
        <v>1</v>
      </c>
      <c r="F23">
        <v>22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22</v>
      </c>
    </row>
    <row r="24" spans="2:18" ht="15" customHeight="1" x14ac:dyDescent="0.25">
      <c r="B24" s="18">
        <f ca="1">IF(Tabla1[[#This Row],['#]]&lt;&gt;"", NOW(), "")</f>
        <v>46014.789969560188</v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32" t="s">
        <v>23</v>
      </c>
      <c r="N24" s="42"/>
      <c r="O24" s="42"/>
      <c r="P24" s="42"/>
      <c r="Q24" s="42"/>
      <c r="R24" s="42"/>
    </row>
    <row r="25" spans="2:18" x14ac:dyDescent="0.25">
      <c r="B25" s="18">
        <f ca="1">IF(Tabla1[[#This Row],['#]]&lt;&gt;"", NOW(), "")</f>
        <v>46014.789969560188</v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x14ac:dyDescent="0.25">
      <c r="B26" s="18">
        <f ca="1">IF(Tabla1[[#This Row],['#]]&lt;&gt;"", NOW(), "")</f>
        <v>46014.789969560188</v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24</v>
      </c>
      <c r="N26" s="14" t="s">
        <v>25</v>
      </c>
      <c r="O26" s="31" t="s">
        <v>26</v>
      </c>
      <c r="P26" s="31"/>
      <c r="Q26" s="31"/>
      <c r="R26" s="31"/>
    </row>
    <row r="27" spans="2:18" x14ac:dyDescent="0.25">
      <c r="B27" s="18">
        <f ca="1">IF(Tabla1[[#This Row],['#]]&lt;&gt;"", NOW(), "")</f>
        <v>46014.789969560188</v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x14ac:dyDescent="0.25">
      <c r="B28" s="18">
        <f ca="1">IF(Tabla1[[#This Row],['#]]&lt;&gt;"", NOW(), "")</f>
        <v>46014.789969560188</v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>
        <f ca="1">IF(Tabla1[[#This Row],['#]]&lt;&gt;"", NOW(), "")</f>
        <v>46014.789969560188</v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>
        <f ca="1">IF(Tabla1[[#This Row],['#]]&lt;&gt;"", NOW(), "")</f>
        <v>46014.789969560188</v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>
        <f ca="1">IF(Tabla1[[#This Row],['#]]&lt;&gt;"", NOW(), "")</f>
        <v>46014.789969560188</v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>
        <f ca="1">IF(Tabla1[[#This Row],['#]]&lt;&gt;"", NOW(), "")</f>
        <v>46014.789969560188</v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>
        <f ca="1">IF(Tabla1[[#This Row],['#]]&lt;&gt;"", NOW(), "")</f>
        <v>46014.789969560188</v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>
        <f ca="1">IF(Tabla1[[#This Row],['#]]&lt;&gt;"", NOW(), "")</f>
        <v>46014.789969560188</v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>
        <f ca="1">IF(Tabla1[[#This Row],['#]]&lt;&gt;"", NOW(), "")</f>
        <v>46014.789969560188</v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B1" sqref="B1:B104857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8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21</v>
      </c>
      <c r="K3" s="6">
        <f>SUM(Tabla111[Importa])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27</v>
      </c>
      <c r="C4" t="s">
        <v>19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22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IF(Tabla111[[#This Row],['#]]&lt;&gt;"", NOW(), "")</f>
        <v/>
      </c>
      <c r="C5" t="str">
        <f>IF(ISNUMBER(E5), IF(ISNUMBER(C4), C4+1, 1), "")</f>
        <v/>
      </c>
      <c r="H5" s="5" t="str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/>
      </c>
      <c r="J5" s="38" t="s">
        <v>15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46014.789969560188</v>
      </c>
      <c r="C6" t="str">
        <f t="shared" ref="C6" si="0">IF(ISNUMBER(E6), IF(ISNUMBER(C5), C5+1, 1), "")</f>
        <v/>
      </c>
      <c r="H6" s="5" t="str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46014.789969560188</v>
      </c>
      <c r="C7" t="str">
        <f>IF(ISNUMBER(E7), IF(ISNUMBER(C6), C6+1, 1), "")</f>
        <v/>
      </c>
      <c r="H7" s="5" t="str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46014.789969560188</v>
      </c>
      <c r="C8" t="str">
        <f t="shared" ref="C8:C68" si="1">IF(ISNUMBER(E8), IF(ISNUMBER(C7), C7+1, 1), "")</f>
        <v/>
      </c>
      <c r="H8" s="5" t="str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46014.789969560188</v>
      </c>
      <c r="C9" t="str">
        <f t="shared" si="1"/>
        <v/>
      </c>
      <c r="H9" s="5" t="str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46014.789969560188</v>
      </c>
      <c r="C10" t="str">
        <f t="shared" si="1"/>
        <v/>
      </c>
      <c r="H10" s="5" t="str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46014.789969560188</v>
      </c>
      <c r="C11" t="str">
        <f t="shared" si="1"/>
        <v/>
      </c>
      <c r="H11" s="5" t="str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46014.789969560188</v>
      </c>
      <c r="C12" t="str">
        <f t="shared" si="1"/>
        <v/>
      </c>
      <c r="H12" s="5" t="str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46014.789969560188</v>
      </c>
      <c r="C13" t="str">
        <f t="shared" si="1"/>
        <v/>
      </c>
      <c r="H13" s="5" t="str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46014.789969560188</v>
      </c>
      <c r="C14" t="str">
        <f t="shared" si="1"/>
        <v/>
      </c>
      <c r="H14" s="5" t="str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46014.789969560188</v>
      </c>
      <c r="C15" t="str">
        <f t="shared" si="1"/>
        <v/>
      </c>
      <c r="H15" s="5" t="str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46014.789969560188</v>
      </c>
      <c r="C16" t="str">
        <f t="shared" si="1"/>
        <v/>
      </c>
      <c r="H16" s="5" t="str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46014.789969560188</v>
      </c>
      <c r="C17" t="str">
        <f t="shared" si="1"/>
        <v/>
      </c>
      <c r="H17" s="5" t="str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46014.789969560188</v>
      </c>
      <c r="C18" t="str">
        <f t="shared" si="1"/>
        <v/>
      </c>
      <c r="H18" s="5" t="str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46014.789969560188</v>
      </c>
      <c r="C19" t="str">
        <f t="shared" si="1"/>
        <v/>
      </c>
      <c r="H19" s="5" t="str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46014.789969560188</v>
      </c>
      <c r="C20" t="str">
        <f t="shared" si="1"/>
        <v/>
      </c>
      <c r="H20" s="5" t="str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46014.789969560188</v>
      </c>
      <c r="C21" t="str">
        <f t="shared" si="1"/>
        <v/>
      </c>
      <c r="H21" s="5" t="str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46014.789969560188</v>
      </c>
      <c r="C22" t="str">
        <f t="shared" si="1"/>
        <v/>
      </c>
      <c r="H22" s="5" t="str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46014.789969560188</v>
      </c>
      <c r="C23" t="str">
        <f t="shared" si="1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46014.789969560188</v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32" t="s">
        <v>23</v>
      </c>
      <c r="N24" s="42"/>
      <c r="O24" s="42"/>
      <c r="P24" s="42"/>
      <c r="Q24" s="42"/>
      <c r="R24" s="42"/>
    </row>
    <row r="25" spans="2:18" x14ac:dyDescent="0.25">
      <c r="B25" s="18">
        <f ca="1">IF(Tabla1[[#This Row],['#]]&lt;&gt;"", NOW(), "")</f>
        <v>46014.789969560188</v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46014.789969560188</v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24</v>
      </c>
      <c r="N26" s="14" t="s">
        <v>25</v>
      </c>
      <c r="O26" s="31" t="s">
        <v>26</v>
      </c>
      <c r="P26" s="31"/>
      <c r="Q26" s="31"/>
      <c r="R26" s="31"/>
    </row>
    <row r="27" spans="2:18" x14ac:dyDescent="0.25">
      <c r="B27" s="18">
        <f ca="1">IF(Tabla1[[#This Row],['#]]&lt;&gt;"", NOW(), "")</f>
        <v>46014.789969560188</v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x14ac:dyDescent="0.25">
      <c r="B28" s="18">
        <f ca="1">IF(Tabla1[[#This Row],['#]]&lt;&gt;"", NOW(), "")</f>
        <v>46014.789969560188</v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>
        <f ca="1">IF(Tabla1[[#This Row],['#]]&lt;&gt;"", NOW(), "")</f>
        <v>46014.789969560188</v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>
        <f ca="1">IF(Tabla1[[#This Row],['#]]&lt;&gt;"", NOW(), "")</f>
        <v>46014.789969560188</v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>
        <f ca="1">IF(Tabla1[[#This Row],['#]]&lt;&gt;"", NOW(), "")</f>
        <v>46014.789969560188</v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>
        <f ca="1">IF(Tabla1[[#This Row],['#]]&lt;&gt;"", NOW(), "")</f>
        <v>46014.789969560188</v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>
        <f ca="1">IF(Tabla1[[#This Row],['#]]&lt;&gt;"", NOW(), "")</f>
        <v>46014.789969560188</v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>
        <f ca="1">IF(Tabla1[[#This Row],['#]]&lt;&gt;"", NOW(), "")</f>
        <v>46014.789969560188</v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>
        <f ca="1">IF(Tabla1[[#This Row],['#]]&lt;&gt;"", NOW(), "")</f>
        <v>46014.789969560188</v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B1" sqref="B1:B104857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9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21</v>
      </c>
      <c r="K3" s="6">
        <f>SUM(Tabla112[Importa])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27</v>
      </c>
      <c r="C4" t="s">
        <v>19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22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IF(Tabla112[[#This Row],['#]]&lt;&gt;"", NOW(), "")</f>
        <v/>
      </c>
      <c r="C5" t="str">
        <f t="shared" ref="C5:C68" si="0">IF(ISNUMBER(E5), IF(ISNUMBER(C4), C4+1, 1), "")</f>
        <v/>
      </c>
      <c r="H5" s="5" t="str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/>
      </c>
      <c r="J5" s="38" t="s">
        <v>15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46014.789969560188</v>
      </c>
      <c r="C6" t="str">
        <f t="shared" si="0"/>
        <v/>
      </c>
      <c r="H6" s="5" t="str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46014.789969560188</v>
      </c>
      <c r="C7" t="str">
        <f t="shared" si="0"/>
        <v/>
      </c>
      <c r="H7" s="5" t="str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46014.789969560188</v>
      </c>
      <c r="C8" t="str">
        <f t="shared" si="0"/>
        <v/>
      </c>
      <c r="H8" s="5" t="str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46014.789969560188</v>
      </c>
      <c r="C9" t="str">
        <f t="shared" si="0"/>
        <v/>
      </c>
      <c r="H9" s="5" t="str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46014.789969560188</v>
      </c>
      <c r="C10" t="str">
        <f t="shared" si="0"/>
        <v/>
      </c>
      <c r="H10" s="5" t="str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46014.789969560188</v>
      </c>
      <c r="C11" t="str">
        <f t="shared" si="0"/>
        <v/>
      </c>
      <c r="H11" s="5" t="str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46014.789969560188</v>
      </c>
      <c r="C12" t="str">
        <f t="shared" si="0"/>
        <v/>
      </c>
      <c r="H12" s="5" t="str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46014.789969560188</v>
      </c>
      <c r="C13" t="str">
        <f t="shared" si="0"/>
        <v/>
      </c>
      <c r="H13" s="5" t="str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46014.789969560188</v>
      </c>
      <c r="C14" t="str">
        <f t="shared" si="0"/>
        <v/>
      </c>
      <c r="H14" s="5" t="str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46014.789969560188</v>
      </c>
      <c r="C15" t="str">
        <f t="shared" si="0"/>
        <v/>
      </c>
      <c r="H15" s="5" t="str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46014.789969560188</v>
      </c>
      <c r="C16" t="str">
        <f t="shared" si="0"/>
        <v/>
      </c>
      <c r="H16" s="5" t="str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46014.789969560188</v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46014.789969560188</v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46014.789969560188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46014.789969560188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46014.789969560188</v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46014.789969560188</v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46014.789969560188</v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46014.789969560188</v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32" t="s">
        <v>23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46014.789969560188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46014.789969560188</v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24</v>
      </c>
      <c r="N26" s="14" t="s">
        <v>25</v>
      </c>
      <c r="O26" s="31" t="s">
        <v>26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46014.789969560188</v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46014.789969560188</v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46014.789969560188</v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>
        <f ca="1">IF(Tabla1[[#This Row],['#]]&lt;&gt;"", NOW(), "")</f>
        <v>46014.789969560188</v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>
        <f ca="1">IF(Tabla1[[#This Row],['#]]&lt;&gt;"", NOW(), "")</f>
        <v>46014.789969560188</v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>
        <f ca="1">IF(Tabla1[[#This Row],['#]]&lt;&gt;"", NOW(), "")</f>
        <v>46014.789969560188</v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>
        <f ca="1">IF(Tabla1[[#This Row],['#]]&lt;&gt;"", NOW(), "")</f>
        <v>46014.789969560188</v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>
        <f ca="1">IF(Tabla1[[#This Row],['#]]&lt;&gt;"", NOW(), "")</f>
        <v>46014.789969560188</v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>
        <f ca="1">IF(Tabla1[[#This Row],['#]]&lt;&gt;"", NOW(), "")</f>
        <v>46014.789969560188</v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B1" sqref="B1:B104857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10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21</v>
      </c>
      <c r="K3" s="6">
        <f>SUM(Tabla113[Importa])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27</v>
      </c>
      <c r="C4" t="s">
        <v>19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22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IF(Tabla113[[#This Row],['#]]&lt;&gt;"", NOW(), "")</f>
        <v/>
      </c>
      <c r="C5" t="str">
        <f t="shared" ref="C5:C68" si="0">IF(ISNUMBER(E5), IF(ISNUMBER(C4), C4+1, 1), "")</f>
        <v/>
      </c>
      <c r="H5" s="5" t="str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/>
      </c>
      <c r="J5" s="38" t="s">
        <v>15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46014.789969560188</v>
      </c>
      <c r="C6" t="str">
        <f t="shared" si="0"/>
        <v/>
      </c>
      <c r="H6" s="5" t="str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46014.789969560188</v>
      </c>
      <c r="C7" t="str">
        <f t="shared" si="0"/>
        <v/>
      </c>
      <c r="H7" s="5" t="str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46014.789969560188</v>
      </c>
      <c r="C8" t="str">
        <f t="shared" si="0"/>
        <v/>
      </c>
      <c r="H8" s="5" t="str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46014.789969560188</v>
      </c>
      <c r="C9" t="str">
        <f t="shared" si="0"/>
        <v/>
      </c>
      <c r="H9" s="5" t="str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46014.789969560188</v>
      </c>
      <c r="C10" t="str">
        <f t="shared" si="0"/>
        <v/>
      </c>
      <c r="H10" s="5" t="str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46014.789969560188</v>
      </c>
      <c r="C11" t="str">
        <f t="shared" si="0"/>
        <v/>
      </c>
      <c r="H11" s="5" t="str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46014.789969560188</v>
      </c>
      <c r="C12" t="str">
        <f t="shared" si="0"/>
        <v/>
      </c>
      <c r="H12" s="5" t="str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46014.789969560188</v>
      </c>
      <c r="C13" t="str">
        <f t="shared" si="0"/>
        <v/>
      </c>
      <c r="H13" s="5" t="str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46014.789969560188</v>
      </c>
      <c r="C14" t="str">
        <f t="shared" si="0"/>
        <v/>
      </c>
      <c r="H14" s="5" t="str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46014.789969560188</v>
      </c>
      <c r="C15" t="str">
        <f t="shared" si="0"/>
        <v/>
      </c>
      <c r="H15" s="5" t="str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46014.789969560188</v>
      </c>
      <c r="C16" t="str">
        <f t="shared" si="0"/>
        <v/>
      </c>
      <c r="H16" s="5" t="str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46014.789969560188</v>
      </c>
      <c r="C17" t="str">
        <f t="shared" si="0"/>
        <v/>
      </c>
      <c r="H17" s="5" t="str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46014.789969560188</v>
      </c>
      <c r="C18" t="str">
        <f t="shared" si="0"/>
        <v/>
      </c>
      <c r="H18" s="5" t="str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46014.789969560188</v>
      </c>
      <c r="C19" t="str">
        <f t="shared" si="0"/>
        <v/>
      </c>
      <c r="H19" s="5" t="str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46014.789969560188</v>
      </c>
      <c r="C20" t="str">
        <f t="shared" si="0"/>
        <v/>
      </c>
      <c r="H20" s="5" t="str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46014.789969560188</v>
      </c>
      <c r="C21" t="str">
        <f t="shared" si="0"/>
        <v/>
      </c>
      <c r="H21" s="5" t="str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46014.789969560188</v>
      </c>
      <c r="C22" t="str">
        <f t="shared" si="0"/>
        <v/>
      </c>
      <c r="H22" s="5" t="str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46014.789969560188</v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46014.789969560188</v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32" t="s">
        <v>23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46014.789969560188</v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46014.789969560188</v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24</v>
      </c>
      <c r="N26" s="14" t="s">
        <v>25</v>
      </c>
      <c r="O26" s="31" t="s">
        <v>26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46014.789969560188</v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46014.789969560188</v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46014.789969560188</v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>
        <f ca="1">IF(Tabla1[[#This Row],['#]]&lt;&gt;"", NOW(), "")</f>
        <v>46014.789969560188</v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>
        <f ca="1">IF(Tabla1[[#This Row],['#]]&lt;&gt;"", NOW(), "")</f>
        <v>46014.789969560188</v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>
        <f ca="1">IF(Tabla1[[#This Row],['#]]&lt;&gt;"", NOW(), "")</f>
        <v>46014.789969560188</v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>
        <f ca="1">IF(Tabla1[[#This Row],['#]]&lt;&gt;"", NOW(), "")</f>
        <v>46014.789969560188</v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>
        <f ca="1">IF(Tabla1[[#This Row],['#]]&lt;&gt;"", NOW(), "")</f>
        <v>46014.789969560188</v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>
        <f ca="1">IF(Tabla1[[#This Row],['#]]&lt;&gt;"", NOW(), "")</f>
        <v>46014.789969560188</v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11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21</v>
      </c>
      <c r="K3" s="6">
        <f>SUM(Tabla114[Importa])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27</v>
      </c>
      <c r="C4" t="s">
        <v>19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22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IF(Tabla114[[#This Row],['#]]&lt;&gt;"", NOW(), "")</f>
        <v/>
      </c>
      <c r="C5" t="str">
        <f t="shared" ref="C5:C68" si="0">IF(ISNUMBER(E5), IF(ISNUMBER(C4), C4+1, 1), "")</f>
        <v/>
      </c>
      <c r="H5" s="5" t="str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/>
      </c>
      <c r="J5" s="38" t="s">
        <v>15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46014.789969560188</v>
      </c>
      <c r="C6" t="str">
        <f t="shared" si="0"/>
        <v/>
      </c>
      <c r="H6" s="5" t="str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46014.789969560188</v>
      </c>
      <c r="C7" t="str">
        <f t="shared" si="0"/>
        <v/>
      </c>
      <c r="H7" s="5" t="str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46014.789969560188</v>
      </c>
      <c r="C8" t="str">
        <f t="shared" si="0"/>
        <v/>
      </c>
      <c r="H8" s="5" t="str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46014.789969560188</v>
      </c>
      <c r="C9" t="str">
        <f t="shared" si="0"/>
        <v/>
      </c>
      <c r="H9" s="5" t="str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46014.789969560188</v>
      </c>
      <c r="C10" t="str">
        <f t="shared" si="0"/>
        <v/>
      </c>
      <c r="H10" s="5" t="str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46014.789969560188</v>
      </c>
      <c r="C11" t="str">
        <f t="shared" si="0"/>
        <v/>
      </c>
      <c r="H11" s="5" t="str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46014.789969560188</v>
      </c>
      <c r="C12" t="str">
        <f t="shared" si="0"/>
        <v/>
      </c>
      <c r="H12" s="5" t="str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46014.789969560188</v>
      </c>
      <c r="C13" t="str">
        <f t="shared" si="0"/>
        <v/>
      </c>
      <c r="H13" s="5" t="str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46014.789969560188</v>
      </c>
      <c r="C14" t="str">
        <f t="shared" si="0"/>
        <v/>
      </c>
      <c r="H14" s="5" t="str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46014.789969560188</v>
      </c>
      <c r="C15" t="str">
        <f t="shared" si="0"/>
        <v/>
      </c>
      <c r="H15" s="5" t="str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46014.789969560188</v>
      </c>
      <c r="C16" t="str">
        <f t="shared" si="0"/>
        <v/>
      </c>
      <c r="H16" s="5" t="str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46014.789969560188</v>
      </c>
      <c r="C17" t="str">
        <f t="shared" si="0"/>
        <v/>
      </c>
      <c r="H17" s="5" t="str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46014.789969560188</v>
      </c>
      <c r="C18" t="str">
        <f t="shared" si="0"/>
        <v/>
      </c>
      <c r="H18" s="5" t="str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46014.789969560188</v>
      </c>
      <c r="C19" t="str">
        <f t="shared" si="0"/>
        <v/>
      </c>
      <c r="H19" s="5" t="str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46014.789969560188</v>
      </c>
      <c r="C20" t="str">
        <f t="shared" si="0"/>
        <v/>
      </c>
      <c r="H20" s="5" t="str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46014.789969560188</v>
      </c>
      <c r="C21" t="str">
        <f t="shared" si="0"/>
        <v/>
      </c>
      <c r="H21" s="5" t="str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46014.789969560188</v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46014.789969560188</v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46014.789969560188</v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32" t="s">
        <v>23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46014.789969560188</v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46014.789969560188</v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24</v>
      </c>
      <c r="N26" s="14" t="s">
        <v>25</v>
      </c>
      <c r="O26" s="31" t="s">
        <v>26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46014.789969560188</v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46014.789969560188</v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46014.789969560188</v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>
        <f ca="1">IF(Tabla1[[#This Row],['#]]&lt;&gt;"", NOW(), "")</f>
        <v>46014.789969560188</v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>
        <f ca="1">IF(Tabla1[[#This Row],['#]]&lt;&gt;"", NOW(), "")</f>
        <v>46014.789969560188</v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>
        <f ca="1">IF(Tabla1[[#This Row],['#]]&lt;&gt;"", NOW(), "")</f>
        <v>46014.789969560188</v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>
        <f ca="1">IF(Tabla1[[#This Row],['#]]&lt;&gt;"", NOW(), "")</f>
        <v>46014.789969560188</v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>
        <f ca="1">IF(Tabla1[[#This Row],['#]]&lt;&gt;"", NOW(), "")</f>
        <v>46014.789969560188</v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>
        <f ca="1">IF(Tabla1[[#This Row],['#]]&lt;&gt;"", NOW(), "")</f>
        <v>46014.789969560188</v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18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21</v>
      </c>
      <c r="K3" s="6">
        <f>SUM(Tabla115[Importa])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27</v>
      </c>
      <c r="C4" t="s">
        <v>19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22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38" t="s">
        <v>15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46014.789969560188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46014.789969560188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46014.789969560188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46014.789969560188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46014.789969560188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46014.789969560188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46014.789969560188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46014.789969560188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46014.789969560188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46014.789969560188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46014.789969560188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46014.789969560188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46014.789969560188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46014.789969560188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46014.789969560188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46014.789969560188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46014.789969560188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46014.789969560188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46014.789969560188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32" t="s">
        <v>23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46014.789969560188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46014.789969560188</v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24</v>
      </c>
      <c r="N26" s="14" t="s">
        <v>25</v>
      </c>
      <c r="O26" s="31" t="s">
        <v>26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46014.789969560188</v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46014.789969560188</v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46014.789969560188</v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>
        <f ca="1">IF(Tabla1[[#This Row],['#]]&lt;&gt;"", NOW(), "")</f>
        <v>46014.789969560188</v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>
        <f ca="1">IF(Tabla1[[#This Row],['#]]&lt;&gt;"", NOW(), "")</f>
        <v>46014.789969560188</v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>
        <f ca="1">IF(Tabla1[[#This Row],['#]]&lt;&gt;"", NOW(), "")</f>
        <v>46014.789969560188</v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>
        <f ca="1">IF(Tabla1[[#This Row],['#]]&lt;&gt;"", NOW(), "")</f>
        <v>46014.789969560188</v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>
        <f ca="1">IF(Tabla1[[#This Row],['#]]&lt;&gt;"", NOW(), "")</f>
        <v>46014.789969560188</v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>
        <f ca="1">IF(Tabla1[[#This Row],['#]]&lt;&gt;"", NOW(), "")</f>
        <v>46014.789969560188</v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12</v>
      </c>
      <c r="C3" t="s">
        <v>13</v>
      </c>
      <c r="D3" t="s">
        <v>14</v>
      </c>
    </row>
    <row r="4" spans="2:5" ht="30" x14ac:dyDescent="0.25">
      <c r="B4" s="4" t="s">
        <v>16</v>
      </c>
      <c r="C4" s="2">
        <v>45576</v>
      </c>
      <c r="D4" s="3">
        <v>1.1000000000000001</v>
      </c>
      <c r="E4" s="3"/>
    </row>
    <row r="5" spans="2:5" ht="45" x14ac:dyDescent="0.25">
      <c r="B5" s="7" t="s">
        <v>20</v>
      </c>
      <c r="C5" s="3" t="s">
        <v>17</v>
      </c>
      <c r="D5" s="3">
        <v>1.2</v>
      </c>
      <c r="E5" s="3"/>
    </row>
    <row r="6" spans="2:5" ht="30" x14ac:dyDescent="0.25">
      <c r="B6" s="7" t="s">
        <v>28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22-12-25</vt:lpstr>
      <vt:lpstr>Martes 23-12-25</vt:lpstr>
      <vt:lpstr>Miercoles</vt:lpstr>
      <vt:lpstr>Jueves</vt:lpstr>
      <vt:lpstr>Viernes</vt:lpstr>
      <vt:lpstr>Sabado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2025-12-24T00:58:45Z</dcterms:modified>
</cp:coreProperties>
</file>